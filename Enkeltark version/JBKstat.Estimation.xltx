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codeName="ThisWorkbook"/>
  <mc:AlternateContent xmlns:mc="http://schemas.openxmlformats.org/markup-compatibility/2006">
    <mc:Choice Requires="x15">
      <x15ac:absPath xmlns:x15ac="http://schemas.microsoft.com/office/spreadsheetml/2010/11/ac" url="C:\Users\Jakob\Documents\Arbejde\Statistik\JBKstat\Opdelt i ark\"/>
    </mc:Choice>
  </mc:AlternateContent>
  <xr:revisionPtr revIDLastSave="0" documentId="8_{6E1CDEA5-9BCA-4E81-977C-FA5E1C22B227}"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Estimation" sheetId="54" r:id="rId5"/>
    <sheet name="Estimation Beregninger" sheetId="56" state="hidden" r:id="rId6"/>
  </sheets>
  <definedNames>
    <definedName name="Beregningsmetode_liste">Lister!$G$2:$G$10</definedName>
    <definedName name="Data">Data!$A$2:INDEX(Data!$A$2:$CV$1048576,DataBeregning!$B$2,DataBeregning!$B$3)</definedName>
    <definedName name="DataHeaders">Data!$A$1:$CV$1</definedName>
    <definedName name="DataTitel_liste">_xlfn.ANCHORARRAY(Lister!$C$2)</definedName>
    <definedName name="DataTitelTest_liste">_xlfn.ANCHORARRAY(Lister!$C$2)</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ønsket_fejlmargin">Estimation!$P$16</definedName>
    <definedName name="Eu_a_t_x">Estimation!$P$6</definedName>
    <definedName name="Eu_a_t_y">Estimation!$Q$6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ønsket_fejlmargin">Estimation!$B$16</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ønsket_fejlmargin">Estimation!$W$16</definedName>
    <definedName name="Eu_i_t_x">Estimation!$W$6</definedName>
    <definedName name="Eu_i_t_y">Estimation!$X$6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Fordeling_liste">Lister!$E$2:$E$5</definedName>
    <definedName name="HypoteseRetning_liste">Lister!$D$2:$D$5</definedName>
    <definedName name="Hypotesetype_Liste">Lister!$F$2:$F$8</definedName>
    <definedName name="Inkluderet">"Inkluderet"</definedName>
    <definedName name="Inkluderet_Liste">Lister!$A$2:$A$3</definedName>
    <definedName name="SandFalsk_liste">Lister!$B$2:$B$3</definedName>
    <definedName name="SlB">_xlfn.ANCHORARRAY(#REF!)</definedName>
    <definedName name="SlG">_xlfn.ANCHORARRAY(#REF!)</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Udeladt">"Udeladt"</definedName>
    <definedName name="V_Manual_Data">Velkommen!$A$27</definedName>
    <definedName name="V_Manual_Konfidens_og_Hypoteser">Velkommen!$A$76</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64" l="1"/>
  <c r="H5" i="64"/>
  <c r="M5" i="64"/>
  <c r="N5" i="64"/>
  <c r="S5" i="64"/>
  <c r="T5" i="64"/>
  <c r="Y5" i="64"/>
  <c r="Z5" i="64"/>
  <c r="AE5" i="64"/>
  <c r="AF5" i="64"/>
  <c r="AK5" i="64"/>
  <c r="AL5" i="64"/>
  <c r="AQ5" i="64"/>
  <c r="AR5" i="64"/>
  <c r="AW5" i="64"/>
  <c r="AX5" i="64"/>
  <c r="BC5" i="64"/>
  <c r="BD5" i="64"/>
  <c r="BI5" i="64"/>
  <c r="BJ5" i="64"/>
  <c r="BO5" i="64"/>
  <c r="BP5" i="64"/>
  <c r="BU5" i="64"/>
  <c r="BV5" i="64"/>
  <c r="CA5" i="64"/>
  <c r="CB5" i="64"/>
  <c r="CG5" i="64"/>
  <c r="CH5" i="64"/>
  <c r="CM5" i="64"/>
  <c r="CN5" i="64"/>
  <c r="CS5" i="64"/>
  <c r="CT5" i="64"/>
  <c r="BM8" i="54"/>
  <c r="AO60" i="56"/>
  <c r="AO59" i="56"/>
  <c r="AO58" i="56"/>
  <c r="BJ40" i="54"/>
  <c r="BI40" i="54"/>
  <c r="BH40" i="54"/>
  <c r="BG40" i="54"/>
  <c r="BF40" i="54"/>
  <c r="C2" i="60" a="1"/>
  <c r="C2" i="60" s="1"/>
  <c r="B4" i="64" a="1"/>
  <c r="B4" i="64" s="1"/>
  <c r="B3" i="64" s="1"/>
  <c r="B6" i="64" s="1" a="1"/>
  <c r="B6"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B5" i="64" l="1"/>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CU5" i="64"/>
  <c r="CO5" i="64"/>
  <c r="CI5" i="64"/>
  <c r="CC5" i="64"/>
  <c r="BW5" i="64"/>
  <c r="BQ5" i="64"/>
  <c r="BK5" i="64"/>
  <c r="BE5" i="64"/>
  <c r="AY5" i="64"/>
  <c r="AS5" i="64"/>
  <c r="AM5" i="64"/>
  <c r="AG5" i="64"/>
  <c r="AA5" i="64"/>
  <c r="U5" i="64"/>
  <c r="O5" i="64"/>
  <c r="I5" i="64"/>
  <c r="C5" i="64"/>
  <c r="BF41" i="54" a="1"/>
  <c r="BF41" i="54" s="1"/>
  <c r="B1" i="64" a="1"/>
  <c r="B1" i="64" s="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DB7" i="54"/>
  <c r="DA7" i="54" s="1"/>
  <c r="FB6" i="54"/>
  <c r="CU6" i="54"/>
  <c r="HL3" i="54"/>
  <c r="GR3" i="54"/>
  <c r="FF3" i="54"/>
  <c r="FF4" i="54"/>
  <c r="FF5" i="54"/>
  <c r="EI3" i="54"/>
  <c r="DP3" i="54"/>
  <c r="FH3" i="54"/>
  <c r="FG4" i="54"/>
  <c r="DC3" i="54"/>
  <c r="DB4" i="54"/>
  <c r="DA3" i="54"/>
  <c r="DB3" i="54" s="1"/>
  <c r="DA4" i="54"/>
  <c r="DC4" i="54" s="1"/>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B3" i="60"/>
  <c r="B2" i="60"/>
  <c r="BF42" i="54" l="1" a="1"/>
  <c r="BF42" i="54" s="1"/>
  <c r="B2" i="64"/>
  <c r="DB10" i="54"/>
  <c r="DC7" i="54"/>
  <c r="BG43" i="54" l="1" a="1"/>
  <c r="BG43" i="54" s="1"/>
  <c r="BF43" i="54" a="1"/>
  <c r="BF43" i="54" s="1"/>
  <c r="BH43" i="54" a="1"/>
  <c r="BH43" i="54" s="1"/>
  <c r="BI43" i="54" a="1"/>
  <c r="BI43" i="54" s="1"/>
  <c r="BJ43" i="54" a="1"/>
  <c r="BJ43" i="54" s="1"/>
  <c r="DC10" i="54"/>
  <c r="DA10" i="54"/>
  <c r="DB11" i="54" s="1"/>
  <c r="P44" i="54" l="1"/>
  <c r="P42" i="54"/>
  <c r="I44" i="54"/>
  <c r="I42" i="54"/>
  <c r="W44" i="54"/>
  <c r="W42" i="54"/>
  <c r="B44" i="54"/>
  <c r="B46" i="54"/>
  <c r="B42" i="54"/>
  <c r="DC11" i="54"/>
  <c r="DA11" i="54"/>
  <c r="DB12" i="54" s="1"/>
  <c r="DC12" i="54" l="1"/>
  <c r="DA12" i="54"/>
  <c r="DB13" i="54" s="1"/>
  <c r="DC13" i="54" l="1"/>
  <c r="DA13" i="54"/>
  <c r="DB14" i="54" s="1"/>
  <c r="DC14" i="54" l="1"/>
  <c r="DA14" i="54"/>
  <c r="DB15" i="54" s="1"/>
  <c r="DC15" i="54" l="1"/>
  <c r="DA15" i="54"/>
  <c r="DB16" i="54" s="1"/>
  <c r="DC16" i="54" l="1"/>
  <c r="DA16" i="54"/>
  <c r="DB17" i="54" s="1"/>
  <c r="DC17" i="54" l="1"/>
  <c r="DA17" i="54"/>
  <c r="DB18" i="54" s="1"/>
  <c r="DC18" i="54" l="1"/>
  <c r="DA18" i="54"/>
  <c r="DB19" i="54" s="1"/>
  <c r="DC19" i="54" l="1"/>
  <c r="DA19" i="54"/>
  <c r="DB20" i="54" s="1"/>
  <c r="DC20" i="54" l="1"/>
  <c r="DA20" i="54"/>
  <c r="DB21" i="54" s="1"/>
  <c r="J31" i="56"/>
  <c r="J30" i="56"/>
  <c r="J29" i="56"/>
  <c r="J28" i="56"/>
  <c r="DC21" i="54" l="1"/>
  <c r="DA21" i="54"/>
  <c r="DB22" i="54" s="1"/>
  <c r="DC22" i="54" l="1"/>
  <c r="DA22" i="54"/>
  <c r="DB23" i="54"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DC23" i="54" l="1"/>
  <c r="DA23" i="54"/>
  <c r="DB24" i="54"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DC24" i="54" l="1"/>
  <c r="DA24" i="54"/>
  <c r="DB25" i="54" s="1"/>
  <c r="G13" i="56"/>
  <c r="G12" i="56"/>
  <c r="G11" i="56"/>
  <c r="G10" i="56"/>
  <c r="G9" i="56"/>
  <c r="G8" i="56"/>
  <c r="G7" i="56"/>
  <c r="G6" i="56"/>
  <c r="G5" i="56"/>
  <c r="DC25" i="54" l="1"/>
  <c r="DA25" i="54"/>
  <c r="DB26" i="54" s="1"/>
  <c r="DC26" i="54" l="1"/>
  <c r="DA26" i="54"/>
  <c r="DB27" i="54" s="1"/>
  <c r="DC27" i="54" l="1"/>
  <c r="DA27" i="54"/>
  <c r="DB28" i="54" s="1"/>
  <c r="AO28" i="56"/>
  <c r="DC28" i="54" l="1"/>
  <c r="DA28" i="54"/>
  <c r="DB29" i="54" s="1"/>
  <c r="DC29" i="54" l="1"/>
  <c r="DA29" i="54"/>
  <c r="DB30" i="54" s="1"/>
  <c r="AK60" i="56"/>
  <c r="P60" i="56"/>
  <c r="AK59" i="56"/>
  <c r="AE59" i="56"/>
  <c r="P59" i="56"/>
  <c r="AK58" i="56"/>
  <c r="AE58" i="56"/>
  <c r="P58" i="56"/>
  <c r="G58" i="56"/>
  <c r="G59" i="56"/>
  <c r="H59" i="56" s="1"/>
  <c r="V59" i="56" s="1"/>
  <c r="I59" i="56" s="1"/>
  <c r="G60" i="56"/>
  <c r="H60" i="56" s="1"/>
  <c r="E58" i="56"/>
  <c r="E59" i="56"/>
  <c r="E60" i="56"/>
  <c r="BJ8" i="54" l="1"/>
  <c r="HR3" i="54" s="1" a="1"/>
  <c r="HR3" i="54" s="1"/>
  <c r="DC30" i="54"/>
  <c r="DA30" i="54"/>
  <c r="DB31" i="54"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HL264" i="54" s="1"/>
  <c r="HN264" i="54" s="1"/>
  <c r="BI8" i="54"/>
  <c r="GW3" i="54" s="1"/>
  <c r="BH8" i="54"/>
  <c r="EL3" i="54" s="1"/>
  <c r="BG8" i="54"/>
  <c r="DQ5" i="54" s="1"/>
  <c r="HO174" i="54"/>
  <c r="HO209" i="54"/>
  <c r="HM156" i="54"/>
  <c r="HM192" i="54"/>
  <c r="HM187" i="54"/>
  <c r="HM259" i="54"/>
  <c r="HM146" i="54"/>
  <c r="HM218" i="54"/>
  <c r="HM254" i="54"/>
  <c r="HM213" i="54"/>
  <c r="HM249" i="54"/>
  <c r="HM166" i="54"/>
  <c r="HM202" i="54"/>
  <c r="HM238" i="54"/>
  <c r="HM191" i="54"/>
  <c r="HM42" i="54"/>
  <c r="HM258" i="54"/>
  <c r="HM49" i="54"/>
  <c r="HM133" i="54"/>
  <c r="HM50" i="54"/>
  <c r="HM134" i="54"/>
  <c r="HM176" i="54"/>
  <c r="HM135" i="54"/>
  <c r="HM183" i="54"/>
  <c r="HM225" i="54"/>
  <c r="HM178" i="54"/>
  <c r="HM220" i="54"/>
  <c r="HM262" i="54"/>
  <c r="HM215" i="54"/>
  <c r="HM251" i="54"/>
  <c r="HM54" i="54"/>
  <c r="HM13" i="54"/>
  <c r="HM55" i="54"/>
  <c r="HM139" i="54"/>
  <c r="HM56" i="54"/>
  <c r="HM140" i="54"/>
  <c r="HM188" i="54"/>
  <c r="HM147" i="54"/>
  <c r="HM189" i="54"/>
  <c r="HM231" i="54"/>
  <c r="HM184" i="54"/>
  <c r="HM226" i="54"/>
  <c r="HM268" i="54"/>
  <c r="HM221" i="54"/>
  <c r="HM257" i="54"/>
  <c r="HM18" i="54"/>
  <c r="HM234" i="54"/>
  <c r="HM19" i="54"/>
  <c r="HM103" i="54"/>
  <c r="HM20" i="54"/>
  <c r="HM104" i="54"/>
  <c r="HM152" i="54"/>
  <c r="HM111" i="54"/>
  <c r="HM153" i="54"/>
  <c r="HM195" i="54"/>
  <c r="HM148" i="54"/>
  <c r="HM190" i="54"/>
  <c r="HM232" i="54"/>
  <c r="HM143" i="54"/>
  <c r="HM185" i="54"/>
  <c r="HM227" i="54"/>
  <c r="HM108" i="54"/>
  <c r="HM150" i="54"/>
  <c r="HM198" i="54"/>
  <c r="HM109" i="54"/>
  <c r="HM157" i="54"/>
  <c r="HM199" i="54"/>
  <c r="HM116" i="54"/>
  <c r="HM158" i="54"/>
  <c r="HM200" i="54"/>
  <c r="HM117" i="54"/>
  <c r="HM159" i="54"/>
  <c r="HM201" i="54"/>
  <c r="HM112" i="54"/>
  <c r="HM154" i="54"/>
  <c r="HM196" i="54"/>
  <c r="HM107" i="54"/>
  <c r="HM149" i="54"/>
  <c r="HM197" i="54"/>
  <c r="HM72" i="54"/>
  <c r="HM114" i="54"/>
  <c r="HM162" i="54"/>
  <c r="HM73" i="54"/>
  <c r="HM121" i="54"/>
  <c r="HM163" i="54"/>
  <c r="HM80" i="54"/>
  <c r="HM122" i="54"/>
  <c r="HM164" i="54"/>
  <c r="HM81" i="54"/>
  <c r="HM123" i="54"/>
  <c r="HM165" i="54"/>
  <c r="HM76" i="54"/>
  <c r="HM118" i="54"/>
  <c r="HM160" i="54"/>
  <c r="HM71" i="54"/>
  <c r="HM113" i="54"/>
  <c r="HM161" i="54"/>
  <c r="HM78" i="54"/>
  <c r="HM126" i="54"/>
  <c r="HM168" i="54"/>
  <c r="HM85" i="54"/>
  <c r="HM127" i="54"/>
  <c r="HM169" i="54"/>
  <c r="HM86" i="54"/>
  <c r="HM128" i="54"/>
  <c r="HM170" i="54"/>
  <c r="HM87" i="54"/>
  <c r="HM129" i="54"/>
  <c r="HM171" i="54"/>
  <c r="HM82" i="54"/>
  <c r="HM124" i="54"/>
  <c r="HM172" i="54"/>
  <c r="HM77" i="54"/>
  <c r="HM125" i="54"/>
  <c r="HM167" i="54"/>
  <c r="DQ3" i="54"/>
  <c r="DT3" i="54"/>
  <c r="BG15" i="54"/>
  <c r="BG13" i="54"/>
  <c r="HP26" i="54"/>
  <c r="HP134" i="54"/>
  <c r="HP206" i="54"/>
  <c r="HP242" i="54"/>
  <c r="HP93" i="54"/>
  <c r="HP165" i="54"/>
  <c r="HP201" i="54"/>
  <c r="HP46" i="54"/>
  <c r="HP32" i="54"/>
  <c r="HP74" i="54"/>
  <c r="HP200" i="54"/>
  <c r="HP33" i="54"/>
  <c r="HP75" i="54"/>
  <c r="HP207" i="54"/>
  <c r="HP28" i="54"/>
  <c r="HP70" i="54"/>
  <c r="HP184" i="54"/>
  <c r="HP256" i="54"/>
  <c r="HP29" i="54"/>
  <c r="HP137" i="54"/>
  <c r="HP209" i="54"/>
  <c r="HP245" i="54"/>
  <c r="HP96" i="54"/>
  <c r="HP168" i="54"/>
  <c r="HP204" i="54"/>
  <c r="HP55" i="54"/>
  <c r="HP127" i="54"/>
  <c r="HP44" i="54"/>
  <c r="HP176" i="54"/>
  <c r="HP260" i="54"/>
  <c r="HP45" i="54"/>
  <c r="HP177" i="54"/>
  <c r="HP261" i="54"/>
  <c r="HP40" i="54"/>
  <c r="HP124" i="54"/>
  <c r="HP160" i="54"/>
  <c r="HP232" i="54"/>
  <c r="HP268" i="54"/>
  <c r="HP77" i="54"/>
  <c r="HP113" i="54"/>
  <c r="HP185" i="54"/>
  <c r="HP221" i="54"/>
  <c r="HP36" i="54"/>
  <c r="HP72" i="54"/>
  <c r="HP144" i="54"/>
  <c r="HP180" i="54"/>
  <c r="HP252" i="54"/>
  <c r="HP31" i="54"/>
  <c r="HP103" i="54"/>
  <c r="HP50" i="54"/>
  <c r="HP140" i="54"/>
  <c r="HP182" i="54"/>
  <c r="HP266" i="54"/>
  <c r="HP51" i="54"/>
  <c r="HP141" i="54"/>
  <c r="HP14" i="54"/>
  <c r="HP104" i="54"/>
  <c r="HP146" i="54"/>
  <c r="HP230" i="54"/>
  <c r="HP15" i="54"/>
  <c r="HP105" i="54"/>
  <c r="HP147" i="54"/>
  <c r="HP68" i="54"/>
  <c r="HP110" i="54"/>
  <c r="HP194" i="54"/>
  <c r="HP236" i="54"/>
  <c r="HP69" i="54"/>
  <c r="HP111" i="54"/>
  <c r="HP195" i="54"/>
  <c r="HP243" i="54"/>
  <c r="HP64" i="54"/>
  <c r="HP106" i="54"/>
  <c r="HP178" i="54"/>
  <c r="HP214" i="54"/>
  <c r="HP23" i="54"/>
  <c r="HP59" i="54"/>
  <c r="HP131" i="54"/>
  <c r="HP167" i="54"/>
  <c r="HP239" i="54"/>
  <c r="HP18" i="54"/>
  <c r="HP90" i="54"/>
  <c r="HP126" i="54"/>
  <c r="HP198" i="54"/>
  <c r="HP234" i="54"/>
  <c r="HP49" i="54"/>
  <c r="HP85" i="54"/>
  <c r="HP157" i="54"/>
  <c r="HP193" i="54"/>
  <c r="HP265" i="54"/>
  <c r="HP38" i="54"/>
  <c r="HP213" i="54"/>
  <c r="HP34" i="54"/>
  <c r="HP190" i="54"/>
  <c r="HP262" i="54"/>
  <c r="HP143" i="54"/>
  <c r="HP215" i="54"/>
  <c r="HP102" i="54"/>
  <c r="HP174" i="54"/>
  <c r="HP61" i="54"/>
  <c r="HP133" i="54"/>
  <c r="HP217" i="54"/>
  <c r="HP259" i="54"/>
  <c r="HP81" i="54"/>
  <c r="HP225" i="54"/>
  <c r="HP130" i="54"/>
  <c r="HP202" i="54"/>
  <c r="HP83" i="54"/>
  <c r="HP155" i="54"/>
  <c r="HP227" i="54"/>
  <c r="HP42" i="54"/>
  <c r="HP114" i="54"/>
  <c r="HP186" i="54"/>
  <c r="HP258" i="54"/>
  <c r="HP73" i="54"/>
  <c r="HP139" i="54"/>
  <c r="HP181" i="54"/>
  <c r="HP223" i="54"/>
  <c r="HP122" i="54"/>
  <c r="HP123" i="54"/>
  <c r="HP231" i="54"/>
  <c r="HP58" i="54"/>
  <c r="HP136" i="54"/>
  <c r="HP208" i="54"/>
  <c r="HP17" i="54"/>
  <c r="HP89" i="54"/>
  <c r="HP161" i="54"/>
  <c r="HP233" i="54"/>
  <c r="HP48" i="54"/>
  <c r="HP120" i="54"/>
  <c r="HP192" i="54"/>
  <c r="HP264" i="54"/>
  <c r="HP79" i="54"/>
  <c r="HP145" i="54"/>
  <c r="HP187" i="54"/>
  <c r="HP235" i="54"/>
  <c r="HP164" i="54"/>
  <c r="HP171" i="54"/>
  <c r="HP255" i="54"/>
  <c r="HP76" i="54"/>
  <c r="HP154" i="54"/>
  <c r="HP226" i="54"/>
  <c r="HP35" i="54"/>
  <c r="HP107" i="54"/>
  <c r="HP179" i="54"/>
  <c r="HP251" i="54"/>
  <c r="HP66" i="54"/>
  <c r="HP138" i="54"/>
  <c r="HP210" i="54"/>
  <c r="HP25" i="54"/>
  <c r="HP97" i="54"/>
  <c r="HP151" i="54"/>
  <c r="HP199" i="54"/>
  <c r="HP241" i="54"/>
  <c r="HP212" i="54"/>
  <c r="HP183" i="54"/>
  <c r="HP267" i="54"/>
  <c r="HP94" i="54"/>
  <c r="HP166" i="54"/>
  <c r="HP238" i="54"/>
  <c r="HP47" i="54"/>
  <c r="HP119" i="54"/>
  <c r="HP191" i="54"/>
  <c r="HP263" i="54"/>
  <c r="HP78" i="54"/>
  <c r="HP150" i="54"/>
  <c r="HP222" i="54"/>
  <c r="HP37" i="54"/>
  <c r="HP109" i="54"/>
  <c r="HP163" i="54"/>
  <c r="HP205" i="54"/>
  <c r="HP247" i="54"/>
  <c r="HP254" i="54"/>
  <c r="HP189" i="54"/>
  <c r="HP16" i="54"/>
  <c r="HP100" i="54"/>
  <c r="HP172" i="54"/>
  <c r="HP244" i="54"/>
  <c r="HP53" i="54"/>
  <c r="HP125" i="54"/>
  <c r="HP197" i="54"/>
  <c r="HP12" i="54"/>
  <c r="HP84" i="54"/>
  <c r="HP156" i="54"/>
  <c r="HP228" i="54"/>
  <c r="HP43" i="54"/>
  <c r="HP115" i="54"/>
  <c r="HP169" i="54"/>
  <c r="HP211" i="54"/>
  <c r="HP253" i="54"/>
  <c r="BJ2" i="54"/>
  <c r="BJ4" i="54"/>
  <c r="HU7" i="54"/>
  <c r="HV7" i="54"/>
  <c r="EO3" i="54"/>
  <c r="EN3" i="54"/>
  <c r="EI7" i="54"/>
  <c r="EZ5" i="54"/>
  <c r="EI5" i="54"/>
  <c r="BH15" i="54"/>
  <c r="EJ7" i="54"/>
  <c r="BH11" i="54"/>
  <c r="BH18" i="54"/>
  <c r="BH20" i="54"/>
  <c r="GT3" i="54"/>
  <c r="BM44" i="54" a="1"/>
  <c r="BM44" i="54" s="1"/>
  <c r="BI21" i="54"/>
  <c r="DC31" i="54"/>
  <c r="DA31" i="54"/>
  <c r="DB32" i="54" s="1"/>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HM155" i="54" l="1"/>
  <c r="HM177" i="54"/>
  <c r="HM228" i="54"/>
  <c r="HM151" i="54"/>
  <c r="HO62" i="54"/>
  <c r="HO41" i="54"/>
  <c r="HO18" i="54"/>
  <c r="BM33" i="54" a="1"/>
  <c r="BM33" i="54" s="1"/>
  <c r="EL5" i="54"/>
  <c r="HO126" i="54"/>
  <c r="HL51" i="54"/>
  <c r="HO251" i="54"/>
  <c r="HO146" i="54"/>
  <c r="HL236" i="54"/>
  <c r="HO60" i="54"/>
  <c r="HO125" i="54"/>
  <c r="HO119" i="54"/>
  <c r="HL175" i="54"/>
  <c r="HN175" i="54" s="1"/>
  <c r="HL33" i="54"/>
  <c r="HN33" i="54" s="1"/>
  <c r="HO137" i="54"/>
  <c r="HO203" i="54"/>
  <c r="HO179" i="54"/>
  <c r="HO173" i="54"/>
  <c r="HO54" i="54"/>
  <c r="HU54" i="54" s="1"/>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U36" i="54" s="1"/>
  <c r="HO142" i="54"/>
  <c r="HO120" i="54"/>
  <c r="HO37" i="54"/>
  <c r="HL232" i="54"/>
  <c r="HN232" i="54" s="1"/>
  <c r="HL106" i="54"/>
  <c r="HN106" i="54" s="1"/>
  <c r="GX3" i="54"/>
  <c r="HB7" i="54" s="1"/>
  <c r="HP11" i="54"/>
  <c r="HP80" i="54"/>
  <c r="HP246" i="54"/>
  <c r="HP71" i="54"/>
  <c r="HP39" i="54"/>
  <c r="HP121" i="54"/>
  <c r="HP162" i="54"/>
  <c r="HU162" i="54" s="1"/>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U257" i="54" s="1"/>
  <c r="HO106" i="54"/>
  <c r="HO84" i="54"/>
  <c r="HO222" i="54"/>
  <c r="HL180" i="54"/>
  <c r="HN180" i="54" s="1"/>
  <c r="HL50" i="54"/>
  <c r="HN50" i="54" s="1"/>
  <c r="BI19" i="54"/>
  <c r="BI23" i="54" s="1" a="1"/>
  <c r="BI23" i="54" s="1"/>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HO230" i="54"/>
  <c r="HO240" i="54"/>
  <c r="HO256" i="54"/>
  <c r="HO141" i="54"/>
  <c r="HO234" i="54"/>
  <c r="HO250" i="54"/>
  <c r="HO33" i="54"/>
  <c r="HO25" i="54"/>
  <c r="HO35" i="54"/>
  <c r="HU35" i="54" s="1"/>
  <c r="HO266" i="54"/>
  <c r="HO19" i="54"/>
  <c r="HO29" i="54"/>
  <c r="HO45" i="54"/>
  <c r="HO157" i="54"/>
  <c r="HO95" i="54"/>
  <c r="HO261" i="54"/>
  <c r="HO205" i="54"/>
  <c r="HO215" i="54"/>
  <c r="HO93" i="54"/>
  <c r="HO170" i="54"/>
  <c r="HO175" i="54"/>
  <c r="HO180" i="54"/>
  <c r="HO185" i="54"/>
  <c r="HO196" i="54"/>
  <c r="HO46" i="54"/>
  <c r="HO254" i="54"/>
  <c r="HO259" i="54"/>
  <c r="HU259" i="54" s="1"/>
  <c r="HO264" i="54"/>
  <c r="HO12" i="54"/>
  <c r="HO244" i="54"/>
  <c r="HO68" i="54"/>
  <c r="HO78" i="54"/>
  <c r="HO94" i="54"/>
  <c r="HL113" i="54"/>
  <c r="HN113" i="54" s="1"/>
  <c r="HL108" i="54"/>
  <c r="HN108" i="54" s="1"/>
  <c r="HL21" i="54"/>
  <c r="HN21" i="54" s="1"/>
  <c r="HL179" i="54"/>
  <c r="HN179" i="54" s="1"/>
  <c r="HL174" i="54"/>
  <c r="HN174" i="54" s="1"/>
  <c r="HL151" i="54"/>
  <c r="HN151" i="54" s="1"/>
  <c r="HU151" i="54" s="1"/>
  <c r="HL94" i="54"/>
  <c r="HR94" i="54" s="1"/>
  <c r="HL119" i="54"/>
  <c r="HN119" i="54" s="1"/>
  <c r="HL244" i="54"/>
  <c r="HN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U249" i="54" s="1"/>
  <c r="HO13" i="54"/>
  <c r="HO23" i="54"/>
  <c r="HO219" i="54"/>
  <c r="HO133" i="54"/>
  <c r="HO143" i="54"/>
  <c r="HO225" i="54"/>
  <c r="HO134" i="54"/>
  <c r="HO139" i="54"/>
  <c r="HO144" i="54"/>
  <c r="HO149" i="54"/>
  <c r="HO124" i="54"/>
  <c r="HO10" i="54"/>
  <c r="HO218" i="54"/>
  <c r="HO223" i="54"/>
  <c r="HO228" i="54"/>
  <c r="HO197" i="54"/>
  <c r="HO136" i="54"/>
  <c r="HO253" i="54"/>
  <c r="HU253" i="54" s="1"/>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U12" i="54" s="1"/>
  <c r="HL125" i="54"/>
  <c r="HL128" i="54"/>
  <c r="BI15" i="54"/>
  <c r="BI18" i="54"/>
  <c r="BI14" i="54"/>
  <c r="HO165" i="54"/>
  <c r="HU165" i="54" s="1"/>
  <c r="HO86" i="54"/>
  <c r="HO96" i="54"/>
  <c r="HO129" i="54"/>
  <c r="HO80" i="54"/>
  <c r="HO90" i="54"/>
  <c r="HO99" i="54"/>
  <c r="HO128" i="54"/>
  <c r="HO66" i="54"/>
  <c r="HO27" i="54"/>
  <c r="HO122" i="54"/>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U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U177" i="54" s="1"/>
  <c r="HL120" i="54"/>
  <c r="HN120" i="54" s="1"/>
  <c r="HL111" i="54"/>
  <c r="HL224" i="54"/>
  <c r="HN224" i="54" s="1"/>
  <c r="HL239" i="54"/>
  <c r="HN239" i="54" s="1"/>
  <c r="BH14" i="54"/>
  <c r="BH13" i="54"/>
  <c r="BH19" i="54"/>
  <c r="BH24" i="54" s="1" a="1"/>
  <c r="BH24" i="54" s="1"/>
  <c r="EJ3" i="54"/>
  <c r="EO5" i="54" s="1"/>
  <c r="EY3" i="54" s="1"/>
  <c r="EK5" i="54"/>
  <c r="HM35" i="54"/>
  <c r="HM40" i="54"/>
  <c r="HM45" i="54"/>
  <c r="HM44" i="54"/>
  <c r="HM37" i="54"/>
  <c r="HM36" i="54"/>
  <c r="HM29" i="54"/>
  <c r="HM34" i="54"/>
  <c r="HM39" i="54"/>
  <c r="HM32" i="54"/>
  <c r="HU32" i="54" s="1"/>
  <c r="HM31" i="54"/>
  <c r="HM30" i="54"/>
  <c r="HM65" i="54"/>
  <c r="HM70" i="54"/>
  <c r="HM75" i="54"/>
  <c r="HM68" i="54"/>
  <c r="HU68" i="54" s="1"/>
  <c r="HM67" i="54"/>
  <c r="HM66" i="54"/>
  <c r="HM101" i="54"/>
  <c r="HM106" i="54"/>
  <c r="HM21" i="54"/>
  <c r="HU21" i="54" s="1"/>
  <c r="HM235" i="54"/>
  <c r="HU235" i="54" s="1"/>
  <c r="HM186" i="54"/>
  <c r="HM179" i="54"/>
  <c r="HM142" i="54"/>
  <c r="HM57" i="54"/>
  <c r="HM14" i="54"/>
  <c r="HM222" i="54"/>
  <c r="HU222" i="54" s="1"/>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U159" i="54" s="1"/>
  <c r="HO71" i="54"/>
  <c r="HO246" i="54"/>
  <c r="HO164" i="54"/>
  <c r="HO201" i="54"/>
  <c r="HO167" i="54"/>
  <c r="HO85" i="54"/>
  <c r="HO260" i="54"/>
  <c r="HO243" i="54"/>
  <c r="HO245" i="54"/>
  <c r="HO163" i="54"/>
  <c r="HO75" i="54"/>
  <c r="HO226" i="54"/>
  <c r="HU226" i="54" s="1"/>
  <c r="HO138" i="54"/>
  <c r="HO56" i="54"/>
  <c r="HO87" i="54"/>
  <c r="HO131" i="54"/>
  <c r="HO49" i="54"/>
  <c r="HO224" i="54"/>
  <c r="HU224" i="54" s="1"/>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U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U139" i="54" s="1"/>
  <c r="HL190" i="54"/>
  <c r="HN190" i="54" s="1"/>
  <c r="HL66" i="54"/>
  <c r="HR66" i="54" s="1"/>
  <c r="HL196" i="54"/>
  <c r="HN196" i="54" s="1"/>
  <c r="HL72" i="54"/>
  <c r="HN72" i="54" s="1"/>
  <c r="HL82" i="54"/>
  <c r="HN82" i="54" s="1"/>
  <c r="HL241" i="54"/>
  <c r="HN241" i="54" s="1"/>
  <c r="HL101" i="54"/>
  <c r="HN101" i="54" s="1"/>
  <c r="HU101" i="54" s="1"/>
  <c r="HL209" i="54"/>
  <c r="HR209" i="54" s="1"/>
  <c r="HL250" i="54"/>
  <c r="HN250" i="54" s="1"/>
  <c r="HL86" i="54"/>
  <c r="HN86" i="54" s="1"/>
  <c r="HL233" i="54"/>
  <c r="HN233" i="54" s="1"/>
  <c r="HL116" i="54"/>
  <c r="HN116" i="54" s="1"/>
  <c r="HU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U207" i="54" s="1"/>
  <c r="HM48" i="54"/>
  <c r="HM264" i="54"/>
  <c r="HU264" i="54" s="1"/>
  <c r="HM223" i="54"/>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U258" i="54" s="1"/>
  <c r="HO42" i="54"/>
  <c r="HO83" i="54"/>
  <c r="HO130" i="54"/>
  <c r="HL129" i="54"/>
  <c r="HN129" i="54" s="1"/>
  <c r="HL248" i="54"/>
  <c r="HN248" i="54" s="1"/>
  <c r="HL165" i="54"/>
  <c r="HN165" i="54" s="1"/>
  <c r="HL243" i="54"/>
  <c r="HN243" i="54" s="1"/>
  <c r="HU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U183" i="54" s="1"/>
  <c r="HL203" i="54"/>
  <c r="HN203" i="54" s="1"/>
  <c r="HL84" i="54"/>
  <c r="HR84" i="54" s="1"/>
  <c r="HL220" i="54"/>
  <c r="HL164" i="54"/>
  <c r="HL76" i="54"/>
  <c r="HR76" i="54" s="1"/>
  <c r="HL56" i="54"/>
  <c r="HN56" i="54" s="1"/>
  <c r="HL31" i="54"/>
  <c r="HN31" i="54" s="1"/>
  <c r="HO172" i="54"/>
  <c r="HU172" i="54" s="1"/>
  <c r="HO248" i="54"/>
  <c r="HO32" i="54"/>
  <c r="HO73" i="54"/>
  <c r="HO114" i="54"/>
  <c r="HO155" i="54"/>
  <c r="HU155" i="54" s="1"/>
  <c r="HL211" i="54"/>
  <c r="HN211" i="54" s="1"/>
  <c r="HL73" i="54"/>
  <c r="HL247" i="54"/>
  <c r="HN247" i="54" s="1"/>
  <c r="HU247" i="54" s="1"/>
  <c r="HL109" i="54"/>
  <c r="HN109" i="54" s="1"/>
  <c r="HU109" i="54" s="1"/>
  <c r="HL67" i="54"/>
  <c r="HN67" i="54" s="1"/>
  <c r="HL104" i="54"/>
  <c r="HN104" i="54" s="1"/>
  <c r="HU104" i="54" s="1"/>
  <c r="HL62" i="54"/>
  <c r="HL140" i="54"/>
  <c r="HL98" i="54"/>
  <c r="HN98" i="54" s="1"/>
  <c r="HL176" i="54"/>
  <c r="HN176" i="54" s="1"/>
  <c r="HL93" i="54"/>
  <c r="HN93" i="54" s="1"/>
  <c r="HU93" i="54" s="1"/>
  <c r="HL212" i="54"/>
  <c r="HN212" i="54" s="1"/>
  <c r="HU212" i="54" s="1"/>
  <c r="HL74" i="54"/>
  <c r="HL110" i="54"/>
  <c r="HR110" i="54" s="1"/>
  <c r="HL146" i="54"/>
  <c r="HN146" i="54" s="1"/>
  <c r="HU146" i="54" s="1"/>
  <c r="HL141" i="54"/>
  <c r="HN141" i="54" s="1"/>
  <c r="HL218" i="54"/>
  <c r="HN218" i="54" s="1"/>
  <c r="HL38" i="54"/>
  <c r="HN38" i="54" s="1"/>
  <c r="HU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L137" i="54"/>
  <c r="HL87" i="54"/>
  <c r="HL267" i="54"/>
  <c r="HQ267" i="54" s="1"/>
  <c r="HL251" i="54"/>
  <c r="HN251" i="54" s="1"/>
  <c r="HL160" i="54"/>
  <c r="HN160" i="54" s="1"/>
  <c r="HL118" i="54"/>
  <c r="HN118" i="54" s="1"/>
  <c r="HL27" i="54"/>
  <c r="HN27" i="54" s="1"/>
  <c r="HL26" i="54"/>
  <c r="HL145" i="54"/>
  <c r="HN145" i="54" s="1"/>
  <c r="HL144" i="54"/>
  <c r="HN144" i="54" s="1"/>
  <c r="HU144" i="54" s="1"/>
  <c r="HL143" i="54"/>
  <c r="HN143" i="54" s="1"/>
  <c r="HL268" i="54"/>
  <c r="HN268" i="54" s="1"/>
  <c r="HU268" i="54" s="1"/>
  <c r="HL10" i="54"/>
  <c r="HN10" i="54" s="1"/>
  <c r="HL135" i="54"/>
  <c r="HL134" i="54"/>
  <c r="HQ134" i="54" s="1"/>
  <c r="HL37" i="54"/>
  <c r="HN37" i="54" s="1"/>
  <c r="HL36" i="54"/>
  <c r="HN36" i="54" s="1"/>
  <c r="HL202" i="54"/>
  <c r="HN202" i="54" s="1"/>
  <c r="HL22" i="54"/>
  <c r="HN22" i="54" s="1"/>
  <c r="HL105" i="54"/>
  <c r="HN105" i="54" s="1"/>
  <c r="HU105" i="54" s="1"/>
  <c r="HL182" i="54"/>
  <c r="HL43" i="54"/>
  <c r="HN43" i="54" s="1"/>
  <c r="HL42" i="54"/>
  <c r="HN42" i="54" s="1"/>
  <c r="HL166" i="54"/>
  <c r="HN166" i="54" s="1"/>
  <c r="HL255" i="54"/>
  <c r="HN255" i="54" s="1"/>
  <c r="HL194" i="54"/>
  <c r="HL157" i="54"/>
  <c r="HN157" i="54" s="1"/>
  <c r="HL156" i="54"/>
  <c r="HN156" i="54" s="1"/>
  <c r="HU156" i="54" s="1"/>
  <c r="HL95" i="54"/>
  <c r="HN95" i="54" s="1"/>
  <c r="HL17" i="54"/>
  <c r="HN17" i="54" s="1"/>
  <c r="HL225" i="54"/>
  <c r="HN225" i="54" s="1"/>
  <c r="HL188" i="54"/>
  <c r="HL127" i="54"/>
  <c r="HL126" i="54"/>
  <c r="HN126" i="54" s="1"/>
  <c r="HU126" i="54" s="1"/>
  <c r="HL89" i="54"/>
  <c r="HN89" i="54" s="1"/>
  <c r="HL34" i="54"/>
  <c r="HN34" i="54" s="1"/>
  <c r="HU34" i="54" s="1"/>
  <c r="HL260" i="54"/>
  <c r="HN260" i="54" s="1"/>
  <c r="HL158" i="54"/>
  <c r="HN158" i="54" s="1"/>
  <c r="HU158" i="54" s="1"/>
  <c r="HL204" i="54"/>
  <c r="HL168" i="54"/>
  <c r="HL132" i="54"/>
  <c r="HL96" i="54"/>
  <c r="HL60" i="54"/>
  <c r="HN60" i="54" s="1"/>
  <c r="HL256" i="54"/>
  <c r="HL65" i="54"/>
  <c r="HQ65" i="54" s="1"/>
  <c r="HL235" i="54"/>
  <c r="HN235" i="54" s="1"/>
  <c r="HL234" i="54"/>
  <c r="HN234" i="54" s="1"/>
  <c r="HU234" i="54" s="1"/>
  <c r="HL197" i="54"/>
  <c r="HN197" i="54" s="1"/>
  <c r="HU197" i="54" s="1"/>
  <c r="HL142" i="54"/>
  <c r="HN142" i="54" s="1"/>
  <c r="HL64" i="54"/>
  <c r="HL266" i="54"/>
  <c r="HN266" i="54" s="1"/>
  <c r="HL229" i="54"/>
  <c r="HN229" i="54" s="1"/>
  <c r="HL228" i="54"/>
  <c r="HN228" i="54" s="1"/>
  <c r="HU228" i="54" s="1"/>
  <c r="HL167" i="54"/>
  <c r="HN167" i="54" s="1"/>
  <c r="HL136" i="54"/>
  <c r="HN136" i="54" s="1"/>
  <c r="HU136" i="54" s="1"/>
  <c r="HL81" i="54"/>
  <c r="HL44" i="54"/>
  <c r="HL199" i="54"/>
  <c r="HN199" i="54" s="1"/>
  <c r="HU199" i="54" s="1"/>
  <c r="HL198" i="54"/>
  <c r="HN198" i="54" s="1"/>
  <c r="HU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HU103" i="54"/>
  <c r="HU232" i="54"/>
  <c r="HU122" i="54"/>
  <c r="HU150" i="54"/>
  <c r="HU185" i="54"/>
  <c r="HU163" i="54"/>
  <c r="HU18" i="54"/>
  <c r="HU72" i="54"/>
  <c r="HU242" i="54"/>
  <c r="HU179" i="54"/>
  <c r="HU57" i="54"/>
  <c r="HU69" i="54"/>
  <c r="HU223" i="54"/>
  <c r="HU58" i="54"/>
  <c r="HU115" i="54"/>
  <c r="HU154" i="54"/>
  <c r="HU131" i="54"/>
  <c r="HU78" i="54"/>
  <c r="HU244" i="54"/>
  <c r="HU55" i="54"/>
  <c r="HU191" i="54"/>
  <c r="HU46" i="54"/>
  <c r="Y58" i="56"/>
  <c r="AB58" i="56" s="1"/>
  <c r="HS3" i="54" a="1"/>
  <c r="HS3" i="54" s="1"/>
  <c r="BH2" i="54"/>
  <c r="BH4" i="54"/>
  <c r="HR170" i="54"/>
  <c r="HQ170" i="54"/>
  <c r="HQ72" i="54"/>
  <c r="HR72" i="54"/>
  <c r="HR196" i="54"/>
  <c r="HQ196" i="54"/>
  <c r="HR180" i="54"/>
  <c r="HQ180" i="54"/>
  <c r="HR179" i="54"/>
  <c r="HQ179" i="54"/>
  <c r="HR46" i="54"/>
  <c r="HQ46" i="54"/>
  <c r="HR115" i="54"/>
  <c r="HQ115" i="54"/>
  <c r="HR191" i="54"/>
  <c r="HQ191" i="54"/>
  <c r="HR11" i="54"/>
  <c r="HQ11" i="54"/>
  <c r="HQ218" i="54"/>
  <c r="HR218" i="54"/>
  <c r="HR78" i="54"/>
  <c r="HQ78" i="54"/>
  <c r="HR161" i="54"/>
  <c r="HQ161" i="54"/>
  <c r="HQ106" i="54"/>
  <c r="HR106" i="54"/>
  <c r="HR14" i="54"/>
  <c r="HQ14" i="54"/>
  <c r="HR131" i="54"/>
  <c r="HQ131" i="54"/>
  <c r="HR100" i="54"/>
  <c r="HQ100" i="54"/>
  <c r="HQ45" i="54"/>
  <c r="HR45" i="54"/>
  <c r="HQ264" i="54"/>
  <c r="HR264" i="54"/>
  <c r="HN76" i="54"/>
  <c r="HU76" i="54" s="1"/>
  <c r="HQ76" i="54"/>
  <c r="HN40" i="54"/>
  <c r="HR40" i="54"/>
  <c r="HQ40" i="54"/>
  <c r="HN15"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HU29" i="54"/>
  <c r="HQ129" i="54"/>
  <c r="HR129" i="54"/>
  <c r="HR247" i="54"/>
  <c r="HQ247" i="54"/>
  <c r="HQ246" i="54"/>
  <c r="HR246" i="54"/>
  <c r="HR154" i="54"/>
  <c r="HQ154" i="54"/>
  <c r="HR21" i="54"/>
  <c r="HQ21" i="54"/>
  <c r="HR257" i="54"/>
  <c r="HQ257" i="54"/>
  <c r="HR150" i="54"/>
  <c r="HQ150" i="54"/>
  <c r="HR59" i="54"/>
  <c r="HQ59" i="54"/>
  <c r="HR28" i="54"/>
  <c r="HQ28" i="54"/>
  <c r="HQ91" i="54"/>
  <c r="HR91" i="54"/>
  <c r="HQ90" i="54"/>
  <c r="HR90" i="54"/>
  <c r="HR224" i="54"/>
  <c r="HQ224" i="54"/>
  <c r="HR163" i="54"/>
  <c r="HQ163" i="54"/>
  <c r="HQ162" i="54"/>
  <c r="HR162" i="54"/>
  <c r="HN231" i="54"/>
  <c r="HQ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R248" i="54"/>
  <c r="HQ248" i="54"/>
  <c r="HQ206" i="54"/>
  <c r="HR206" i="54"/>
  <c r="HR109" i="54"/>
  <c r="HQ109" i="54"/>
  <c r="HR108" i="54"/>
  <c r="HQ108" i="54"/>
  <c r="HR107" i="54"/>
  <c r="HQ107" i="54"/>
  <c r="HR232" i="54"/>
  <c r="HQ232"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U164" i="54" s="1"/>
  <c r="HR164" i="54"/>
  <c r="HQ164" i="54"/>
  <c r="HN128" i="54"/>
  <c r="HR128" i="54"/>
  <c r="HQ128" i="54"/>
  <c r="HN92" i="54"/>
  <c r="HU92" i="54" s="1"/>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R68"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213" i="54"/>
  <c r="HR39" i="54"/>
  <c r="HQ39" i="54"/>
  <c r="HR235" i="54"/>
  <c r="HQ235" i="54"/>
  <c r="HR234" i="54"/>
  <c r="HQ234" i="54"/>
  <c r="HR197" i="54"/>
  <c r="HQ197" i="54"/>
  <c r="HR229" i="54"/>
  <c r="HQ229" i="54"/>
  <c r="HQ228" i="54"/>
  <c r="HR228" i="54"/>
  <c r="HR167" i="54"/>
  <c r="HQ167" i="54"/>
  <c r="HQ44" i="54"/>
  <c r="HR199" i="54"/>
  <c r="HQ199" i="54"/>
  <c r="HQ198" i="54"/>
  <c r="HR198" i="54"/>
  <c r="HN205" i="54"/>
  <c r="HR205" i="54"/>
  <c r="HQ205"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36" i="54"/>
  <c r="HQ36" i="54"/>
  <c r="HR202" i="54"/>
  <c r="HQ202" i="54"/>
  <c r="HR43" i="54"/>
  <c r="HQ43" i="54"/>
  <c r="HR42" i="54"/>
  <c r="HQ42" i="54"/>
  <c r="HR166" i="54"/>
  <c r="HQ166" i="54"/>
  <c r="HR156" i="54"/>
  <c r="HQ156" i="54"/>
  <c r="HR95" i="54"/>
  <c r="HQ95" i="54"/>
  <c r="HR17" i="54"/>
  <c r="HQ17" i="54"/>
  <c r="HR126" i="54"/>
  <c r="HQ126" i="54"/>
  <c r="HR89" i="54"/>
  <c r="HQ89" i="54"/>
  <c r="HQ34" i="54"/>
  <c r="HR34" i="54"/>
  <c r="HN168" i="54"/>
  <c r="HQ168" i="54"/>
  <c r="HR168" i="54"/>
  <c r="HN132" i="54"/>
  <c r="HR132" i="54"/>
  <c r="HQ132" i="54"/>
  <c r="HN96" i="54"/>
  <c r="HR96" i="54"/>
  <c r="HQ96" i="54"/>
  <c r="HR65" i="54"/>
  <c r="HN97" i="54"/>
  <c r="HU97" i="54" s="1"/>
  <c r="HQ97" i="54"/>
  <c r="HR97" i="54"/>
  <c r="Z58" i="56"/>
  <c r="AC58" i="56" s="1"/>
  <c r="HS5" i="54" a="1"/>
  <c r="HS5" i="54" s="1"/>
  <c r="GV19" i="54"/>
  <c r="GV55" i="54"/>
  <c r="GV91" i="54"/>
  <c r="GV127" i="54"/>
  <c r="GV163" i="54"/>
  <c r="GV43" i="54"/>
  <c r="GV85" i="54"/>
  <c r="GV133" i="54"/>
  <c r="GV175" i="54"/>
  <c r="GV211" i="54"/>
  <c r="GV247" i="54"/>
  <c r="GV26" i="54"/>
  <c r="GV62" i="54"/>
  <c r="GV98" i="54"/>
  <c r="GV134" i="54"/>
  <c r="GV170" i="54"/>
  <c r="GV206" i="54"/>
  <c r="GV242" i="54"/>
  <c r="GV21" i="54"/>
  <c r="GV57" i="54"/>
  <c r="GV93" i="54"/>
  <c r="GV129" i="54"/>
  <c r="GV165" i="54"/>
  <c r="GV201" i="54"/>
  <c r="GV237" i="54"/>
  <c r="GV10" i="54"/>
  <c r="GV46" i="54"/>
  <c r="GV82" i="54"/>
  <c r="GV118" i="54"/>
  <c r="GV154" i="54"/>
  <c r="GV190" i="54"/>
  <c r="GV226" i="54"/>
  <c r="GV262" i="54"/>
  <c r="GV35" i="54"/>
  <c r="GV71" i="54"/>
  <c r="GV107" i="54"/>
  <c r="GV143" i="54"/>
  <c r="GV179" i="54"/>
  <c r="GV215" i="54"/>
  <c r="GV251" i="54"/>
  <c r="GV30" i="54"/>
  <c r="GV66" i="54"/>
  <c r="GV49" i="54"/>
  <c r="GV97" i="54"/>
  <c r="GV139" i="54"/>
  <c r="GV181" i="54"/>
  <c r="GV217" i="54"/>
  <c r="GV253" i="54"/>
  <c r="GV32" i="54"/>
  <c r="GV68" i="54"/>
  <c r="GV104" i="54"/>
  <c r="GV140" i="54"/>
  <c r="GV176" i="54"/>
  <c r="GV212" i="54"/>
  <c r="GV248" i="54"/>
  <c r="GV27" i="54"/>
  <c r="GV63" i="54"/>
  <c r="GV99" i="54"/>
  <c r="GV135" i="54"/>
  <c r="GV171" i="54"/>
  <c r="GV207" i="54"/>
  <c r="GV243" i="54"/>
  <c r="GV16" i="54"/>
  <c r="GV52" i="54"/>
  <c r="GV88" i="54"/>
  <c r="GV124" i="54"/>
  <c r="GV160" i="54"/>
  <c r="GV196" i="54"/>
  <c r="GV232" i="54"/>
  <c r="GV268" i="54"/>
  <c r="GV41" i="54"/>
  <c r="GV77" i="54"/>
  <c r="GV113" i="54"/>
  <c r="GV149" i="54"/>
  <c r="GV185" i="54"/>
  <c r="GV221" i="54"/>
  <c r="GV257" i="54"/>
  <c r="GV36" i="54"/>
  <c r="GV13" i="54"/>
  <c r="GV61" i="54"/>
  <c r="GV103" i="54"/>
  <c r="GV145" i="54"/>
  <c r="GV187" i="54"/>
  <c r="GV223" i="54"/>
  <c r="GV259" i="54"/>
  <c r="GV38" i="54"/>
  <c r="GV74" i="54"/>
  <c r="GV110" i="54"/>
  <c r="GV146" i="54"/>
  <c r="GV182" i="54"/>
  <c r="GV218" i="54"/>
  <c r="GV254" i="54"/>
  <c r="GV33" i="54"/>
  <c r="GV69" i="54"/>
  <c r="GV105" i="54"/>
  <c r="GV141" i="54"/>
  <c r="GV177" i="54"/>
  <c r="GV213" i="54"/>
  <c r="GV249" i="54"/>
  <c r="GV22" i="54"/>
  <c r="GV58" i="54"/>
  <c r="GV94" i="54"/>
  <c r="GV130" i="54"/>
  <c r="GV166" i="54"/>
  <c r="GV202" i="54"/>
  <c r="GV238" i="54"/>
  <c r="GV11" i="54"/>
  <c r="GV47" i="54"/>
  <c r="GV83" i="54"/>
  <c r="GV119" i="54"/>
  <c r="GV155" i="54"/>
  <c r="GV191" i="54"/>
  <c r="GV227" i="54"/>
  <c r="GV263" i="54"/>
  <c r="GV42" i="54"/>
  <c r="GV78" i="54"/>
  <c r="GV114" i="54"/>
  <c r="GV25" i="54"/>
  <c r="GV67" i="54"/>
  <c r="GV109" i="54"/>
  <c r="GV151" i="54"/>
  <c r="GV193" i="54"/>
  <c r="GV229" i="54"/>
  <c r="GV265" i="54"/>
  <c r="GV44" i="54"/>
  <c r="GV80" i="54"/>
  <c r="GV116" i="54"/>
  <c r="GV152" i="54"/>
  <c r="GV188" i="54"/>
  <c r="GV224" i="54"/>
  <c r="GV260" i="54"/>
  <c r="GV39" i="54"/>
  <c r="GV75" i="54"/>
  <c r="GV111" i="54"/>
  <c r="GV147" i="54"/>
  <c r="GV183" i="54"/>
  <c r="GV219" i="54"/>
  <c r="GV255" i="54"/>
  <c r="GV28" i="54"/>
  <c r="GV64" i="54"/>
  <c r="GV100" i="54"/>
  <c r="GV136" i="54"/>
  <c r="GV172" i="54"/>
  <c r="GV208" i="54"/>
  <c r="GV244" i="54"/>
  <c r="GV17" i="54"/>
  <c r="GV53" i="54"/>
  <c r="GV89" i="54"/>
  <c r="GV125" i="54"/>
  <c r="GV161" i="54"/>
  <c r="GV197" i="54"/>
  <c r="GV233" i="54"/>
  <c r="GV12" i="54"/>
  <c r="GV48" i="54"/>
  <c r="GV84" i="54"/>
  <c r="GV120" i="54"/>
  <c r="GV156" i="54"/>
  <c r="GV192" i="54"/>
  <c r="GV228" i="54"/>
  <c r="GV264" i="54"/>
  <c r="GV31" i="54"/>
  <c r="GV73" i="54"/>
  <c r="GV115" i="54"/>
  <c r="GV157" i="54"/>
  <c r="GV199" i="54"/>
  <c r="GV235" i="54"/>
  <c r="GV14" i="54"/>
  <c r="GV50" i="54"/>
  <c r="GV86" i="54"/>
  <c r="GV122" i="54"/>
  <c r="GV158" i="54"/>
  <c r="GV194" i="54"/>
  <c r="GV230" i="54"/>
  <c r="GV266" i="54"/>
  <c r="GV45" i="54"/>
  <c r="GV81" i="54"/>
  <c r="GV117" i="54"/>
  <c r="GV153" i="54"/>
  <c r="GV189" i="54"/>
  <c r="GV225" i="54"/>
  <c r="GV261" i="54"/>
  <c r="GV34" i="54"/>
  <c r="GV70" i="54"/>
  <c r="GV106" i="54"/>
  <c r="GV142" i="54"/>
  <c r="GV178" i="54"/>
  <c r="GV214" i="54"/>
  <c r="GV250" i="54"/>
  <c r="GV23" i="54"/>
  <c r="GV59" i="54"/>
  <c r="GV95" i="54"/>
  <c r="GV131" i="54"/>
  <c r="GV167" i="54"/>
  <c r="GV203" i="54"/>
  <c r="GV239" i="54"/>
  <c r="GV18" i="54"/>
  <c r="GV54" i="54"/>
  <c r="GV90" i="54"/>
  <c r="GV37" i="54"/>
  <c r="GV79" i="54"/>
  <c r="GV121" i="54"/>
  <c r="GV169" i="54"/>
  <c r="GV205" i="54"/>
  <c r="GV241" i="54"/>
  <c r="GV20" i="54"/>
  <c r="GV56" i="54"/>
  <c r="GV92" i="54"/>
  <c r="GV128" i="54"/>
  <c r="GV164" i="54"/>
  <c r="GV200" i="54"/>
  <c r="GV236" i="54"/>
  <c r="GV15" i="54"/>
  <c r="GV51" i="54"/>
  <c r="GV87" i="54"/>
  <c r="GV123" i="54"/>
  <c r="GV159" i="54"/>
  <c r="GV195" i="54"/>
  <c r="GV231" i="54"/>
  <c r="GV267" i="54"/>
  <c r="GV40" i="54"/>
  <c r="GV76" i="54"/>
  <c r="GV112" i="54"/>
  <c r="GV148" i="54"/>
  <c r="GV184" i="54"/>
  <c r="GV220" i="54"/>
  <c r="GV256" i="54"/>
  <c r="GV29" i="54"/>
  <c r="GV65" i="54"/>
  <c r="GV101" i="54"/>
  <c r="GV137" i="54"/>
  <c r="GV173" i="54"/>
  <c r="GV209" i="54"/>
  <c r="GV245" i="54"/>
  <c r="GV24" i="54"/>
  <c r="GV60" i="54"/>
  <c r="GV96" i="54"/>
  <c r="GV132" i="54"/>
  <c r="GV168" i="54"/>
  <c r="GV204" i="54"/>
  <c r="GV240" i="54"/>
  <c r="GV72" i="54"/>
  <c r="GV150" i="54"/>
  <c r="GV210" i="54"/>
  <c r="GV258" i="54"/>
  <c r="GV102" i="54"/>
  <c r="GV162" i="54"/>
  <c r="GV216" i="54"/>
  <c r="GV108" i="54"/>
  <c r="GV174" i="54"/>
  <c r="GV222" i="54"/>
  <c r="GV126" i="54"/>
  <c r="GV180" i="54"/>
  <c r="GV234" i="54"/>
  <c r="GV138" i="54"/>
  <c r="GV186" i="54"/>
  <c r="GV246" i="54"/>
  <c r="GV144" i="54"/>
  <c r="GV198" i="54"/>
  <c r="GV252" i="54"/>
  <c r="EI34" i="54"/>
  <c r="EI70" i="54"/>
  <c r="EI106" i="54"/>
  <c r="EI142" i="54"/>
  <c r="EI178" i="54"/>
  <c r="EI214" i="54"/>
  <c r="EI250" i="54"/>
  <c r="EI23" i="54"/>
  <c r="EI10" i="54"/>
  <c r="EI46" i="54"/>
  <c r="EI82" i="54"/>
  <c r="EI118" i="54"/>
  <c r="EI154" i="54"/>
  <c r="EI190" i="54"/>
  <c r="EI226" i="54"/>
  <c r="EI262" i="54"/>
  <c r="EI35" i="54"/>
  <c r="EI71" i="54"/>
  <c r="EI107" i="54"/>
  <c r="EI143" i="54"/>
  <c r="EI179" i="54"/>
  <c r="EI215" i="54"/>
  <c r="EI251" i="54"/>
  <c r="EI30" i="54"/>
  <c r="EI66" i="54"/>
  <c r="EI102" i="54"/>
  <c r="EI138" i="54"/>
  <c r="EI174" i="54"/>
  <c r="EI210" i="54"/>
  <c r="EI246" i="54"/>
  <c r="EI25" i="54"/>
  <c r="EI61" i="54"/>
  <c r="EI97" i="54"/>
  <c r="EI133" i="54"/>
  <c r="EI169" i="54"/>
  <c r="EI205" i="54"/>
  <c r="EI241" i="54"/>
  <c r="EI20" i="54"/>
  <c r="EI56" i="54"/>
  <c r="EI92" i="54"/>
  <c r="EI128" i="54"/>
  <c r="EI164" i="54"/>
  <c r="EI200" i="54"/>
  <c r="EI236" i="54"/>
  <c r="EI15" i="54"/>
  <c r="EI51" i="54"/>
  <c r="EI87" i="54"/>
  <c r="EI123" i="54"/>
  <c r="EI159" i="54"/>
  <c r="EI195" i="54"/>
  <c r="EI231" i="54"/>
  <c r="EI267" i="54"/>
  <c r="EI52" i="54"/>
  <c r="EI100" i="54"/>
  <c r="EI160" i="54"/>
  <c r="EI208" i="54"/>
  <c r="EI268" i="54"/>
  <c r="EI53" i="54"/>
  <c r="EI95" i="54"/>
  <c r="EI137" i="54"/>
  <c r="EI185" i="54"/>
  <c r="EI227" i="54"/>
  <c r="EI12" i="54"/>
  <c r="EI54" i="54"/>
  <c r="EI96" i="54"/>
  <c r="EI144" i="54"/>
  <c r="EI186" i="54"/>
  <c r="EI228" i="54"/>
  <c r="EI13" i="54"/>
  <c r="EI55" i="54"/>
  <c r="EI103" i="54"/>
  <c r="EI145" i="54"/>
  <c r="EI187" i="54"/>
  <c r="EI229" i="54"/>
  <c r="EI14" i="54"/>
  <c r="EI62" i="54"/>
  <c r="EI104" i="54"/>
  <c r="EI146" i="54"/>
  <c r="EI188" i="54"/>
  <c r="EI230" i="54"/>
  <c r="EI21" i="54"/>
  <c r="EI63" i="54"/>
  <c r="EI105" i="54"/>
  <c r="EI147" i="54"/>
  <c r="EI189" i="54"/>
  <c r="EI237" i="54"/>
  <c r="EI58" i="54"/>
  <c r="EI112" i="54"/>
  <c r="EI166" i="54"/>
  <c r="EI220" i="54"/>
  <c r="EI11" i="54"/>
  <c r="EI59" i="54"/>
  <c r="EI101" i="54"/>
  <c r="EI149" i="54"/>
  <c r="EI191" i="54"/>
  <c r="EI233" i="54"/>
  <c r="EI18" i="54"/>
  <c r="EI60" i="54"/>
  <c r="EI108" i="54"/>
  <c r="EI150" i="54"/>
  <c r="EI192" i="54"/>
  <c r="EI234" i="54"/>
  <c r="EI19" i="54"/>
  <c r="EI67" i="54"/>
  <c r="EI109" i="54"/>
  <c r="EI151" i="54"/>
  <c r="EI193" i="54"/>
  <c r="EI235" i="54"/>
  <c r="EI26" i="54"/>
  <c r="EI68" i="54"/>
  <c r="EI110" i="54"/>
  <c r="EI152" i="54"/>
  <c r="EI194" i="54"/>
  <c r="EI242" i="54"/>
  <c r="EI27" i="54"/>
  <c r="EI69" i="54"/>
  <c r="EI111" i="54"/>
  <c r="EI153" i="54"/>
  <c r="EI201" i="54"/>
  <c r="EI243" i="54"/>
  <c r="EI16" i="54"/>
  <c r="EI64" i="54"/>
  <c r="EI124" i="54"/>
  <c r="EI172" i="54"/>
  <c r="EI232" i="54"/>
  <c r="EI17" i="54"/>
  <c r="EI65" i="54"/>
  <c r="EI113" i="54"/>
  <c r="EI155" i="54"/>
  <c r="EI197" i="54"/>
  <c r="EI239" i="54"/>
  <c r="EI24" i="54"/>
  <c r="EI72" i="54"/>
  <c r="EI114" i="54"/>
  <c r="EI156" i="54"/>
  <c r="EI198" i="54"/>
  <c r="EI240" i="54"/>
  <c r="EI31" i="54"/>
  <c r="EI73" i="54"/>
  <c r="EI115" i="54"/>
  <c r="EI157" i="54"/>
  <c r="EI199" i="54"/>
  <c r="EI247" i="54"/>
  <c r="EI32" i="54"/>
  <c r="EI74" i="54"/>
  <c r="EI116" i="54"/>
  <c r="EI158" i="54"/>
  <c r="EI206" i="54"/>
  <c r="EI248" i="54"/>
  <c r="EI33" i="54"/>
  <c r="EI75" i="54"/>
  <c r="EI117" i="54"/>
  <c r="EI165" i="54"/>
  <c r="EI207" i="54"/>
  <c r="EI249" i="54"/>
  <c r="EI22" i="54"/>
  <c r="EI76" i="54"/>
  <c r="EI130" i="54"/>
  <c r="EI184" i="54"/>
  <c r="EI238" i="54"/>
  <c r="EI29" i="54"/>
  <c r="EI77" i="54"/>
  <c r="EI119" i="54"/>
  <c r="EI161" i="54"/>
  <c r="EI203" i="54"/>
  <c r="EI245" i="54"/>
  <c r="EI36" i="54"/>
  <c r="EI78" i="54"/>
  <c r="EI120" i="54"/>
  <c r="EI162" i="54"/>
  <c r="EI204" i="54"/>
  <c r="EI252" i="54"/>
  <c r="EI37" i="54"/>
  <c r="EI79" i="54"/>
  <c r="EI121" i="54"/>
  <c r="EI163" i="54"/>
  <c r="EI211" i="54"/>
  <c r="EI253" i="54"/>
  <c r="EI38" i="54"/>
  <c r="EI80" i="54"/>
  <c r="EI122" i="54"/>
  <c r="EI170" i="54"/>
  <c r="EI212" i="54"/>
  <c r="EI254" i="54"/>
  <c r="EI39" i="54"/>
  <c r="EI81" i="54"/>
  <c r="EI129" i="54"/>
  <c r="EI171" i="54"/>
  <c r="EI213" i="54"/>
  <c r="EI255" i="54"/>
  <c r="EI28" i="54"/>
  <c r="EI88" i="54"/>
  <c r="EI136" i="54"/>
  <c r="EI196" i="54"/>
  <c r="EI244" i="54"/>
  <c r="EI41" i="54"/>
  <c r="EI83" i="54"/>
  <c r="EI125" i="54"/>
  <c r="EI167" i="54"/>
  <c r="EI209" i="54"/>
  <c r="EI257" i="54"/>
  <c r="EI42" i="54"/>
  <c r="EI84" i="54"/>
  <c r="EI126" i="54"/>
  <c r="EI168" i="54"/>
  <c r="EI216" i="54"/>
  <c r="EI258" i="54"/>
  <c r="EI43" i="54"/>
  <c r="EI85" i="54"/>
  <c r="EI127" i="54"/>
  <c r="EI175" i="54"/>
  <c r="EI217" i="54"/>
  <c r="EI259" i="54"/>
  <c r="EI44" i="54"/>
  <c r="EI86" i="54"/>
  <c r="EI134" i="54"/>
  <c r="EI176" i="54"/>
  <c r="EI218" i="54"/>
  <c r="EI260" i="54"/>
  <c r="EI45" i="54"/>
  <c r="EI93" i="54"/>
  <c r="EI135" i="54"/>
  <c r="EI177" i="54"/>
  <c r="EI219" i="54"/>
  <c r="EI261" i="54"/>
  <c r="EI40" i="54"/>
  <c r="EI94" i="54"/>
  <c r="EI148" i="54"/>
  <c r="EI202" i="54"/>
  <c r="EI256" i="54"/>
  <c r="EI47" i="54"/>
  <c r="EI89" i="54"/>
  <c r="EI131" i="54"/>
  <c r="EI173" i="54"/>
  <c r="EI221" i="54"/>
  <c r="EI263" i="54"/>
  <c r="EI48" i="54"/>
  <c r="EI90" i="54"/>
  <c r="EI132" i="54"/>
  <c r="EI180" i="54"/>
  <c r="EI222" i="54"/>
  <c r="EI264" i="54"/>
  <c r="EI49" i="54"/>
  <c r="EI91" i="54"/>
  <c r="EI139" i="54"/>
  <c r="EI181" i="54"/>
  <c r="EI223" i="54"/>
  <c r="EI265" i="54"/>
  <c r="EI50" i="54"/>
  <c r="EI98" i="54"/>
  <c r="EI140" i="54"/>
  <c r="EI182" i="54"/>
  <c r="EI224" i="54"/>
  <c r="EI266" i="54"/>
  <c r="EI57" i="54"/>
  <c r="EI99" i="54"/>
  <c r="EI141" i="54"/>
  <c r="EI183" i="54"/>
  <c r="EI225" i="54"/>
  <c r="EY7"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71" i="54"/>
  <c r="HQ71" i="54"/>
  <c r="HR243" i="54"/>
  <c r="HQ243" i="54"/>
  <c r="HR242" i="54"/>
  <c r="HQ242" i="54"/>
  <c r="HR104" i="54"/>
  <c r="HQ104" i="54"/>
  <c r="HR103" i="54"/>
  <c r="HQ103" i="54"/>
  <c r="HR102" i="54"/>
  <c r="HQ102" i="54"/>
  <c r="HQ221" i="54"/>
  <c r="HQ226" i="54"/>
  <c r="HR226"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R54" i="54"/>
  <c r="HQ54" i="54"/>
  <c r="HQ233" i="54"/>
  <c r="HR233" i="54"/>
  <c r="HQ147" i="54"/>
  <c r="HR147" i="54"/>
  <c r="HR86" i="54"/>
  <c r="HQ86" i="54"/>
  <c r="HR49" i="54"/>
  <c r="HQ49" i="54"/>
  <c r="HR250" i="54"/>
  <c r="HQ250" i="54"/>
  <c r="HR219" i="54"/>
  <c r="HQ219" i="54"/>
  <c r="HR117" i="54"/>
  <c r="HQ117" i="54"/>
  <c r="HQ209" i="54"/>
  <c r="HN137" i="54"/>
  <c r="HU137" i="54" s="1"/>
  <c r="HR137" i="54"/>
  <c r="HQ137" i="54"/>
  <c r="HR29" i="54"/>
  <c r="HQ29" i="54"/>
  <c r="HN267" i="54"/>
  <c r="HU267" i="54" s="1"/>
  <c r="HR31" i="54"/>
  <c r="HQ31" i="54"/>
  <c r="DC32" i="54"/>
  <c r="DA32" i="54"/>
  <c r="DB33" i="54" s="1"/>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R60" i="54" l="1"/>
  <c r="HU176" i="54"/>
  <c r="HQ151" i="54"/>
  <c r="HU148" i="54"/>
  <c r="HQ105" i="54"/>
  <c r="HU175" i="54"/>
  <c r="HR88" i="54"/>
  <c r="HR47" i="54"/>
  <c r="EJ139" i="54"/>
  <c r="EJ192" i="54"/>
  <c r="EJ191" i="54"/>
  <c r="ER191" i="54" s="1"/>
  <c r="EJ87" i="54"/>
  <c r="ER87" i="54" s="1"/>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U171" i="54" s="1"/>
  <c r="HQ171" i="54"/>
  <c r="HR171" i="54"/>
  <c r="HN209" i="54"/>
  <c r="HU209" i="54" s="1"/>
  <c r="EJ89" i="54"/>
  <c r="EJ262" i="54"/>
  <c r="ER262" i="54" s="1"/>
  <c r="GR176" i="54"/>
  <c r="GS176" i="54" s="1"/>
  <c r="HA176" i="54" s="1"/>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Y205" i="54" s="1"/>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Y42" i="54" s="1"/>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Y146" i="54" s="1"/>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ER53" i="54" s="1"/>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W128" i="54" s="1"/>
  <c r="GR210" i="54"/>
  <c r="GS210" i="54" s="1"/>
  <c r="HA210" i="54" s="1"/>
  <c r="HQ112" i="54"/>
  <c r="HQ173" i="54"/>
  <c r="HQ48" i="54"/>
  <c r="HQ153" i="54"/>
  <c r="HQ113" i="54"/>
  <c r="EJ57" i="54"/>
  <c r="ER57" i="54" s="1"/>
  <c r="EJ50" i="54"/>
  <c r="ER50" i="54" s="1"/>
  <c r="EJ48" i="54"/>
  <c r="EJ47" i="54"/>
  <c r="EJ257" i="54"/>
  <c r="ER257" i="54" s="1"/>
  <c r="EJ213" i="54"/>
  <c r="ER213" i="54" s="1"/>
  <c r="EJ212" i="54"/>
  <c r="ER212" i="54" s="1"/>
  <c r="EJ204" i="54"/>
  <c r="EJ184" i="54"/>
  <c r="EJ165" i="54"/>
  <c r="EJ158" i="54"/>
  <c r="ER158" i="54" s="1"/>
  <c r="EJ110" i="54"/>
  <c r="ER110" i="54" s="1"/>
  <c r="EJ109" i="54"/>
  <c r="ER109" i="54" s="1"/>
  <c r="EJ108" i="54"/>
  <c r="ER108" i="54" s="1"/>
  <c r="EJ101" i="54"/>
  <c r="EJ14" i="54"/>
  <c r="EJ12" i="54"/>
  <c r="ER12" i="54" s="1"/>
  <c r="HQ127" i="54"/>
  <c r="GR161" i="54"/>
  <c r="GS161" i="54" s="1"/>
  <c r="GR255" i="54"/>
  <c r="GX255" i="54" s="1"/>
  <c r="GR32" i="54"/>
  <c r="GR24" i="54"/>
  <c r="GR130" i="54"/>
  <c r="GS130" i="54" s="1"/>
  <c r="HA130" i="54" s="1"/>
  <c r="GR194" i="54"/>
  <c r="GS194" i="54" s="1"/>
  <c r="HA194" i="54" s="1"/>
  <c r="GR192" i="54"/>
  <c r="GS192" i="54" s="1"/>
  <c r="HA192" i="54" s="1"/>
  <c r="GR268" i="54"/>
  <c r="GW268" i="54" s="1"/>
  <c r="GR99" i="54"/>
  <c r="GR103" i="54"/>
  <c r="GR143" i="54"/>
  <c r="GS143" i="54" s="1"/>
  <c r="HA143" i="54" s="1"/>
  <c r="GR237" i="54"/>
  <c r="GW237" i="54" s="1"/>
  <c r="GR265" i="54"/>
  <c r="GS265" i="54" s="1"/>
  <c r="GR245" i="54"/>
  <c r="GX245" i="54" s="1"/>
  <c r="GR76" i="54"/>
  <c r="GR134" i="54"/>
  <c r="GR126" i="54"/>
  <c r="GS126" i="54" s="1"/>
  <c r="HA126" i="54" s="1"/>
  <c r="GR178" i="54"/>
  <c r="GS178" i="54" s="1"/>
  <c r="HA178" i="54" s="1"/>
  <c r="GR254" i="54"/>
  <c r="GS254" i="54" s="1"/>
  <c r="GR252" i="54"/>
  <c r="GS252" i="54" s="1"/>
  <c r="HA252" i="54" s="1"/>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R98" i="54" s="1"/>
  <c r="EJ245" i="54"/>
  <c r="GR197" i="54"/>
  <c r="GS197" i="54" s="1"/>
  <c r="HA197" i="54" s="1"/>
  <c r="GR74" i="54"/>
  <c r="GR242" i="54"/>
  <c r="GS242" i="54" s="1"/>
  <c r="HA242" i="54" s="1"/>
  <c r="GR135" i="54"/>
  <c r="GX135" i="54" s="1"/>
  <c r="GR179" i="54"/>
  <c r="GX179" i="54" s="1"/>
  <c r="GR48" i="54"/>
  <c r="GS48" i="54" s="1"/>
  <c r="GR214" i="54"/>
  <c r="GS214" i="54" s="1"/>
  <c r="HA214" i="54" s="1"/>
  <c r="GR37" i="54"/>
  <c r="HQ266" i="54"/>
  <c r="HQ213" i="54"/>
  <c r="HQ16" i="54"/>
  <c r="HR112" i="54"/>
  <c r="HQ101" i="54"/>
  <c r="HR173" i="54"/>
  <c r="HR48" i="54"/>
  <c r="HR153" i="54"/>
  <c r="HR113" i="54"/>
  <c r="EJ266" i="54"/>
  <c r="EJ264" i="54"/>
  <c r="ER264" i="54" s="1"/>
  <c r="EJ263" i="54"/>
  <c r="EJ216" i="54"/>
  <c r="ER216" i="54" s="1"/>
  <c r="EJ161" i="54"/>
  <c r="ER161" i="54" s="1"/>
  <c r="EJ130" i="54"/>
  <c r="EJ115" i="54"/>
  <c r="EJ113" i="54"/>
  <c r="ER113" i="54" s="1"/>
  <c r="EJ64" i="54"/>
  <c r="EJ69" i="54"/>
  <c r="ER69" i="54" s="1"/>
  <c r="EJ68" i="54"/>
  <c r="ER68" i="54" s="1"/>
  <c r="EJ67" i="54"/>
  <c r="ER67" i="54" s="1"/>
  <c r="EJ60" i="54"/>
  <c r="EJ230" i="54"/>
  <c r="EJ228" i="54"/>
  <c r="EJ227" i="54"/>
  <c r="ER227" i="54" s="1"/>
  <c r="HQ157" i="54"/>
  <c r="HR145" i="54"/>
  <c r="GR125" i="54"/>
  <c r="GS125" i="54" s="1"/>
  <c r="HA125" i="54" s="1"/>
  <c r="GR219" i="54"/>
  <c r="GS219" i="54" s="1"/>
  <c r="HA219" i="54" s="1"/>
  <c r="GR247" i="54"/>
  <c r="GR263" i="54"/>
  <c r="GS263" i="54" s="1"/>
  <c r="HA263" i="54" s="1"/>
  <c r="GR94" i="54"/>
  <c r="GX94" i="54" s="1"/>
  <c r="GR152" i="54"/>
  <c r="GW152" i="54" s="1"/>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R86" i="54"/>
  <c r="GS86" i="54" s="1"/>
  <c r="HA86" i="54" s="1"/>
  <c r="GR84" i="54"/>
  <c r="GX84" i="54" s="1"/>
  <c r="GR142" i="54"/>
  <c r="GW142" i="54" s="1"/>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GR164" i="54"/>
  <c r="GS164" i="54" s="1"/>
  <c r="HA164" i="54" s="1"/>
  <c r="GR78" i="54"/>
  <c r="GS78" i="54" s="1"/>
  <c r="HA78" i="54" s="1"/>
  <c r="GR79" i="54"/>
  <c r="GS79" i="54" s="1"/>
  <c r="HA79" i="54" s="1"/>
  <c r="GR80" i="54"/>
  <c r="GS80" i="54" s="1"/>
  <c r="GR81" i="54"/>
  <c r="GS81" i="54" s="1"/>
  <c r="HA81" i="54" s="1"/>
  <c r="GR34" i="54"/>
  <c r="GS34" i="54" s="1"/>
  <c r="GR250" i="54"/>
  <c r="GS250" i="54" s="1"/>
  <c r="HA250" i="54" s="1"/>
  <c r="GR203" i="54"/>
  <c r="GS203" i="54" s="1"/>
  <c r="HA203" i="54" s="1"/>
  <c r="GR216" i="54"/>
  <c r="GS216" i="54" s="1"/>
  <c r="HA216" i="54" s="1"/>
  <c r="GR217" i="54"/>
  <c r="GS217" i="54" s="1"/>
  <c r="GR218" i="54"/>
  <c r="GS218" i="54" s="1"/>
  <c r="HA218" i="54" s="1"/>
  <c r="GR195" i="54"/>
  <c r="GS195" i="54" s="1"/>
  <c r="GR148" i="54"/>
  <c r="GS148" i="54" s="1"/>
  <c r="HA148" i="54" s="1"/>
  <c r="GR101" i="54"/>
  <c r="GS101" i="54" s="1"/>
  <c r="GR90" i="54"/>
  <c r="GS90" i="54" s="1"/>
  <c r="HA90" i="54" s="1"/>
  <c r="GR91" i="54"/>
  <c r="GS91" i="54" s="1"/>
  <c r="GR98" i="54"/>
  <c r="GS98" i="54" s="1"/>
  <c r="GR93" i="54"/>
  <c r="GS93" i="54" s="1"/>
  <c r="GR46" i="54"/>
  <c r="GS46" i="54" s="1"/>
  <c r="HA46" i="54" s="1"/>
  <c r="GR262" i="54"/>
  <c r="GS262" i="54" s="1"/>
  <c r="HA262" i="54" s="1"/>
  <c r="GR215" i="54"/>
  <c r="GS215" i="54" s="1"/>
  <c r="HA215" i="54" s="1"/>
  <c r="GR186" i="54"/>
  <c r="GS186" i="54" s="1"/>
  <c r="GR187" i="54"/>
  <c r="GS187" i="54" s="1"/>
  <c r="HA187" i="54" s="1"/>
  <c r="GR188" i="54"/>
  <c r="GS188" i="54" s="1"/>
  <c r="GR171" i="54"/>
  <c r="GS171" i="54" s="1"/>
  <c r="HA171" i="54" s="1"/>
  <c r="GR124" i="54"/>
  <c r="GS124" i="54" s="1"/>
  <c r="HA124" i="54" s="1"/>
  <c r="GR77" i="54"/>
  <c r="GS77" i="54" s="1"/>
  <c r="HA77" i="54" s="1"/>
  <c r="GR18" i="54"/>
  <c r="GS18" i="54" s="1"/>
  <c r="GR19" i="54"/>
  <c r="GS19" i="54" s="1"/>
  <c r="HA19" i="54" s="1"/>
  <c r="GR26" i="54"/>
  <c r="GS26" i="54" s="1"/>
  <c r="GR27" i="54"/>
  <c r="GS27" i="54" s="1"/>
  <c r="HA27" i="54" s="1"/>
  <c r="GR249" i="54"/>
  <c r="GS249" i="54" s="1"/>
  <c r="HA249" i="54" s="1"/>
  <c r="GR202" i="54"/>
  <c r="GS202" i="54" s="1"/>
  <c r="HA202" i="54" s="1"/>
  <c r="GR155" i="54"/>
  <c r="GS155" i="54" s="1"/>
  <c r="GR114" i="54"/>
  <c r="GS114" i="54" s="1"/>
  <c r="GR115" i="54"/>
  <c r="GS115" i="54" s="1"/>
  <c r="GR116" i="54"/>
  <c r="GS116" i="54" s="1"/>
  <c r="HA116" i="54" s="1"/>
  <c r="GR111" i="54"/>
  <c r="GS111" i="54" s="1"/>
  <c r="HA111" i="54" s="1"/>
  <c r="GR64" i="54"/>
  <c r="GS64" i="54" s="1"/>
  <c r="HA64" i="54" s="1"/>
  <c r="GR17" i="54"/>
  <c r="GS17" i="54" s="1"/>
  <c r="GR233" i="54"/>
  <c r="GS233" i="54" s="1"/>
  <c r="HA233" i="54" s="1"/>
  <c r="GR66" i="54"/>
  <c r="GR25" i="54"/>
  <c r="GS25" i="54" s="1"/>
  <c r="HA25" i="54" s="1"/>
  <c r="GR241" i="54"/>
  <c r="GS241" i="54" s="1"/>
  <c r="HA241" i="54" s="1"/>
  <c r="GR200" i="54"/>
  <c r="GS200" i="54" s="1"/>
  <c r="HA200" i="54" s="1"/>
  <c r="GR120" i="54"/>
  <c r="GS120" i="54" s="1"/>
  <c r="HA120" i="54" s="1"/>
  <c r="GR121" i="54"/>
  <c r="GX121" i="54" s="1"/>
  <c r="GR122" i="54"/>
  <c r="GR117" i="54"/>
  <c r="GS117" i="54" s="1"/>
  <c r="GR70" i="54"/>
  <c r="GS70" i="54" s="1"/>
  <c r="HA70" i="54" s="1"/>
  <c r="GR23" i="54"/>
  <c r="GS23" i="54" s="1"/>
  <c r="HA23" i="54" s="1"/>
  <c r="GR239" i="54"/>
  <c r="GR258" i="54"/>
  <c r="GS258" i="54" s="1"/>
  <c r="HA258" i="54" s="1"/>
  <c r="GR259" i="54"/>
  <c r="GR260" i="54"/>
  <c r="GS260" i="54" s="1"/>
  <c r="GR231" i="54"/>
  <c r="GR184" i="54"/>
  <c r="GS184" i="54" s="1"/>
  <c r="HA184" i="54" s="1"/>
  <c r="GR137" i="54"/>
  <c r="GR132" i="54"/>
  <c r="GX132" i="54" s="1"/>
  <c r="GR139" i="54"/>
  <c r="GR140" i="54"/>
  <c r="GS140" i="54" s="1"/>
  <c r="HA140" i="54" s="1"/>
  <c r="GR129" i="54"/>
  <c r="GS129" i="54" s="1"/>
  <c r="HA129" i="54" s="1"/>
  <c r="GR82" i="54"/>
  <c r="GS82" i="54" s="1"/>
  <c r="HA82" i="54" s="1"/>
  <c r="GR35" i="54"/>
  <c r="GS35" i="54" s="1"/>
  <c r="HA35" i="54" s="1"/>
  <c r="GR251" i="54"/>
  <c r="GX251" i="54" s="1"/>
  <c r="GR228" i="54"/>
  <c r="GR229" i="54"/>
  <c r="GS229" i="54" s="1"/>
  <c r="GR230" i="54"/>
  <c r="GX230" i="54" s="1"/>
  <c r="GR207" i="54"/>
  <c r="GS207" i="54" s="1"/>
  <c r="HA207" i="54" s="1"/>
  <c r="GR160" i="54"/>
  <c r="GR113" i="54"/>
  <c r="GW113" i="54" s="1"/>
  <c r="GR60" i="54"/>
  <c r="GR67" i="54"/>
  <c r="GS67" i="54" s="1"/>
  <c r="HA67" i="54" s="1"/>
  <c r="GR68" i="54"/>
  <c r="GS68" i="54" s="1"/>
  <c r="HA68" i="54" s="1"/>
  <c r="GR69" i="54"/>
  <c r="GS69" i="54" s="1"/>
  <c r="HA69" i="54" s="1"/>
  <c r="GR22" i="54"/>
  <c r="GR238" i="54"/>
  <c r="GX238" i="54" s="1"/>
  <c r="GR191" i="54"/>
  <c r="GR156" i="54"/>
  <c r="GS156" i="54" s="1"/>
  <c r="HA156" i="54" s="1"/>
  <c r="GR157" i="54"/>
  <c r="GX157" i="54" s="1"/>
  <c r="GR158" i="54"/>
  <c r="GS158" i="54" s="1"/>
  <c r="GR147" i="54"/>
  <c r="GS147" i="54" s="1"/>
  <c r="HA147" i="54" s="1"/>
  <c r="GR100" i="54"/>
  <c r="GS100" i="54" s="1"/>
  <c r="HA100" i="54" s="1"/>
  <c r="GR53" i="54"/>
  <c r="GR102" i="54"/>
  <c r="GW102" i="54" s="1"/>
  <c r="GR61" i="54"/>
  <c r="GS61" i="54" s="1"/>
  <c r="HA61" i="54" s="1"/>
  <c r="GR20" i="54"/>
  <c r="GS20" i="54" s="1"/>
  <c r="HA20" i="54" s="1"/>
  <c r="GR236" i="54"/>
  <c r="GR162" i="54"/>
  <c r="GX162" i="54" s="1"/>
  <c r="GR163" i="54"/>
  <c r="GR170" i="54"/>
  <c r="GX170" i="54" s="1"/>
  <c r="GR153" i="54"/>
  <c r="GW153" i="54" s="1"/>
  <c r="GR106" i="54"/>
  <c r="GS106" i="54" s="1"/>
  <c r="HA106" i="54" s="1"/>
  <c r="GR59" i="54"/>
  <c r="GR42" i="54"/>
  <c r="GS42" i="54" s="1"/>
  <c r="HA42" i="54" s="1"/>
  <c r="GR43" i="54"/>
  <c r="GR44" i="54"/>
  <c r="GS44" i="54" s="1"/>
  <c r="HA44" i="54" s="1"/>
  <c r="GR45" i="54"/>
  <c r="GS45" i="54" s="1"/>
  <c r="HA45" i="54" s="1"/>
  <c r="GR267" i="54"/>
  <c r="GS267" i="54" s="1"/>
  <c r="HA267" i="54" s="1"/>
  <c r="GR220" i="54"/>
  <c r="GR173" i="54"/>
  <c r="GS173" i="54" s="1"/>
  <c r="HA173" i="54" s="1"/>
  <c r="GR180" i="54"/>
  <c r="GR181" i="54"/>
  <c r="GS181" i="54" s="1"/>
  <c r="HA181" i="54" s="1"/>
  <c r="GR182" i="54"/>
  <c r="GW182" i="54" s="1"/>
  <c r="GR165" i="54"/>
  <c r="GS165" i="54" s="1"/>
  <c r="HA165" i="54" s="1"/>
  <c r="GR118" i="54"/>
  <c r="GR71" i="54"/>
  <c r="GW71" i="54" s="1"/>
  <c r="GR12" i="54"/>
  <c r="GR13" i="54"/>
  <c r="GS13" i="54" s="1"/>
  <c r="HA13" i="54" s="1"/>
  <c r="GR14" i="54"/>
  <c r="GX14" i="54" s="1"/>
  <c r="GR21" i="54"/>
  <c r="GS21" i="54" s="1"/>
  <c r="HA21" i="54" s="1"/>
  <c r="GR243" i="54"/>
  <c r="GR196" i="54"/>
  <c r="GW196" i="54" s="1"/>
  <c r="GR149" i="54"/>
  <c r="GR108" i="54"/>
  <c r="GS108" i="54" s="1"/>
  <c r="HA108" i="54" s="1"/>
  <c r="GR109" i="54"/>
  <c r="GS109" i="54" s="1"/>
  <c r="HA109" i="54" s="1"/>
  <c r="GR110" i="54"/>
  <c r="GS110" i="54" s="1"/>
  <c r="HA110" i="54" s="1"/>
  <c r="GR105" i="54"/>
  <c r="GR58" i="54"/>
  <c r="GW58" i="54" s="1"/>
  <c r="GR11" i="54"/>
  <c r="GR227" i="54"/>
  <c r="GX227" i="54" s="1"/>
  <c r="GR198" i="54"/>
  <c r="GX198" i="54" s="1"/>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W267" i="54" s="1"/>
  <c r="HR101" i="54"/>
  <c r="HQ178" i="54"/>
  <c r="EJ225" i="54"/>
  <c r="ER225" i="54" s="1"/>
  <c r="EJ223" i="54"/>
  <c r="EJ222" i="54"/>
  <c r="ER222" i="54" s="1"/>
  <c r="EJ221" i="54"/>
  <c r="ER221" i="54" s="1"/>
  <c r="EJ202" i="54"/>
  <c r="ER202" i="54" s="1"/>
  <c r="EJ175" i="54"/>
  <c r="EJ168" i="54"/>
  <c r="ER168" i="54" s="1"/>
  <c r="EJ129" i="54"/>
  <c r="EJ120" i="54"/>
  <c r="ER120" i="54" s="1"/>
  <c r="EJ119" i="54"/>
  <c r="ER119" i="54" s="1"/>
  <c r="EJ76" i="54"/>
  <c r="ER76" i="54" s="1"/>
  <c r="EJ74" i="54"/>
  <c r="EJ73" i="54"/>
  <c r="ER73" i="54" s="1"/>
  <c r="EJ72" i="54"/>
  <c r="EJ65" i="54"/>
  <c r="ER65" i="54" s="1"/>
  <c r="EJ16" i="54"/>
  <c r="EJ27" i="54"/>
  <c r="ER27" i="54" s="1"/>
  <c r="EJ26" i="54"/>
  <c r="ER26" i="54" s="1"/>
  <c r="EJ11" i="54"/>
  <c r="ER11" i="54" s="1"/>
  <c r="EJ189" i="54"/>
  <c r="EJ187" i="54"/>
  <c r="EJ186" i="54"/>
  <c r="EJ185" i="54"/>
  <c r="ER185" i="54" s="1"/>
  <c r="HR157" i="54"/>
  <c r="HQ145" i="54"/>
  <c r="GR244" i="54"/>
  <c r="GR75" i="54"/>
  <c r="GW75" i="54" s="1"/>
  <c r="GR73" i="54"/>
  <c r="GS73" i="54" s="1"/>
  <c r="HA73" i="54" s="1"/>
  <c r="GR119" i="54"/>
  <c r="GW119" i="54" s="1"/>
  <c r="GR213" i="54"/>
  <c r="GS213" i="54" s="1"/>
  <c r="GR235" i="54"/>
  <c r="GS235" i="54" s="1"/>
  <c r="HA235" i="54" s="1"/>
  <c r="GR257" i="54"/>
  <c r="GS257" i="54" s="1"/>
  <c r="HA257" i="54" s="1"/>
  <c r="GR88" i="54"/>
  <c r="GX88" i="54" s="1"/>
  <c r="GR146" i="54"/>
  <c r="GS146" i="54" s="1"/>
  <c r="HA146" i="54" s="1"/>
  <c r="GR144" i="54"/>
  <c r="GX144" i="54" s="1"/>
  <c r="GR226" i="54"/>
  <c r="GS226" i="54" s="1"/>
  <c r="GR57" i="54"/>
  <c r="GX57" i="54" s="1"/>
  <c r="GR49" i="54"/>
  <c r="GR65" i="54"/>
  <c r="GS65" i="54" s="1"/>
  <c r="HA65" i="54" s="1"/>
  <c r="GR159" i="54"/>
  <c r="GX159" i="54" s="1"/>
  <c r="GR175" i="54"/>
  <c r="GR167" i="54"/>
  <c r="GS167" i="54" s="1"/>
  <c r="GR261" i="54"/>
  <c r="GX261" i="54" s="1"/>
  <c r="GR38" i="54"/>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R99" i="54" s="1"/>
  <c r="EJ206" i="54"/>
  <c r="ER206" i="54" s="1"/>
  <c r="EJ172" i="54"/>
  <c r="EJ151" i="54"/>
  <c r="ER151" i="54" s="1"/>
  <c r="EJ54" i="54"/>
  <c r="GR72" i="54"/>
  <c r="GX72" i="54" s="1"/>
  <c r="HR178" i="54"/>
  <c r="HQ194" i="54"/>
  <c r="HQ26" i="54"/>
  <c r="GR208" i="54"/>
  <c r="GS208" i="54" s="1"/>
  <c r="HA208" i="54" s="1"/>
  <c r="GR33" i="54"/>
  <c r="GR31" i="54"/>
  <c r="GS31" i="54" s="1"/>
  <c r="HA31" i="54" s="1"/>
  <c r="GR83" i="54"/>
  <c r="GS83" i="54" s="1"/>
  <c r="HA83" i="54" s="1"/>
  <c r="GR177" i="54"/>
  <c r="GS177" i="54" s="1"/>
  <c r="HA177" i="54" s="1"/>
  <c r="GR193" i="54"/>
  <c r="GS193" i="54" s="1"/>
  <c r="GR221" i="54"/>
  <c r="GS221" i="54" s="1"/>
  <c r="HA221" i="54" s="1"/>
  <c r="GR52" i="54"/>
  <c r="GR104" i="54"/>
  <c r="GS104" i="54" s="1"/>
  <c r="HA104" i="54" s="1"/>
  <c r="GR96" i="54"/>
  <c r="GS96" i="54" s="1"/>
  <c r="HA96" i="54" s="1"/>
  <c r="GR190" i="54"/>
  <c r="GS190" i="54" s="1"/>
  <c r="HA190" i="54" s="1"/>
  <c r="GR266" i="54"/>
  <c r="GS266" i="54" s="1"/>
  <c r="GR264" i="54"/>
  <c r="GS264" i="54" s="1"/>
  <c r="HA264" i="54" s="1"/>
  <c r="GR29" i="54"/>
  <c r="GR123" i="54"/>
  <c r="GS123" i="54" s="1"/>
  <c r="HA123" i="54" s="1"/>
  <c r="GR127" i="54"/>
  <c r="GS127" i="54" s="1"/>
  <c r="HA127" i="54" s="1"/>
  <c r="GR131" i="54"/>
  <c r="GS131" i="54" s="1"/>
  <c r="HA131" i="54" s="1"/>
  <c r="GR225" i="54"/>
  <c r="GS225" i="54" s="1"/>
  <c r="GR253" i="54"/>
  <c r="GS253" i="54" s="1"/>
  <c r="HA253" i="54" s="1"/>
  <c r="GR51" i="54"/>
  <c r="GS51" i="54" s="1"/>
  <c r="HA51" i="54" s="1"/>
  <c r="GR133" i="54"/>
  <c r="GS133" i="54" s="1"/>
  <c r="HA133" i="54" s="1"/>
  <c r="HQ190" i="54"/>
  <c r="HQ99" i="54"/>
  <c r="DR222" i="54"/>
  <c r="DR44" i="54"/>
  <c r="DR69" i="54"/>
  <c r="HQ220" i="54"/>
  <c r="HU236" i="54"/>
  <c r="HU51" i="54"/>
  <c r="HV51" i="54" s="1"/>
  <c r="EJ231" i="54"/>
  <c r="EJ15" i="54"/>
  <c r="EJ56" i="54"/>
  <c r="EJ97" i="54"/>
  <c r="ER97" i="54" s="1"/>
  <c r="EJ10" i="54"/>
  <c r="ER10" i="54" s="1"/>
  <c r="HU96" i="54"/>
  <c r="HU168" i="54"/>
  <c r="EJ208" i="54"/>
  <c r="ER208" i="54" s="1"/>
  <c r="EJ195" i="54"/>
  <c r="EJ61" i="54"/>
  <c r="ER61" i="54" s="1"/>
  <c r="EJ102" i="54"/>
  <c r="ER102" i="54" s="1"/>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85" i="54"/>
  <c r="HU174" i="54"/>
  <c r="HU170" i="54"/>
  <c r="HU157" i="54"/>
  <c r="HU195" i="54"/>
  <c r="HU239" i="54"/>
  <c r="HU107" i="54"/>
  <c r="HU202" i="54"/>
  <c r="HU218" i="54"/>
  <c r="HU20" i="54"/>
  <c r="HU160" i="54"/>
  <c r="HU40" i="54"/>
  <c r="HR260" i="54"/>
  <c r="HQ225" i="54"/>
  <c r="HQ255" i="54"/>
  <c r="HQ22" i="54"/>
  <c r="HQ10" i="54"/>
  <c r="HR27" i="54"/>
  <c r="GS244" i="54"/>
  <c r="HA244" i="54" s="1"/>
  <c r="GS74" i="54"/>
  <c r="HA74" i="54" s="1"/>
  <c r="GS234" i="54"/>
  <c r="GS50" i="54"/>
  <c r="GS49" i="54"/>
  <c r="HA49" i="54" s="1"/>
  <c r="GS159" i="54"/>
  <c r="HA159" i="54" s="1"/>
  <c r="GS168" i="54"/>
  <c r="GS38" i="54"/>
  <c r="GS37" i="54"/>
  <c r="GS128" i="54"/>
  <c r="HA128" i="54" s="1"/>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HA255" i="54" s="1"/>
  <c r="GS33" i="54"/>
  <c r="GS32" i="54"/>
  <c r="HA32" i="54" s="1"/>
  <c r="GS24" i="54"/>
  <c r="HA24" i="54" s="1"/>
  <c r="GS52" i="54"/>
  <c r="HA52" i="54" s="1"/>
  <c r="GS99" i="54"/>
  <c r="GS103" i="54"/>
  <c r="GS29" i="54"/>
  <c r="HA29" i="54" s="1"/>
  <c r="GS76" i="54"/>
  <c r="HA76" i="54" s="1"/>
  <c r="GS134" i="54"/>
  <c r="GS92"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HA247" i="54" s="1"/>
  <c r="GS240" i="54"/>
  <c r="HA240" i="54" s="1"/>
  <c r="GS47" i="54"/>
  <c r="GS141" i="54"/>
  <c r="GS151" i="54"/>
  <c r="HA151" i="54" s="1"/>
  <c r="GS185" i="54"/>
  <c r="HA185" i="54" s="1"/>
  <c r="GS16" i="54"/>
  <c r="HA16" i="54" s="1"/>
  <c r="GS63" i="54"/>
  <c r="GS62" i="54"/>
  <c r="HA62" i="54" s="1"/>
  <c r="GS54" i="54"/>
  <c r="GS154" i="54"/>
  <c r="HA154" i="54" s="1"/>
  <c r="GS224" i="54"/>
  <c r="HA224" i="54" s="1"/>
  <c r="GS222" i="54"/>
  <c r="GS256" i="54"/>
  <c r="HA256" i="54" s="1"/>
  <c r="GS40" i="54"/>
  <c r="GS87" i="54"/>
  <c r="GS85" i="54"/>
  <c r="HA85" i="54" s="1"/>
  <c r="GS84" i="54"/>
  <c r="HA84" i="54" s="1"/>
  <c r="GS95" i="54"/>
  <c r="HA95" i="54" s="1"/>
  <c r="GS189" i="54"/>
  <c r="HA189" i="54" s="1"/>
  <c r="GS211" i="54"/>
  <c r="GS15" i="54"/>
  <c r="GS56" i="54"/>
  <c r="HA56" i="54" s="1"/>
  <c r="GS97" i="54"/>
  <c r="HA97" i="54" s="1"/>
  <c r="GS138" i="54"/>
  <c r="HU25" i="54"/>
  <c r="HV25" i="54" s="1"/>
  <c r="HQ169" i="54"/>
  <c r="HR241" i="54"/>
  <c r="HR85" i="54"/>
  <c r="HQ215" i="54"/>
  <c r="HQ230" i="54"/>
  <c r="HQ177" i="54"/>
  <c r="HQ184" i="54"/>
  <c r="HQ193" i="54"/>
  <c r="HQ79" i="54"/>
  <c r="HR41" i="54"/>
  <c r="HQ181" i="54"/>
  <c r="GS89" i="54"/>
  <c r="HA89" i="54" s="1"/>
  <c r="GS136" i="54"/>
  <c r="GS11" i="54"/>
  <c r="HA11" i="54" s="1"/>
  <c r="GS105" i="54"/>
  <c r="HA105" i="54" s="1"/>
  <c r="GS149" i="54"/>
  <c r="GS243" i="54"/>
  <c r="HA243" i="54" s="1"/>
  <c r="GS12" i="54"/>
  <c r="GS118" i="54"/>
  <c r="HA118" i="54" s="1"/>
  <c r="GS182" i="54"/>
  <c r="HA182" i="54" s="1"/>
  <c r="GS180" i="54"/>
  <c r="HA180" i="54" s="1"/>
  <c r="GS220" i="54"/>
  <c r="GS43" i="54"/>
  <c r="GS59" i="54"/>
  <c r="GS153" i="54"/>
  <c r="HA153" i="54" s="1"/>
  <c r="GS170" i="54"/>
  <c r="HA170" i="54" s="1"/>
  <c r="GS163" i="54"/>
  <c r="GS236" i="54"/>
  <c r="HQ136" i="54"/>
  <c r="HQ142" i="54"/>
  <c r="HR230" i="54"/>
  <c r="HR177" i="54"/>
  <c r="HR184" i="54"/>
  <c r="HR193" i="54"/>
  <c r="HR79" i="54"/>
  <c r="HQ41" i="54"/>
  <c r="HR181" i="54"/>
  <c r="BI28" i="54" a="1"/>
  <c r="BI28" i="54" s="1"/>
  <c r="V35" i="54" s="1" a="1"/>
  <c r="V35" i="54" s="1"/>
  <c r="HQ60" i="54"/>
  <c r="HU132" i="54"/>
  <c r="GS53" i="54"/>
  <c r="HA53" i="54" s="1"/>
  <c r="GS157" i="54"/>
  <c r="GS191" i="54"/>
  <c r="HA191" i="54" s="1"/>
  <c r="GS22" i="54"/>
  <c r="HA22" i="54" s="1"/>
  <c r="GS60" i="54"/>
  <c r="GS160" i="54"/>
  <c r="GS230" i="54"/>
  <c r="GS228" i="54"/>
  <c r="HA228" i="54" s="1"/>
  <c r="GS251" i="54"/>
  <c r="GS139" i="54"/>
  <c r="GS137" i="54"/>
  <c r="HA137" i="54" s="1"/>
  <c r="GS231" i="54"/>
  <c r="GS259" i="54"/>
  <c r="HA259" i="54" s="1"/>
  <c r="GS239" i="54"/>
  <c r="HA239" i="54" s="1"/>
  <c r="GS122" i="54"/>
  <c r="HA122" i="54" s="1"/>
  <c r="GS66" i="54"/>
  <c r="HA66" i="54" s="1"/>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Y52" i="54" s="1"/>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P204" i="54"/>
  <c r="DS204" i="54" s="1"/>
  <c r="DY204" i="54" s="1"/>
  <c r="DP256" i="54"/>
  <c r="DS256" i="54" s="1"/>
  <c r="DP246" i="54"/>
  <c r="DU246" i="54" s="1"/>
  <c r="DP66" i="54"/>
  <c r="DS66" i="54" s="1"/>
  <c r="DY66" i="54" s="1"/>
  <c r="DP19" i="54"/>
  <c r="DS19" i="54" s="1"/>
  <c r="DP170" i="54"/>
  <c r="DS170" i="54" s="1"/>
  <c r="DP243" i="54"/>
  <c r="DS243" i="54" s="1"/>
  <c r="DP99" i="54"/>
  <c r="DS99" i="54" s="1"/>
  <c r="DP259" i="54"/>
  <c r="DS259" i="54" s="1"/>
  <c r="DP81" i="54"/>
  <c r="DP55" i="54"/>
  <c r="DS55" i="54" s="1"/>
  <c r="DP106" i="54"/>
  <c r="DS106" i="54" s="1"/>
  <c r="DP46" i="54"/>
  <c r="DS46" i="54" s="1"/>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P124" i="54"/>
  <c r="DS124" i="54" s="1"/>
  <c r="DP140" i="54"/>
  <c r="DS140" i="54" s="1"/>
  <c r="DP105" i="54"/>
  <c r="DS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P92" i="54"/>
  <c r="DS92" i="54" s="1"/>
  <c r="DP189" i="54"/>
  <c r="DS189" i="54" s="1"/>
  <c r="DP87" i="54"/>
  <c r="DS87" i="54" s="1"/>
  <c r="DP82" i="54"/>
  <c r="DS82" i="54" s="1"/>
  <c r="DP71" i="54"/>
  <c r="DV71" i="54" s="1"/>
  <c r="DP245" i="54"/>
  <c r="DS245" i="54" s="1"/>
  <c r="DP201" i="54"/>
  <c r="DV201" i="54" s="1"/>
  <c r="DP49" i="54"/>
  <c r="DU49" i="54" s="1"/>
  <c r="DP101" i="54"/>
  <c r="DP143" i="54"/>
  <c r="DS143" i="54" s="1"/>
  <c r="DP77" i="54"/>
  <c r="DS77" i="54" s="1"/>
  <c r="DP207" i="54"/>
  <c r="DS207" i="54" s="1"/>
  <c r="DY207" i="54" s="1"/>
  <c r="DP114" i="54"/>
  <c r="DS114" i="54" s="1"/>
  <c r="DY114" i="54" s="1"/>
  <c r="DP242" i="54"/>
  <c r="DU242" i="54" s="1"/>
  <c r="DP144" i="54"/>
  <c r="DS144" i="54" s="1"/>
  <c r="DP134" i="54"/>
  <c r="DS134" i="54" s="1"/>
  <c r="DP89" i="54"/>
  <c r="DS89" i="54" s="1"/>
  <c r="DP258" i="54"/>
  <c r="DS258" i="54" s="1"/>
  <c r="DY258" i="54" s="1"/>
  <c r="DP131" i="54"/>
  <c r="DU131" i="54" s="1"/>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P63" i="54"/>
  <c r="DS63" i="54" s="1"/>
  <c r="DP202" i="54"/>
  <c r="DS202" i="54" s="1"/>
  <c r="DP216" i="54"/>
  <c r="DU216" i="54" s="1"/>
  <c r="DP147" i="54"/>
  <c r="DS147" i="54" s="1"/>
  <c r="DP125" i="54"/>
  <c r="DS125" i="54" s="1"/>
  <c r="DP42" i="54"/>
  <c r="DS42" i="54" s="1"/>
  <c r="DP62" i="54"/>
  <c r="DS62" i="54" s="1"/>
  <c r="DP268" i="54"/>
  <c r="DS268" i="54" s="1"/>
  <c r="DY268" i="54" s="1"/>
  <c r="DP47" i="54"/>
  <c r="DS47" i="54" s="1"/>
  <c r="DY47" i="54" s="1"/>
  <c r="DP155" i="54"/>
  <c r="DS155" i="54" s="1"/>
  <c r="DP253" i="54"/>
  <c r="DS253" i="54" s="1"/>
  <c r="DP187" i="54"/>
  <c r="DS187" i="54" s="1"/>
  <c r="DP109" i="54"/>
  <c r="DS109" i="54" s="1"/>
  <c r="DP145" i="54"/>
  <c r="DS145" i="54" s="1"/>
  <c r="DY145" i="54" s="1"/>
  <c r="DP244" i="54"/>
  <c r="DS244" i="54" s="1"/>
  <c r="DP17" i="54"/>
  <c r="DS17" i="54" s="1"/>
  <c r="DS81" i="54"/>
  <c r="DY81" i="54" s="1"/>
  <c r="DP177" i="54"/>
  <c r="DS177" i="54" s="1"/>
  <c r="DY177" i="54" s="1"/>
  <c r="DP221" i="54"/>
  <c r="DS221" i="54" s="1"/>
  <c r="DY221" i="54" s="1"/>
  <c r="DP181" i="54"/>
  <c r="DS181" i="54" s="1"/>
  <c r="DY181" i="54" s="1"/>
  <c r="DP32" i="54"/>
  <c r="DV32" i="54" s="1"/>
  <c r="DP212" i="54"/>
  <c r="DS212" i="54" s="1"/>
  <c r="DY212" i="54" s="1"/>
  <c r="DP146" i="54"/>
  <c r="DS146" i="54" s="1"/>
  <c r="DP68" i="54"/>
  <c r="DS68" i="54" s="1"/>
  <c r="DP104" i="54"/>
  <c r="DS104" i="54" s="1"/>
  <c r="DY104" i="54" s="1"/>
  <c r="DP197" i="54"/>
  <c r="DS197" i="54" s="1"/>
  <c r="DY197" i="54" s="1"/>
  <c r="DP233" i="54"/>
  <c r="DS233" i="54" s="1"/>
  <c r="DS162" i="54"/>
  <c r="DS116" i="54"/>
  <c r="DS262" i="54"/>
  <c r="DY262" i="54" s="1"/>
  <c r="DS24" i="54"/>
  <c r="DY24"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Y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V28" i="54" s="1"/>
  <c r="DP83" i="54"/>
  <c r="DS83" i="54" s="1"/>
  <c r="DP64" i="54"/>
  <c r="BG24" i="54" a="1"/>
  <c r="BG24" i="54" s="1"/>
  <c r="BG23" i="54" a="1"/>
  <c r="BG23" i="54" s="1"/>
  <c r="BG25" i="54" a="1"/>
  <c r="BG25" i="54" s="1"/>
  <c r="ER263" i="54"/>
  <c r="HS242" i="54"/>
  <c r="HV242" i="54" s="1"/>
  <c r="HS137" i="54"/>
  <c r="HS210" i="54"/>
  <c r="ER115" i="54"/>
  <c r="Q58" i="56"/>
  <c r="BM67" i="54" s="1" a="1"/>
  <c r="BM67" i="54" s="1"/>
  <c r="ER128" i="54"/>
  <c r="HS243" i="54"/>
  <c r="HV243" i="54" s="1"/>
  <c r="HT226" i="54"/>
  <c r="HW226" i="54" s="1"/>
  <c r="HS73" i="54"/>
  <c r="HT55" i="54"/>
  <c r="HW55" i="54" s="1"/>
  <c r="HS252" i="54"/>
  <c r="HV252" i="54" s="1"/>
  <c r="HS113" i="54"/>
  <c r="HT48" i="54"/>
  <c r="HS208" i="54"/>
  <c r="HV208" i="54" s="1"/>
  <c r="HS88" i="54"/>
  <c r="HV88" i="54" s="1"/>
  <c r="HS103" i="54"/>
  <c r="HV103" i="54" s="1"/>
  <c r="ER47" i="54"/>
  <c r="HT238" i="54"/>
  <c r="HW238" i="54" s="1"/>
  <c r="ER130" i="54"/>
  <c r="ER64" i="54"/>
  <c r="ER60" i="54"/>
  <c r="HS219" i="54"/>
  <c r="HV219" i="54" s="1"/>
  <c r="HT153" i="54"/>
  <c r="HW153" i="54" s="1"/>
  <c r="ER165" i="54"/>
  <c r="ER15" i="54"/>
  <c r="ER56" i="54"/>
  <c r="ER129" i="54"/>
  <c r="ER74" i="54"/>
  <c r="ER159" i="54"/>
  <c r="ER25" i="54"/>
  <c r="ER66" i="54"/>
  <c r="ER139" i="54"/>
  <c r="HS101" i="54"/>
  <c r="HS48" i="54"/>
  <c r="HS178" i="54"/>
  <c r="HV178" i="54" s="1"/>
  <c r="HS55" i="54"/>
  <c r="HV55" i="54" s="1"/>
  <c r="HS153" i="54"/>
  <c r="HT258" i="54"/>
  <c r="HW258" i="54" s="1"/>
  <c r="HT252" i="54"/>
  <c r="HT88" i="54"/>
  <c r="HW88" i="54" s="1"/>
  <c r="HT103" i="54"/>
  <c r="HW103" i="54" s="1"/>
  <c r="HT242" i="54"/>
  <c r="HW242" i="54" s="1"/>
  <c r="HT243" i="54"/>
  <c r="HW243" i="54" s="1"/>
  <c r="HT113" i="54"/>
  <c r="ER245" i="54"/>
  <c r="ER150" i="54"/>
  <c r="ER54" i="54"/>
  <c r="HT31" i="54"/>
  <c r="HW31" i="54" s="1"/>
  <c r="HT101" i="54"/>
  <c r="HT209" i="54"/>
  <c r="HT117" i="54"/>
  <c r="HW117" i="54" s="1"/>
  <c r="HS86" i="54"/>
  <c r="HV86" i="54" s="1"/>
  <c r="HT147" i="54"/>
  <c r="HW147" i="54" s="1"/>
  <c r="HS233" i="54"/>
  <c r="HV233" i="54" s="1"/>
  <c r="HT54" i="54"/>
  <c r="HW54" i="54" s="1"/>
  <c r="HS116" i="54"/>
  <c r="HV116" i="54" s="1"/>
  <c r="HS58" i="54"/>
  <c r="HV58" i="54" s="1"/>
  <c r="HS102" i="54"/>
  <c r="HT211"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230" i="54"/>
  <c r="ER228" i="54"/>
  <c r="ER195" i="54"/>
  <c r="HS112" i="54"/>
  <c r="HS267" i="54"/>
  <c r="HV267" i="54" s="1"/>
  <c r="HS29" i="54"/>
  <c r="HV29" i="54" s="1"/>
  <c r="HT173" i="54"/>
  <c r="HW173" i="54" s="1"/>
  <c r="HS209" i="54"/>
  <c r="HV209" i="54" s="1"/>
  <c r="HS250" i="54"/>
  <c r="HV250" i="54" s="1"/>
  <c r="HT49" i="54"/>
  <c r="HW49" i="54" s="1"/>
  <c r="HT178" i="54"/>
  <c r="HT233" i="54"/>
  <c r="HW233" i="54" s="1"/>
  <c r="HT208" i="54"/>
  <c r="HW208" i="54" s="1"/>
  <c r="HS119" i="54"/>
  <c r="HV119" i="54" s="1"/>
  <c r="HS259" i="54"/>
  <c r="HV259" i="54" s="1"/>
  <c r="HS141" i="54"/>
  <c r="HS155" i="54"/>
  <c r="HV155" i="54" s="1"/>
  <c r="HS253" i="54"/>
  <c r="HV253" i="54" s="1"/>
  <c r="HT93" i="54"/>
  <c r="HW93" i="54" s="1"/>
  <c r="HS104" i="54"/>
  <c r="HV104" i="54" s="1"/>
  <c r="HS71" i="54"/>
  <c r="HT210" i="54"/>
  <c r="ER223"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175" i="54"/>
  <c r="ER72" i="54"/>
  <c r="ER189" i="54"/>
  <c r="ER187" i="54"/>
  <c r="ER186" i="54"/>
  <c r="ER241" i="54"/>
  <c r="ER154" i="54"/>
  <c r="ER192" i="54"/>
  <c r="ER89" i="54"/>
  <c r="ER254" i="54"/>
  <c r="ER207" i="54"/>
  <c r="ER172" i="54"/>
  <c r="AA58" i="56"/>
  <c r="ER48" i="54"/>
  <c r="ER204" i="54"/>
  <c r="ER184" i="54"/>
  <c r="ER101" i="54"/>
  <c r="HA17" i="54"/>
  <c r="BF8" i="54"/>
  <c r="HW209" i="54"/>
  <c r="EJ183" i="54"/>
  <c r="ER183" i="54" s="1"/>
  <c r="EO183" i="54"/>
  <c r="EN183" i="54"/>
  <c r="FE183" i="54"/>
  <c r="FE182" i="54"/>
  <c r="EN182" i="54"/>
  <c r="EO182" i="54"/>
  <c r="FE181" i="54"/>
  <c r="EO181" i="54"/>
  <c r="EN181" i="54"/>
  <c r="EN180" i="54"/>
  <c r="EO180" i="54"/>
  <c r="FE180" i="54"/>
  <c r="EO173" i="54"/>
  <c r="EN173" i="54"/>
  <c r="FE173" i="54"/>
  <c r="EO148" i="54"/>
  <c r="EN148" i="54"/>
  <c r="FE148" i="54"/>
  <c r="EO135" i="54"/>
  <c r="FE135" i="54"/>
  <c r="EN135" i="54"/>
  <c r="FE134" i="54"/>
  <c r="EN134" i="54"/>
  <c r="EO134" i="54"/>
  <c r="EN127" i="54"/>
  <c r="EO127" i="54"/>
  <c r="FE127" i="54"/>
  <c r="EJ126" i="54"/>
  <c r="ER126" i="54" s="1"/>
  <c r="FE126" i="54"/>
  <c r="EO126" i="54"/>
  <c r="EN126" i="54"/>
  <c r="FE125" i="54"/>
  <c r="EO125" i="54"/>
  <c r="EN125" i="54"/>
  <c r="FE88" i="54"/>
  <c r="EO88" i="54"/>
  <c r="EN88" i="54"/>
  <c r="FE81" i="54"/>
  <c r="EO81" i="54"/>
  <c r="EN81" i="54"/>
  <c r="EJ80" i="54"/>
  <c r="ER80" i="54" s="1"/>
  <c r="FE80" i="54"/>
  <c r="EO80" i="54"/>
  <c r="EN80" i="54"/>
  <c r="EN79" i="54"/>
  <c r="FE79" i="54"/>
  <c r="EO79" i="54"/>
  <c r="EO78" i="54"/>
  <c r="FE78" i="54"/>
  <c r="EN78" i="54"/>
  <c r="FE77" i="54"/>
  <c r="EO77" i="54"/>
  <c r="EN77" i="54"/>
  <c r="EN22" i="54"/>
  <c r="EO22" i="54"/>
  <c r="FE22" i="54"/>
  <c r="EN33" i="54"/>
  <c r="EO33" i="54"/>
  <c r="FE33" i="54"/>
  <c r="EN32" i="54"/>
  <c r="EO32" i="54"/>
  <c r="FE32" i="54"/>
  <c r="EN31" i="54"/>
  <c r="FE31" i="54"/>
  <c r="EO31" i="54"/>
  <c r="FE24" i="54"/>
  <c r="EO24" i="54"/>
  <c r="EN24" i="54"/>
  <c r="EO17" i="54"/>
  <c r="EN17" i="54"/>
  <c r="FE17" i="54"/>
  <c r="EN243" i="54"/>
  <c r="EO243" i="54"/>
  <c r="FE243" i="54"/>
  <c r="EN242" i="54"/>
  <c r="EO242" i="54"/>
  <c r="FE242" i="54"/>
  <c r="EN235" i="54"/>
  <c r="FE235" i="54"/>
  <c r="EO235" i="54"/>
  <c r="EJ234" i="54"/>
  <c r="ER234" i="54" s="1"/>
  <c r="EN234" i="54"/>
  <c r="EO234" i="54"/>
  <c r="FE234" i="54"/>
  <c r="EN233" i="54"/>
  <c r="EO233" i="54"/>
  <c r="FE233" i="54"/>
  <c r="EN220" i="54"/>
  <c r="EO220" i="54"/>
  <c r="FE220" i="54"/>
  <c r="EJ147" i="54"/>
  <c r="ER147" i="54" s="1"/>
  <c r="EO147" i="54"/>
  <c r="EN147" i="54"/>
  <c r="FE147" i="54"/>
  <c r="EN146" i="54"/>
  <c r="EO146" i="54"/>
  <c r="FE146" i="54"/>
  <c r="FE145" i="54"/>
  <c r="EO145" i="54"/>
  <c r="EN145" i="54"/>
  <c r="EN144" i="54"/>
  <c r="EO144" i="54"/>
  <c r="FE144" i="54"/>
  <c r="EN137" i="54"/>
  <c r="EO137" i="54"/>
  <c r="FE137" i="54"/>
  <c r="EN100" i="54"/>
  <c r="EO100" i="54"/>
  <c r="FE100" i="54"/>
  <c r="EN123" i="54"/>
  <c r="EO123" i="54"/>
  <c r="FE123" i="54"/>
  <c r="EN164" i="54"/>
  <c r="EO164" i="54"/>
  <c r="FE164" i="54"/>
  <c r="EO205" i="54"/>
  <c r="EN205" i="54"/>
  <c r="FE205" i="54"/>
  <c r="EN246" i="54"/>
  <c r="EO246" i="54"/>
  <c r="FE246" i="54"/>
  <c r="EO30" i="54"/>
  <c r="EN30" i="54"/>
  <c r="FE30" i="54"/>
  <c r="EO71" i="54"/>
  <c r="EN71" i="54"/>
  <c r="FE71" i="54"/>
  <c r="EO118" i="54"/>
  <c r="EN118" i="54"/>
  <c r="FE118" i="54"/>
  <c r="EJ214" i="54"/>
  <c r="ER214" i="54" s="1"/>
  <c r="FE214" i="54"/>
  <c r="EN214" i="54"/>
  <c r="EO214" i="54"/>
  <c r="HS96" i="54"/>
  <c r="HT132" i="54"/>
  <c r="HW132" i="54" s="1"/>
  <c r="HT158" i="54"/>
  <c r="HW158" i="54" s="1"/>
  <c r="HS260" i="54"/>
  <c r="HS126" i="54"/>
  <c r="HV126" i="54" s="1"/>
  <c r="HS188" i="54"/>
  <c r="HV188" i="54" s="1"/>
  <c r="HS225" i="54"/>
  <c r="HS255" i="54"/>
  <c r="HT43" i="54"/>
  <c r="HW43" i="54" s="1"/>
  <c r="HT37" i="54"/>
  <c r="HW37" i="54" s="1"/>
  <c r="HT251" i="54"/>
  <c r="HA93" i="54"/>
  <c r="HA98" i="54"/>
  <c r="HA103" i="54"/>
  <c r="HA222" i="54"/>
  <c r="HA47" i="54"/>
  <c r="HA260" i="54"/>
  <c r="HA34" i="54"/>
  <c r="HA18" i="54"/>
  <c r="HA205" i="54"/>
  <c r="HA195" i="54"/>
  <c r="GW197" i="54"/>
  <c r="GX244" i="54"/>
  <c r="GW244" i="54"/>
  <c r="GX75" i="54"/>
  <c r="GW74" i="54"/>
  <c r="GX74" i="54"/>
  <c r="GW72" i="54"/>
  <c r="GW166" i="54"/>
  <c r="GX166" i="54"/>
  <c r="GW213" i="54"/>
  <c r="GX213" i="54"/>
  <c r="GX234" i="54"/>
  <c r="GW234" i="54"/>
  <c r="GX257" i="54"/>
  <c r="GW257" i="54"/>
  <c r="GW88" i="54"/>
  <c r="GW146" i="54"/>
  <c r="GX145" i="54"/>
  <c r="GX226" i="54"/>
  <c r="GW226" i="54"/>
  <c r="GX10" i="54"/>
  <c r="GX50" i="54"/>
  <c r="GX49" i="54"/>
  <c r="GW49" i="54"/>
  <c r="GX48" i="54"/>
  <c r="GW48" i="54"/>
  <c r="GX112" i="54"/>
  <c r="GW112" i="54"/>
  <c r="GX175" i="54"/>
  <c r="GX168" i="54"/>
  <c r="GW168" i="54"/>
  <c r="GX167" i="54"/>
  <c r="GW167" i="54"/>
  <c r="GW214" i="54"/>
  <c r="GX38" i="54"/>
  <c r="GW38" i="54"/>
  <c r="GX37" i="54"/>
  <c r="GW37" i="54"/>
  <c r="GX169" i="54"/>
  <c r="GX210" i="54"/>
  <c r="GW210" i="54"/>
  <c r="HS25" i="54"/>
  <c r="HT24" i="54"/>
  <c r="HW24" i="54" s="1"/>
  <c r="HS169" i="54"/>
  <c r="HV169" i="54" s="1"/>
  <c r="HS205" i="54"/>
  <c r="HV205" i="54" s="1"/>
  <c r="HS198" i="54"/>
  <c r="HV198" i="54" s="1"/>
  <c r="HS64" i="54"/>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86" i="54"/>
  <c r="DY230" i="54"/>
  <c r="EJ77" i="54"/>
  <c r="ER77" i="54" s="1"/>
  <c r="EJ246" i="54"/>
  <c r="ER246" i="54" s="1"/>
  <c r="HT241" i="54"/>
  <c r="HT128" i="54"/>
  <c r="HW128" i="54" s="1"/>
  <c r="HT236" i="54"/>
  <c r="HS239" i="54"/>
  <c r="HV239" i="54" s="1"/>
  <c r="HS122" i="54"/>
  <c r="HV122" i="54" s="1"/>
  <c r="HS111" i="54"/>
  <c r="HS244" i="54"/>
  <c r="HV244" i="54" s="1"/>
  <c r="HS18" i="54"/>
  <c r="HV18" i="54" s="1"/>
  <c r="HS186" i="54"/>
  <c r="HV186" i="54" s="1"/>
  <c r="HS215" i="54"/>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S257" i="54"/>
  <c r="HV257" i="54" s="1"/>
  <c r="HT138" i="54"/>
  <c r="HT140" i="54"/>
  <c r="HW140" i="54" s="1"/>
  <c r="HT149" i="54"/>
  <c r="HW149" i="54" s="1"/>
  <c r="HT247" i="54"/>
  <c r="HW247" i="54" s="1"/>
  <c r="HS32" i="54"/>
  <c r="BI3" i="54"/>
  <c r="HS148" i="54"/>
  <c r="HT172" i="54"/>
  <c r="HW172" i="54" s="1"/>
  <c r="HT265" i="54"/>
  <c r="HW265" i="54" s="1"/>
  <c r="HT218" i="54"/>
  <c r="HS191" i="54"/>
  <c r="HV191" i="54" s="1"/>
  <c r="HT115" i="54"/>
  <c r="HW115" i="54" s="1"/>
  <c r="HT212" i="54"/>
  <c r="HS179" i="54"/>
  <c r="HV179" i="54" s="1"/>
  <c r="HT181" i="54"/>
  <c r="HT73" i="54"/>
  <c r="HW73" i="54" s="1"/>
  <c r="DV239" i="54"/>
  <c r="DU239" i="54"/>
  <c r="DU266" i="54"/>
  <c r="DU165" i="54"/>
  <c r="DU164" i="54"/>
  <c r="DV148" i="54"/>
  <c r="DU21" i="54"/>
  <c r="DV21" i="54"/>
  <c r="DU248" i="54"/>
  <c r="DV67" i="54"/>
  <c r="DV53" i="54"/>
  <c r="DU254" i="54"/>
  <c r="FE141" i="54"/>
  <c r="EN141" i="54"/>
  <c r="EO141" i="54"/>
  <c r="FE140" i="54"/>
  <c r="EN140" i="54"/>
  <c r="EO140" i="54"/>
  <c r="EO139" i="54"/>
  <c r="EN139" i="54"/>
  <c r="FE139" i="54"/>
  <c r="EO132" i="54"/>
  <c r="FE132" i="54"/>
  <c r="EN132" i="54"/>
  <c r="EJ131" i="54"/>
  <c r="ER131" i="54" s="1"/>
  <c r="FE131" i="54"/>
  <c r="EN131" i="54"/>
  <c r="EO131" i="54"/>
  <c r="EO94" i="54"/>
  <c r="EN94" i="54"/>
  <c r="FE94" i="54"/>
  <c r="FE93" i="54"/>
  <c r="EN93" i="54"/>
  <c r="EO93" i="54"/>
  <c r="EO86" i="54"/>
  <c r="FE86" i="54"/>
  <c r="EN86" i="54"/>
  <c r="EJ85" i="54"/>
  <c r="ER85" i="54" s="1"/>
  <c r="FE85" i="54"/>
  <c r="EO85" i="54"/>
  <c r="EN85" i="54"/>
  <c r="FE84" i="54"/>
  <c r="EO84" i="54"/>
  <c r="EN84" i="54"/>
  <c r="EN83" i="54"/>
  <c r="FE83" i="54"/>
  <c r="EO83" i="54"/>
  <c r="EO28" i="54"/>
  <c r="EN28" i="54"/>
  <c r="FE28" i="54"/>
  <c r="EJ39" i="54"/>
  <c r="ER39" i="54" s="1"/>
  <c r="FE39" i="54"/>
  <c r="EN39" i="54"/>
  <c r="EO39" i="54"/>
  <c r="EO38" i="54"/>
  <c r="FE38" i="54"/>
  <c r="EN38" i="54"/>
  <c r="EO37" i="54"/>
  <c r="FE37" i="54"/>
  <c r="EN37" i="54"/>
  <c r="FE36" i="54"/>
  <c r="EO36" i="54"/>
  <c r="EN36" i="54"/>
  <c r="FE29" i="54"/>
  <c r="EO29" i="54"/>
  <c r="EN29" i="54"/>
  <c r="EN249" i="54"/>
  <c r="EO249" i="54"/>
  <c r="FE249" i="54"/>
  <c r="EN248" i="54"/>
  <c r="EO248" i="54"/>
  <c r="FE248" i="54"/>
  <c r="EN247" i="54"/>
  <c r="FE247" i="54"/>
  <c r="EO247" i="54"/>
  <c r="FE240" i="54"/>
  <c r="EN240" i="54"/>
  <c r="EO240" i="54"/>
  <c r="EJ239" i="54"/>
  <c r="ER239" i="54" s="1"/>
  <c r="EN239" i="54"/>
  <c r="EO239" i="54"/>
  <c r="FE239" i="54"/>
  <c r="EN232" i="54"/>
  <c r="EO232" i="54"/>
  <c r="FE232" i="54"/>
  <c r="EN201" i="54"/>
  <c r="EO201" i="54"/>
  <c r="FE201" i="54"/>
  <c r="EO194" i="54"/>
  <c r="FE194" i="54"/>
  <c r="EN194" i="54"/>
  <c r="EJ193" i="54"/>
  <c r="ER193" i="54" s="1"/>
  <c r="EO193" i="54"/>
  <c r="EN193" i="54"/>
  <c r="FE193" i="54"/>
  <c r="EN192" i="54"/>
  <c r="EO192" i="54"/>
  <c r="FE192" i="54"/>
  <c r="EN191" i="54"/>
  <c r="EO191" i="54"/>
  <c r="FE191" i="54"/>
  <c r="EN166" i="54"/>
  <c r="FE166" i="54"/>
  <c r="EO166" i="54"/>
  <c r="EO105" i="54"/>
  <c r="EN105" i="54"/>
  <c r="FE105" i="54"/>
  <c r="FE104" i="54"/>
  <c r="EO104" i="54"/>
  <c r="EN104" i="54"/>
  <c r="EO103" i="54"/>
  <c r="EN103" i="54"/>
  <c r="FE103" i="54"/>
  <c r="EO96" i="54"/>
  <c r="EN96" i="54"/>
  <c r="FE96" i="54"/>
  <c r="EJ95" i="54"/>
  <c r="ER95" i="54" s="1"/>
  <c r="EO95" i="54"/>
  <c r="EN95" i="54"/>
  <c r="FE95" i="54"/>
  <c r="EO52" i="54"/>
  <c r="EN52" i="54"/>
  <c r="FE52" i="54"/>
  <c r="EN87" i="54"/>
  <c r="EO87" i="54"/>
  <c r="FE87" i="54"/>
  <c r="EN128" i="54"/>
  <c r="EO128" i="54"/>
  <c r="FE128" i="54"/>
  <c r="EO169" i="54"/>
  <c r="EN169" i="54"/>
  <c r="FE169" i="54"/>
  <c r="EN210" i="54"/>
  <c r="EO210" i="54"/>
  <c r="FE210" i="54"/>
  <c r="EN251" i="54"/>
  <c r="EO251" i="54"/>
  <c r="FE251" i="54"/>
  <c r="EO35" i="54"/>
  <c r="EN35" i="54"/>
  <c r="FE35" i="54"/>
  <c r="EO82" i="54"/>
  <c r="EN82" i="54"/>
  <c r="FE82" i="54"/>
  <c r="EJ178" i="54"/>
  <c r="ER178" i="54" s="1"/>
  <c r="FE178" i="54"/>
  <c r="EN178" i="54"/>
  <c r="EO178" i="54"/>
  <c r="HT60" i="54"/>
  <c r="HW60" i="54" s="1"/>
  <c r="HT96" i="54"/>
  <c r="HW96" i="54" s="1"/>
  <c r="HS204" i="54"/>
  <c r="HV204" i="54" s="1"/>
  <c r="HS158" i="54"/>
  <c r="HT127" i="54"/>
  <c r="HW127" i="54" s="1"/>
  <c r="HT17" i="54"/>
  <c r="HW17" i="54" s="1"/>
  <c r="HS95" i="54"/>
  <c r="HT157" i="54"/>
  <c r="HW157" i="54" s="1"/>
  <c r="HS182" i="54"/>
  <c r="HT105" i="54"/>
  <c r="HS143" i="54"/>
  <c r="HV143" i="54" s="1"/>
  <c r="HA12" i="54"/>
  <c r="HA63" i="54"/>
  <c r="HA149" i="54"/>
  <c r="HA80" i="54"/>
  <c r="HA33" i="54"/>
  <c r="HA265" i="54"/>
  <c r="HA54" i="54"/>
  <c r="HA234" i="54"/>
  <c r="HA91" i="54"/>
  <c r="GX161" i="54"/>
  <c r="GW161" i="54"/>
  <c r="GW33" i="54"/>
  <c r="GX33" i="54"/>
  <c r="GX32" i="54"/>
  <c r="GW32" i="54"/>
  <c r="GX24" i="54"/>
  <c r="GW24" i="54"/>
  <c r="GW177" i="54"/>
  <c r="GX193" i="54"/>
  <c r="GW193" i="54"/>
  <c r="GX192" i="54"/>
  <c r="GW192" i="54"/>
  <c r="GX268" i="54"/>
  <c r="GX52" i="54"/>
  <c r="GW52" i="54"/>
  <c r="GX99" i="54"/>
  <c r="GW99" i="54"/>
  <c r="GX103" i="54"/>
  <c r="GW103" i="54"/>
  <c r="GX237" i="54"/>
  <c r="GX266" i="54"/>
  <c r="GW266" i="54"/>
  <c r="GX265" i="54"/>
  <c r="GW265" i="54"/>
  <c r="GW264" i="54"/>
  <c r="GX29" i="54"/>
  <c r="GW29" i="54"/>
  <c r="GX76" i="54"/>
  <c r="GW76" i="54"/>
  <c r="GX134" i="54"/>
  <c r="GW134" i="54"/>
  <c r="GW178" i="54"/>
  <c r="GX225" i="54"/>
  <c r="GW225" i="54"/>
  <c r="GX254" i="54"/>
  <c r="GW254" i="54"/>
  <c r="GX51" i="54"/>
  <c r="GW51" i="54"/>
  <c r="GX92" i="54"/>
  <c r="GW92" i="54"/>
  <c r="GX174" i="54"/>
  <c r="GW174" i="54"/>
  <c r="HS24" i="54"/>
  <c r="HV24" i="54" s="1"/>
  <c r="HT245" i="54"/>
  <c r="HW245" i="54" s="1"/>
  <c r="HT169" i="54"/>
  <c r="HT205" i="54"/>
  <c r="HS167" i="54"/>
  <c r="HT229" i="54"/>
  <c r="HS266" i="54"/>
  <c r="HT39" i="54"/>
  <c r="HW39" i="54" s="1"/>
  <c r="HS222" i="54"/>
  <c r="HV222" i="54" s="1"/>
  <c r="HT35" i="54"/>
  <c r="HW35" i="54" s="1"/>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S214" i="54"/>
  <c r="HT13" i="54"/>
  <c r="HW13" i="54" s="1"/>
  <c r="HT50" i="54"/>
  <c r="HW50" i="54" s="1"/>
  <c r="HS80" i="54"/>
  <c r="HS263" i="54"/>
  <c r="HS187" i="54"/>
  <c r="HV187" i="54" s="1"/>
  <c r="HS110" i="54"/>
  <c r="HT215" i="54"/>
  <c r="HS98" i="54"/>
  <c r="HV98" i="54" s="1"/>
  <c r="HS232" i="54"/>
  <c r="HV232" i="54" s="1"/>
  <c r="HT108" i="54"/>
  <c r="HW108" i="54" s="1"/>
  <c r="HS82"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S264" i="54"/>
  <c r="HV264" i="54" s="1"/>
  <c r="HT14" i="54"/>
  <c r="HW14" i="54" s="1"/>
  <c r="HS106" i="54"/>
  <c r="HV106" i="54" s="1"/>
  <c r="HT191" i="54"/>
  <c r="HW191" i="54" s="1"/>
  <c r="HT41" i="54"/>
  <c r="HT179" i="54"/>
  <c r="HW179" i="54" s="1"/>
  <c r="HT62" i="54"/>
  <c r="HW62" i="54" s="1"/>
  <c r="HT201" i="54"/>
  <c r="HT196" i="54"/>
  <c r="HS72" i="54"/>
  <c r="HV72" i="54" s="1"/>
  <c r="DU81" i="54"/>
  <c r="DV81" i="54"/>
  <c r="DV229" i="54"/>
  <c r="DU229" i="54"/>
  <c r="DU118" i="54"/>
  <c r="DV118" i="54"/>
  <c r="DV200" i="54"/>
  <c r="DU261" i="54"/>
  <c r="DV261" i="54"/>
  <c r="DV101" i="54"/>
  <c r="DU236" i="54"/>
  <c r="DV236" i="54"/>
  <c r="DU16" i="54"/>
  <c r="DU177" i="54"/>
  <c r="DU191" i="54"/>
  <c r="DV191" i="54"/>
  <c r="DU125" i="54"/>
  <c r="DV125" i="54"/>
  <c r="DU110" i="54"/>
  <c r="DV110" i="54"/>
  <c r="FE99" i="54"/>
  <c r="EN99" i="54"/>
  <c r="EO99" i="54"/>
  <c r="EN98" i="54"/>
  <c r="EO98" i="54"/>
  <c r="FE98" i="54"/>
  <c r="EN91" i="54"/>
  <c r="EO91" i="54"/>
  <c r="FE91" i="54"/>
  <c r="EJ90" i="54"/>
  <c r="ER90" i="54" s="1"/>
  <c r="EN90" i="54"/>
  <c r="FE90" i="54"/>
  <c r="EO90" i="54"/>
  <c r="FE89" i="54"/>
  <c r="EO89" i="54"/>
  <c r="EN89" i="54"/>
  <c r="EN40" i="54"/>
  <c r="EO40" i="54"/>
  <c r="FE40" i="54"/>
  <c r="EO45" i="54"/>
  <c r="EN45" i="54"/>
  <c r="FE45" i="54"/>
  <c r="EJ44" i="54"/>
  <c r="ER44" i="54" s="1"/>
  <c r="FE44" i="54"/>
  <c r="EO44" i="54"/>
  <c r="EN44" i="54"/>
  <c r="FE43" i="54"/>
  <c r="EO43" i="54"/>
  <c r="EN43" i="54"/>
  <c r="EN42" i="54"/>
  <c r="FE42" i="54"/>
  <c r="EO42" i="54"/>
  <c r="FE41" i="54"/>
  <c r="EO41" i="54"/>
  <c r="EN41" i="54"/>
  <c r="EJ255" i="54"/>
  <c r="ER255" i="54" s="1"/>
  <c r="FE255" i="54"/>
  <c r="EN255" i="54"/>
  <c r="EO255" i="54"/>
  <c r="EO254" i="54"/>
  <c r="FE254" i="54"/>
  <c r="EN254" i="54"/>
  <c r="EO253" i="54"/>
  <c r="EN253" i="54"/>
  <c r="FE253" i="54"/>
  <c r="FE252" i="54"/>
  <c r="EN252" i="54"/>
  <c r="EO252" i="54"/>
  <c r="FE245" i="54"/>
  <c r="EN245" i="54"/>
  <c r="EO245" i="54"/>
  <c r="EN238" i="54"/>
  <c r="EO238" i="54"/>
  <c r="FE238" i="54"/>
  <c r="EN207" i="54"/>
  <c r="EO207" i="54"/>
  <c r="FE207" i="54"/>
  <c r="EO206" i="54"/>
  <c r="FE206" i="54"/>
  <c r="EN206" i="54"/>
  <c r="FE199" i="54"/>
  <c r="EO199" i="54"/>
  <c r="EN199" i="54"/>
  <c r="EJ198" i="54"/>
  <c r="ER198" i="54" s="1"/>
  <c r="EO198" i="54"/>
  <c r="FE198" i="54"/>
  <c r="EN198" i="54"/>
  <c r="EN197" i="54"/>
  <c r="EO197" i="54"/>
  <c r="FE197" i="54"/>
  <c r="FE172" i="54"/>
  <c r="EN172" i="54"/>
  <c r="EO172" i="54"/>
  <c r="EO153" i="54"/>
  <c r="FE153" i="54"/>
  <c r="EN153" i="54"/>
  <c r="EJ152" i="54"/>
  <c r="ER152" i="54" s="1"/>
  <c r="EN152" i="54"/>
  <c r="EO152" i="54"/>
  <c r="FE152" i="54"/>
  <c r="EO151" i="54"/>
  <c r="EN151" i="54"/>
  <c r="FE151" i="54"/>
  <c r="EN150" i="54"/>
  <c r="EO150" i="54"/>
  <c r="FE150" i="54"/>
  <c r="EN149" i="54"/>
  <c r="EO149" i="54"/>
  <c r="FE149" i="54"/>
  <c r="FE112" i="54"/>
  <c r="EO112" i="54"/>
  <c r="EN112" i="54"/>
  <c r="FE63" i="54"/>
  <c r="EO63" i="54"/>
  <c r="EN63" i="54"/>
  <c r="EO62" i="54"/>
  <c r="EN62" i="54"/>
  <c r="FE62" i="54"/>
  <c r="EO55" i="54"/>
  <c r="EN55" i="54"/>
  <c r="FE55" i="54"/>
  <c r="EN54" i="54"/>
  <c r="FE54" i="54"/>
  <c r="EO54" i="54"/>
  <c r="EO53" i="54"/>
  <c r="EN53" i="54"/>
  <c r="FE53" i="54"/>
  <c r="EO267" i="54"/>
  <c r="FE267" i="54"/>
  <c r="EN267" i="54"/>
  <c r="EO51" i="54"/>
  <c r="FE51" i="54"/>
  <c r="EN51" i="54"/>
  <c r="EO92" i="54"/>
  <c r="FE92" i="54"/>
  <c r="EN92" i="54"/>
  <c r="EN133" i="54"/>
  <c r="FE133" i="54"/>
  <c r="EO133" i="54"/>
  <c r="EO174" i="54"/>
  <c r="FE174" i="54"/>
  <c r="EN174" i="54"/>
  <c r="EO215" i="54"/>
  <c r="FE215" i="54"/>
  <c r="EN215" i="54"/>
  <c r="EO262" i="54"/>
  <c r="FE262" i="54"/>
  <c r="EN262" i="54"/>
  <c r="EN46" i="54"/>
  <c r="FE46" i="54"/>
  <c r="EO46" i="54"/>
  <c r="EJ142" i="54"/>
  <c r="ER142" i="54" s="1"/>
  <c r="EO142" i="54"/>
  <c r="FE142" i="54"/>
  <c r="EN142" i="54"/>
  <c r="HS256" i="54"/>
  <c r="HS60" i="54"/>
  <c r="HT204" i="54"/>
  <c r="HS34" i="54"/>
  <c r="HV34" i="54" s="1"/>
  <c r="HS89" i="54"/>
  <c r="HV89" i="54" s="1"/>
  <c r="HT188" i="54"/>
  <c r="HS17" i="54"/>
  <c r="HV17" i="54" s="1"/>
  <c r="HT95" i="54"/>
  <c r="HW95" i="54" s="1"/>
  <c r="HS194" i="54"/>
  <c r="HT42" i="54"/>
  <c r="HW42" i="54" s="1"/>
  <c r="HT182" i="54"/>
  <c r="HW182" i="54" s="1"/>
  <c r="HS105" i="54"/>
  <c r="HT36" i="54"/>
  <c r="HW36" i="54" s="1"/>
  <c r="HS135" i="54"/>
  <c r="HS268" i="54"/>
  <c r="HV268" i="54" s="1"/>
  <c r="HT143" i="54"/>
  <c r="HW143" i="54" s="1"/>
  <c r="HS145" i="54"/>
  <c r="HT26" i="54"/>
  <c r="HW26" i="54" s="1"/>
  <c r="HS160" i="54"/>
  <c r="HV160" i="54" s="1"/>
  <c r="HA26" i="54"/>
  <c r="HA172" i="54"/>
  <c r="HA38" i="54"/>
  <c r="HA193" i="54"/>
  <c r="HA50" i="54"/>
  <c r="HA220" i="54"/>
  <c r="HA15" i="54"/>
  <c r="HA101" i="54"/>
  <c r="HA112" i="54"/>
  <c r="GX125" i="54"/>
  <c r="GW125" i="54"/>
  <c r="GX172" i="54"/>
  <c r="GW172" i="54"/>
  <c r="GX248" i="54"/>
  <c r="GW248" i="54"/>
  <c r="GW247" i="54"/>
  <c r="GX247" i="54"/>
  <c r="GX240" i="54"/>
  <c r="GW240" i="54"/>
  <c r="GX47" i="54"/>
  <c r="GW47" i="54"/>
  <c r="GW141" i="54"/>
  <c r="GX141" i="54"/>
  <c r="GX151" i="54"/>
  <c r="GW151" i="54"/>
  <c r="GW150" i="54"/>
  <c r="GX150" i="54"/>
  <c r="GX185" i="54"/>
  <c r="GW185" i="54"/>
  <c r="GX16" i="54"/>
  <c r="GW16" i="54"/>
  <c r="GW63" i="54"/>
  <c r="GX63" i="54"/>
  <c r="GX62" i="54"/>
  <c r="GW62" i="54"/>
  <c r="GW54" i="54"/>
  <c r="GX54" i="54"/>
  <c r="GW154" i="54"/>
  <c r="GX154" i="54"/>
  <c r="GX201" i="54"/>
  <c r="GX224" i="54"/>
  <c r="GW224" i="54"/>
  <c r="GW223" i="54"/>
  <c r="GX223" i="54"/>
  <c r="GX222" i="54"/>
  <c r="GW222" i="54"/>
  <c r="GX256" i="54"/>
  <c r="GW256" i="54"/>
  <c r="GX40" i="54"/>
  <c r="GW40" i="54"/>
  <c r="GX87" i="54"/>
  <c r="GW87" i="54"/>
  <c r="GX85" i="54"/>
  <c r="GW85" i="54"/>
  <c r="GX95" i="54"/>
  <c r="GW95"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Z28" i="54"/>
  <c r="EZ64" i="54"/>
  <c r="EZ17" i="54"/>
  <c r="EZ53" i="54"/>
  <c r="EZ89" i="54"/>
  <c r="EZ26" i="54"/>
  <c r="EZ80" i="54"/>
  <c r="EZ119" i="54"/>
  <c r="EZ155" i="54"/>
  <c r="EZ191" i="54"/>
  <c r="EZ227" i="54"/>
  <c r="EZ263" i="54"/>
  <c r="EZ27" i="54"/>
  <c r="EZ81" i="54"/>
  <c r="EZ120" i="54"/>
  <c r="EZ156" i="54"/>
  <c r="EZ192" i="54"/>
  <c r="EZ228" i="54"/>
  <c r="EZ264" i="54"/>
  <c r="EZ30" i="54"/>
  <c r="EZ84" i="54"/>
  <c r="EZ121" i="54"/>
  <c r="EZ157" i="54"/>
  <c r="EZ193" i="54"/>
  <c r="EZ229" i="54"/>
  <c r="EZ265" i="54"/>
  <c r="EZ31" i="54"/>
  <c r="EZ85" i="54"/>
  <c r="EZ122" i="54"/>
  <c r="EZ158" i="54"/>
  <c r="EZ194" i="54"/>
  <c r="EZ230" i="54"/>
  <c r="EZ24" i="54"/>
  <c r="EZ153" i="54"/>
  <c r="EZ250" i="54"/>
  <c r="EZ136" i="54"/>
  <c r="EZ242" i="54"/>
  <c r="EZ106" i="54"/>
  <c r="EZ214" i="54"/>
  <c r="EZ68" i="54"/>
  <c r="EZ183" i="54"/>
  <c r="EZ255" i="54"/>
  <c r="EZ220" i="54"/>
  <c r="EZ177" i="54"/>
  <c r="EZ130" i="54"/>
  <c r="EZ34" i="54"/>
  <c r="EZ70" i="54"/>
  <c r="EZ23" i="54"/>
  <c r="EZ59" i="54"/>
  <c r="EZ36" i="54"/>
  <c r="EZ88" i="54"/>
  <c r="EZ125" i="54"/>
  <c r="EZ161" i="54"/>
  <c r="EZ197" i="54"/>
  <c r="EZ233" i="54"/>
  <c r="EZ37" i="54"/>
  <c r="EZ90" i="54"/>
  <c r="EZ126" i="54"/>
  <c r="EZ162" i="54"/>
  <c r="EZ198" i="54"/>
  <c r="EZ234" i="54"/>
  <c r="EZ38" i="54"/>
  <c r="EZ91" i="54"/>
  <c r="EZ127" i="54"/>
  <c r="EZ163" i="54"/>
  <c r="EZ199" i="54"/>
  <c r="EZ235" i="54"/>
  <c r="EZ39" i="54"/>
  <c r="EZ92" i="54"/>
  <c r="EZ128" i="54"/>
  <c r="EZ164" i="54"/>
  <c r="EZ200" i="54"/>
  <c r="EZ50" i="54"/>
  <c r="EZ171" i="54"/>
  <c r="EZ262" i="54"/>
  <c r="EZ25" i="54"/>
  <c r="EZ154" i="54"/>
  <c r="EZ254" i="54"/>
  <c r="EZ124" i="54"/>
  <c r="EZ232" i="54"/>
  <c r="EZ93" i="54"/>
  <c r="EZ201" i="54"/>
  <c r="EZ15" i="54"/>
  <c r="EZ261" i="54"/>
  <c r="EZ231" i="54"/>
  <c r="EZ184" i="54"/>
  <c r="EZ40" i="54"/>
  <c r="EZ76" i="54"/>
  <c r="EZ29" i="54"/>
  <c r="EZ65" i="54"/>
  <c r="EZ44" i="54"/>
  <c r="EZ95" i="54"/>
  <c r="EZ131" i="54"/>
  <c r="EZ167" i="54"/>
  <c r="EZ203" i="54"/>
  <c r="EZ239" i="54"/>
  <c r="EZ45" i="54"/>
  <c r="EZ96" i="54"/>
  <c r="EZ132" i="54"/>
  <c r="EZ168" i="54"/>
  <c r="EZ204" i="54"/>
  <c r="EZ240" i="54"/>
  <c r="EZ48" i="54"/>
  <c r="EZ97" i="54"/>
  <c r="EZ133" i="54"/>
  <c r="EZ169" i="54"/>
  <c r="EZ205" i="54"/>
  <c r="EZ241" i="54"/>
  <c r="EZ49" i="54"/>
  <c r="EZ98" i="54"/>
  <c r="EZ134" i="54"/>
  <c r="EZ170" i="54"/>
  <c r="EZ206" i="54"/>
  <c r="EZ78" i="54"/>
  <c r="EZ189" i="54"/>
  <c r="EZ51" i="54"/>
  <c r="EZ172" i="54"/>
  <c r="EZ266" i="54"/>
  <c r="EZ142" i="54"/>
  <c r="EZ244" i="54"/>
  <c r="EZ111" i="54"/>
  <c r="EZ219" i="54"/>
  <c r="EZ86" i="54"/>
  <c r="EZ94" i="54"/>
  <c r="EZ32" i="54"/>
  <c r="EZ267" i="54"/>
  <c r="EZ237" i="54"/>
  <c r="EZ10" i="54"/>
  <c r="EZ46" i="54"/>
  <c r="EZ82" i="54"/>
  <c r="EZ35" i="54"/>
  <c r="EZ71" i="54"/>
  <c r="EZ54" i="54"/>
  <c r="EZ101" i="54"/>
  <c r="EZ137" i="54"/>
  <c r="EZ173" i="54"/>
  <c r="EZ209" i="54"/>
  <c r="EZ245" i="54"/>
  <c r="EZ55" i="54"/>
  <c r="EZ102" i="54"/>
  <c r="EZ138" i="54"/>
  <c r="EZ174" i="54"/>
  <c r="EZ210" i="54"/>
  <c r="EZ246" i="54"/>
  <c r="EZ56" i="54"/>
  <c r="EZ103" i="54"/>
  <c r="EZ139" i="54"/>
  <c r="EZ175" i="54"/>
  <c r="EZ211" i="54"/>
  <c r="EZ247" i="54"/>
  <c r="EZ57" i="54"/>
  <c r="EZ104" i="54"/>
  <c r="EZ140" i="54"/>
  <c r="EZ176" i="54"/>
  <c r="EZ212" i="54"/>
  <c r="EZ99" i="54"/>
  <c r="EZ207" i="54"/>
  <c r="EZ79" i="54"/>
  <c r="EZ190" i="54"/>
  <c r="EZ33" i="54"/>
  <c r="EZ160" i="54"/>
  <c r="EZ256" i="54"/>
  <c r="EZ129" i="54"/>
  <c r="EZ236" i="54"/>
  <c r="EZ141" i="54"/>
  <c r="EZ148" i="54"/>
  <c r="EZ105" i="54"/>
  <c r="EZ43" i="54"/>
  <c r="EZ16" i="54"/>
  <c r="EZ52" i="54"/>
  <c r="EZ41" i="54"/>
  <c r="EZ77" i="54"/>
  <c r="EZ62" i="54"/>
  <c r="EZ107" i="54"/>
  <c r="EZ143" i="54"/>
  <c r="EZ179" i="54"/>
  <c r="EZ215" i="54"/>
  <c r="EZ251" i="54"/>
  <c r="EZ63" i="54"/>
  <c r="EZ108" i="54"/>
  <c r="EZ144" i="54"/>
  <c r="EZ180" i="54"/>
  <c r="EZ216" i="54"/>
  <c r="EZ252" i="54"/>
  <c r="EZ12" i="54"/>
  <c r="EZ66" i="54"/>
  <c r="EZ109" i="54"/>
  <c r="EZ145" i="54"/>
  <c r="EZ181" i="54"/>
  <c r="EZ217" i="54"/>
  <c r="EZ253" i="54"/>
  <c r="EZ13" i="54"/>
  <c r="EZ67" i="54"/>
  <c r="EZ110" i="54"/>
  <c r="EZ146" i="54"/>
  <c r="EZ182" i="54"/>
  <c r="EZ218" i="54"/>
  <c r="EZ117" i="54"/>
  <c r="EZ225" i="54"/>
  <c r="EZ100" i="54"/>
  <c r="EZ208" i="54"/>
  <c r="EZ61" i="54"/>
  <c r="EZ178" i="54"/>
  <c r="EZ268" i="54"/>
  <c r="EZ14" i="54"/>
  <c r="EZ147" i="54"/>
  <c r="EZ248" i="54"/>
  <c r="EZ195" i="54"/>
  <c r="EZ202" i="54"/>
  <c r="EZ159" i="54"/>
  <c r="EZ112" i="54"/>
  <c r="EZ60" i="54"/>
  <c r="EZ22" i="54"/>
  <c r="EZ58" i="54"/>
  <c r="EZ11" i="54"/>
  <c r="EZ47" i="54"/>
  <c r="EZ83" i="54"/>
  <c r="EZ18" i="54"/>
  <c r="EZ72" i="54"/>
  <c r="EZ113" i="54"/>
  <c r="EZ149" i="54"/>
  <c r="EZ185" i="54"/>
  <c r="EZ221" i="54"/>
  <c r="EZ257" i="54"/>
  <c r="EZ19" i="54"/>
  <c r="EZ73" i="54"/>
  <c r="EZ114" i="54"/>
  <c r="EZ150" i="54"/>
  <c r="EZ186" i="54"/>
  <c r="EZ222" i="54"/>
  <c r="EZ258" i="54"/>
  <c r="EZ20" i="54"/>
  <c r="EZ74" i="54"/>
  <c r="EZ115" i="54"/>
  <c r="EZ151" i="54"/>
  <c r="EZ187" i="54"/>
  <c r="EZ223" i="54"/>
  <c r="EZ259" i="54"/>
  <c r="EZ21" i="54"/>
  <c r="EZ75" i="54"/>
  <c r="EZ116" i="54"/>
  <c r="EZ152" i="54"/>
  <c r="EZ188" i="54"/>
  <c r="EZ224" i="54"/>
  <c r="EZ135" i="54"/>
  <c r="EZ238" i="54"/>
  <c r="EZ118" i="54"/>
  <c r="EZ226" i="54"/>
  <c r="EZ87" i="54"/>
  <c r="EZ196" i="54"/>
  <c r="EZ42" i="54"/>
  <c r="EZ165" i="54"/>
  <c r="EZ260" i="54"/>
  <c r="EZ243" i="54"/>
  <c r="EZ249" i="54"/>
  <c r="EZ213" i="54"/>
  <c r="EZ166" i="54"/>
  <c r="EZ123" i="54"/>
  <c r="EZ69" i="54"/>
  <c r="EJ240" i="54"/>
  <c r="ER240" i="54" s="1"/>
  <c r="EJ148" i="54"/>
  <c r="ER148" i="54" s="1"/>
  <c r="HT164" i="54"/>
  <c r="HW164" i="54" s="1"/>
  <c r="HT85" i="54"/>
  <c r="HT214" i="54"/>
  <c r="HW214" i="54" s="1"/>
  <c r="HS13" i="54"/>
  <c r="HS50" i="54"/>
  <c r="HV50" i="54" s="1"/>
  <c r="HT189" i="54"/>
  <c r="HT244" i="54"/>
  <c r="HW244" i="54" s="1"/>
  <c r="HT80" i="54"/>
  <c r="HT263" i="54"/>
  <c r="HW263" i="54" s="1"/>
  <c r="HT187" i="54"/>
  <c r="HT110" i="54"/>
  <c r="HW110" i="54" s="1"/>
  <c r="HT98" i="54"/>
  <c r="HW98" i="54" s="1"/>
  <c r="HT237" i="54"/>
  <c r="HW237" i="54" s="1"/>
  <c r="HS109" i="54"/>
  <c r="HV109" i="54" s="1"/>
  <c r="HT82" i="54"/>
  <c r="HW82" i="54" s="1"/>
  <c r="HS20" i="54"/>
  <c r="HS123" i="54"/>
  <c r="HT195" i="54"/>
  <c r="HS23" i="54"/>
  <c r="HT162" i="54"/>
  <c r="HW162" i="54" s="1"/>
  <c r="HT163" i="54"/>
  <c r="HW163" i="54" s="1"/>
  <c r="HT53" i="54"/>
  <c r="HS91" i="54"/>
  <c r="HV91" i="54" s="1"/>
  <c r="HT152" i="54"/>
  <c r="HS59" i="54"/>
  <c r="HV59" i="54" s="1"/>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T180" i="54"/>
  <c r="HW180" i="54" s="1"/>
  <c r="HS201" i="54"/>
  <c r="HS30" i="54"/>
  <c r="HT72" i="54"/>
  <c r="HW72" i="54" s="1"/>
  <c r="HS170" i="54"/>
  <c r="DV162" i="54"/>
  <c r="DU162" i="54"/>
  <c r="DU157" i="54"/>
  <c r="DU226" i="54"/>
  <c r="DU123" i="54"/>
  <c r="DV123" i="54"/>
  <c r="DV234" i="54"/>
  <c r="DU173" i="54"/>
  <c r="DU225" i="54"/>
  <c r="DV265" i="54"/>
  <c r="DU65" i="54"/>
  <c r="DV65" i="54"/>
  <c r="DU190" i="54"/>
  <c r="DV190" i="54"/>
  <c r="DU257" i="54"/>
  <c r="DV243" i="54"/>
  <c r="DU232" i="54"/>
  <c r="DV232" i="54"/>
  <c r="DV180" i="54"/>
  <c r="DU180" i="54"/>
  <c r="DV228" i="54"/>
  <c r="DU228" i="54"/>
  <c r="DV150" i="54"/>
  <c r="DV186" i="54"/>
  <c r="DU186" i="54"/>
  <c r="DU64" i="54"/>
  <c r="EN57" i="54"/>
  <c r="EO57" i="54"/>
  <c r="FE57" i="54"/>
  <c r="EN50" i="54"/>
  <c r="EO50" i="54"/>
  <c r="FE50" i="54"/>
  <c r="EJ49" i="54"/>
  <c r="ER49" i="54" s="1"/>
  <c r="EO49" i="54"/>
  <c r="EN49" i="54"/>
  <c r="FE49" i="54"/>
  <c r="FE48" i="54"/>
  <c r="EO48" i="54"/>
  <c r="EN48" i="54"/>
  <c r="EN47" i="54"/>
  <c r="FE47" i="54"/>
  <c r="EO47" i="54"/>
  <c r="EN261" i="54"/>
  <c r="EO261" i="54"/>
  <c r="FE261" i="54"/>
  <c r="EJ260" i="54"/>
  <c r="ER260" i="54" s="1"/>
  <c r="FE260" i="54"/>
  <c r="EN260" i="54"/>
  <c r="EO260" i="54"/>
  <c r="FE259" i="54"/>
  <c r="EO259" i="54"/>
  <c r="EN259" i="54"/>
  <c r="EO258" i="54"/>
  <c r="FE258" i="54"/>
  <c r="EN258" i="54"/>
  <c r="FE257" i="54"/>
  <c r="EN257" i="54"/>
  <c r="EO257" i="54"/>
  <c r="EN244" i="54"/>
  <c r="EO244" i="54"/>
  <c r="FE244" i="54"/>
  <c r="EO213" i="54"/>
  <c r="FE213" i="54"/>
  <c r="EN213" i="54"/>
  <c r="EN212" i="54"/>
  <c r="EO212" i="54"/>
  <c r="FE212" i="54"/>
  <c r="FE211" i="54"/>
  <c r="EO211" i="54"/>
  <c r="EN211" i="54"/>
  <c r="FE204" i="54"/>
  <c r="EN204" i="54"/>
  <c r="EO204" i="54"/>
  <c r="EJ203" i="54"/>
  <c r="ER203" i="54" s="1"/>
  <c r="EO203" i="54"/>
  <c r="FE203" i="54"/>
  <c r="EN203" i="54"/>
  <c r="EN184" i="54"/>
  <c r="EO184" i="54"/>
  <c r="FE184" i="54"/>
  <c r="EO165" i="54"/>
  <c r="FE165" i="54"/>
  <c r="EN165" i="54"/>
  <c r="FE158" i="54"/>
  <c r="EN158" i="54"/>
  <c r="EO158" i="54"/>
  <c r="EJ157" i="54"/>
  <c r="ER157" i="54" s="1"/>
  <c r="EN157" i="54"/>
  <c r="FE157" i="54"/>
  <c r="EO157" i="54"/>
  <c r="EN156" i="54"/>
  <c r="EO156" i="54"/>
  <c r="FE156" i="54"/>
  <c r="EO155" i="54"/>
  <c r="FE155" i="54"/>
  <c r="EN155" i="54"/>
  <c r="FE124" i="54"/>
  <c r="EN124" i="54"/>
  <c r="EO124" i="54"/>
  <c r="EJ111" i="54"/>
  <c r="ER111" i="54" s="1"/>
  <c r="EO111" i="54"/>
  <c r="EN111" i="54"/>
  <c r="FE111" i="54"/>
  <c r="EN110" i="54"/>
  <c r="EO110" i="54"/>
  <c r="FE110" i="54"/>
  <c r="EO109" i="54"/>
  <c r="EN109" i="54"/>
  <c r="FE109" i="54"/>
  <c r="EO108" i="54"/>
  <c r="EN108" i="54"/>
  <c r="FE108" i="54"/>
  <c r="EO101" i="54"/>
  <c r="FE101" i="54"/>
  <c r="EN101" i="54"/>
  <c r="FE58" i="54"/>
  <c r="EN58" i="54"/>
  <c r="EO58" i="54"/>
  <c r="EN21" i="54"/>
  <c r="EO21" i="54"/>
  <c r="FE21" i="54"/>
  <c r="EN14" i="54"/>
  <c r="EO14" i="54"/>
  <c r="FE14" i="54"/>
  <c r="EJ13" i="54"/>
  <c r="ER13" i="54" s="1"/>
  <c r="EO13" i="54"/>
  <c r="FE13" i="54"/>
  <c r="EN13" i="54"/>
  <c r="EO12" i="54"/>
  <c r="EN12" i="54"/>
  <c r="FE12" i="54"/>
  <c r="EN268" i="54"/>
  <c r="EO268" i="54"/>
  <c r="FE268" i="54"/>
  <c r="FE231" i="54"/>
  <c r="EN231" i="54"/>
  <c r="EO231" i="54"/>
  <c r="FE15" i="54"/>
  <c r="EN15" i="54"/>
  <c r="EO15" i="54"/>
  <c r="FE56" i="54"/>
  <c r="EN56" i="54"/>
  <c r="EO56" i="54"/>
  <c r="FE97" i="54"/>
  <c r="EO97" i="54"/>
  <c r="EN97" i="54"/>
  <c r="FE138" i="54"/>
  <c r="EN138" i="54"/>
  <c r="EO138" i="54"/>
  <c r="FE179" i="54"/>
  <c r="EN179" i="54"/>
  <c r="EO179" i="54"/>
  <c r="FE226" i="54"/>
  <c r="EN226" i="54"/>
  <c r="EO226" i="54"/>
  <c r="FE10" i="54"/>
  <c r="EO10" i="54"/>
  <c r="EN10" i="54"/>
  <c r="EJ106" i="54"/>
  <c r="ER106" i="54" s="1"/>
  <c r="EN106" i="54"/>
  <c r="EO106" i="54"/>
  <c r="FE106" i="54"/>
  <c r="HS168" i="54"/>
  <c r="HT34" i="54"/>
  <c r="HW34" i="54" s="1"/>
  <c r="HT126" i="54"/>
  <c r="HW126" i="54" s="1"/>
  <c r="HT156" i="54"/>
  <c r="HW156" i="54" s="1"/>
  <c r="HS166" i="54"/>
  <c r="HS43" i="54"/>
  <c r="HV43" i="54" s="1"/>
  <c r="HS22" i="54"/>
  <c r="HS202" i="54"/>
  <c r="HV202" i="54" s="1"/>
  <c r="HS37" i="54"/>
  <c r="HS134" i="54"/>
  <c r="HV134" i="54" s="1"/>
  <c r="HS10" i="54"/>
  <c r="HV10" i="54" s="1"/>
  <c r="HT145" i="54"/>
  <c r="HS118" i="54"/>
  <c r="HV118" i="54" s="1"/>
  <c r="HA226" i="54"/>
  <c r="HA251" i="54"/>
  <c r="HA217" i="54"/>
  <c r="HA48" i="54"/>
  <c r="HA99" i="54"/>
  <c r="HA232" i="54"/>
  <c r="HA160" i="54"/>
  <c r="HA157" i="54"/>
  <c r="HA163" i="54"/>
  <c r="HA254" i="54"/>
  <c r="HA229" i="54"/>
  <c r="HA168" i="54"/>
  <c r="HA167" i="54"/>
  <c r="HA266" i="54"/>
  <c r="HA231" i="54"/>
  <c r="HA158" i="54"/>
  <c r="GW136" i="54"/>
  <c r="GX136" i="54"/>
  <c r="GW206" i="54"/>
  <c r="GX206" i="54"/>
  <c r="GX11" i="54"/>
  <c r="GW11" i="54"/>
  <c r="GX58" i="54"/>
  <c r="GX105" i="54"/>
  <c r="GW105" i="54"/>
  <c r="GW109" i="54"/>
  <c r="GW149" i="54"/>
  <c r="GX149" i="54"/>
  <c r="GW243" i="54"/>
  <c r="GX243" i="54"/>
  <c r="GX21" i="54"/>
  <c r="GX12" i="54"/>
  <c r="GW12" i="54"/>
  <c r="GW118" i="54"/>
  <c r="GX118" i="54"/>
  <c r="GX182" i="54"/>
  <c r="GX180" i="54"/>
  <c r="GW180" i="54"/>
  <c r="GX173" i="54"/>
  <c r="GX220" i="54"/>
  <c r="GW220" i="54"/>
  <c r="GW267" i="54"/>
  <c r="GX43" i="54"/>
  <c r="GW43" i="54"/>
  <c r="GW59" i="54"/>
  <c r="GX59" i="54"/>
  <c r="GX163" i="54"/>
  <c r="GW163" i="54"/>
  <c r="GW236" i="54"/>
  <c r="GX236" i="54"/>
  <c r="GW61" i="54"/>
  <c r="GX61" i="54"/>
  <c r="HT25" i="54"/>
  <c r="HS133" i="54"/>
  <c r="HV133" i="54" s="1"/>
  <c r="HS199" i="54"/>
  <c r="HV199" i="54" s="1"/>
  <c r="HS136" i="54"/>
  <c r="HT228" i="54"/>
  <c r="HW228" i="54" s="1"/>
  <c r="HT64" i="54"/>
  <c r="HW64" i="54" s="1"/>
  <c r="HS142" i="54"/>
  <c r="HS235" i="54"/>
  <c r="HV235" i="54" s="1"/>
  <c r="HS83" i="54"/>
  <c r="HV83" i="54" s="1"/>
  <c r="HT223" i="54"/>
  <c r="HW223" i="54" s="1"/>
  <c r="HT146" i="54"/>
  <c r="HW146" i="54" s="1"/>
  <c r="HS77" i="54"/>
  <c r="HS176" i="54"/>
  <c r="HV176" i="54" s="1"/>
  <c r="HS190" i="54"/>
  <c r="HT67" i="54"/>
  <c r="HW67" i="54" s="1"/>
  <c r="HS207" i="54"/>
  <c r="HV207" i="54" s="1"/>
  <c r="DY19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T239" i="54"/>
  <c r="HW239" i="54" s="1"/>
  <c r="HT183" i="54"/>
  <c r="HW183" i="54" s="1"/>
  <c r="HT12" i="54"/>
  <c r="HW12" i="54" s="1"/>
  <c r="HS189" i="54"/>
  <c r="HV189" i="54" s="1"/>
  <c r="HT19" i="54"/>
  <c r="HW19" i="54" s="1"/>
  <c r="HS254" i="54"/>
  <c r="HV254" i="54" s="1"/>
  <c r="HS130" i="54"/>
  <c r="HS124" i="54"/>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T21" i="54"/>
  <c r="HW21" i="54" s="1"/>
  <c r="HS16" i="54"/>
  <c r="HS129" i="54"/>
  <c r="HS15" i="54"/>
  <c r="HV15" i="54" s="1"/>
  <c r="HT148" i="54"/>
  <c r="HW148" i="54" s="1"/>
  <c r="HT45" i="54"/>
  <c r="HW45" i="54" s="1"/>
  <c r="HT100" i="54"/>
  <c r="HW100" i="54" s="1"/>
  <c r="HT193" i="54"/>
  <c r="HW193" i="54" s="1"/>
  <c r="HT75" i="54"/>
  <c r="HW75" i="54" s="1"/>
  <c r="HT79" i="54"/>
  <c r="HS11" i="54"/>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107" i="54"/>
  <c r="DU107" i="54"/>
  <c r="DV178" i="54"/>
  <c r="DU250" i="54"/>
  <c r="DV250" i="54"/>
  <c r="DU19" i="54"/>
  <c r="DV19" i="54"/>
  <c r="DU143" i="54"/>
  <c r="DV143" i="54"/>
  <c r="DU170" i="54"/>
  <c r="DV73" i="54"/>
  <c r="DU73" i="54"/>
  <c r="DV187" i="54"/>
  <c r="DU187" i="54"/>
  <c r="DU43" i="54"/>
  <c r="DV43" i="54"/>
  <c r="DV42" i="54"/>
  <c r="DU42" i="54"/>
  <c r="O28" i="56"/>
  <c r="L28" i="56" s="1"/>
  <c r="DW3" i="54"/>
  <c r="HV137" i="54"/>
  <c r="BG3" i="54"/>
  <c r="EN266" i="54"/>
  <c r="EO266" i="54"/>
  <c r="FE266" i="54"/>
  <c r="EJ265" i="54"/>
  <c r="ER265" i="54" s="1"/>
  <c r="EN265" i="54"/>
  <c r="EO265" i="54"/>
  <c r="FE265" i="54"/>
  <c r="FE264" i="54"/>
  <c r="EN264" i="54"/>
  <c r="EO264" i="54"/>
  <c r="EO263" i="54"/>
  <c r="FE263" i="54"/>
  <c r="EN263" i="54"/>
  <c r="EO256" i="54"/>
  <c r="EN256" i="54"/>
  <c r="FE256" i="54"/>
  <c r="EJ219" i="54"/>
  <c r="ER219" i="54" s="1"/>
  <c r="FE219" i="54"/>
  <c r="EN219" i="54"/>
  <c r="EO219" i="54"/>
  <c r="FE218" i="54"/>
  <c r="EN218" i="54"/>
  <c r="EO218" i="54"/>
  <c r="EN217" i="54"/>
  <c r="FE217" i="54"/>
  <c r="EO217" i="54"/>
  <c r="FE216" i="54"/>
  <c r="EN216" i="54"/>
  <c r="EO216" i="54"/>
  <c r="EN209" i="54"/>
  <c r="EO209" i="54"/>
  <c r="FE209" i="54"/>
  <c r="EN196" i="54"/>
  <c r="EO196" i="54"/>
  <c r="FE196" i="54"/>
  <c r="EN171" i="54"/>
  <c r="EO171" i="54"/>
  <c r="FE171" i="54"/>
  <c r="FE170" i="54"/>
  <c r="EN170" i="54"/>
  <c r="EO170" i="54"/>
  <c r="FE163" i="54"/>
  <c r="EO163" i="54"/>
  <c r="EN163" i="54"/>
  <c r="EJ162" i="54"/>
  <c r="ER162" i="54" s="1"/>
  <c r="FE162" i="54"/>
  <c r="EN162" i="54"/>
  <c r="EO162" i="54"/>
  <c r="EO161" i="54"/>
  <c r="FE161" i="54"/>
  <c r="EN161" i="54"/>
  <c r="EO130" i="54"/>
  <c r="FE130" i="54"/>
  <c r="EN130" i="54"/>
  <c r="FE117" i="54"/>
  <c r="EN117" i="54"/>
  <c r="EO117" i="54"/>
  <c r="EJ116" i="54"/>
  <c r="ER116" i="54" s="1"/>
  <c r="EO116" i="54"/>
  <c r="FE116" i="54"/>
  <c r="EN116" i="54"/>
  <c r="EO115" i="54"/>
  <c r="EN115" i="54"/>
  <c r="FE115" i="54"/>
  <c r="EN114" i="54"/>
  <c r="FE114" i="54"/>
  <c r="EO114" i="54"/>
  <c r="EN113" i="54"/>
  <c r="FE113" i="54"/>
  <c r="EO113" i="54"/>
  <c r="EO64" i="54"/>
  <c r="EN64" i="54"/>
  <c r="FE64" i="54"/>
  <c r="EN69" i="54"/>
  <c r="EO69" i="54"/>
  <c r="FE69" i="54"/>
  <c r="EN68" i="54"/>
  <c r="EO68" i="54"/>
  <c r="FE68" i="54"/>
  <c r="EO67" i="54"/>
  <c r="EN67" i="54"/>
  <c r="FE67" i="54"/>
  <c r="EN60" i="54"/>
  <c r="FE60" i="54"/>
  <c r="EO60" i="54"/>
  <c r="EJ59" i="54"/>
  <c r="ER59" i="54" s="1"/>
  <c r="EO59" i="54"/>
  <c r="FE59" i="54"/>
  <c r="EN59" i="54"/>
  <c r="EN237" i="54"/>
  <c r="EO237" i="54"/>
  <c r="FE237" i="54"/>
  <c r="EN230" i="54"/>
  <c r="EO230" i="54"/>
  <c r="FE230" i="54"/>
  <c r="EJ229" i="54"/>
  <c r="ER229" i="54" s="1"/>
  <c r="EN229" i="54"/>
  <c r="EO229" i="54"/>
  <c r="FE229" i="54"/>
  <c r="EN228" i="54"/>
  <c r="EO228" i="54"/>
  <c r="FE228" i="54"/>
  <c r="FE227" i="54"/>
  <c r="EN227" i="54"/>
  <c r="EO227" i="54"/>
  <c r="EO208" i="54"/>
  <c r="FE208" i="54"/>
  <c r="EN208" i="54"/>
  <c r="FE195" i="54"/>
  <c r="EN195" i="54"/>
  <c r="EO195" i="54"/>
  <c r="FE236" i="54"/>
  <c r="EN236" i="54"/>
  <c r="EO236" i="54"/>
  <c r="FE20" i="54"/>
  <c r="EN20" i="54"/>
  <c r="EO20" i="54"/>
  <c r="FE61" i="54"/>
  <c r="EO61" i="54"/>
  <c r="EN61" i="54"/>
  <c r="FE102" i="54"/>
  <c r="EO102" i="54"/>
  <c r="EN102" i="54"/>
  <c r="FE143" i="54"/>
  <c r="EN143" i="54"/>
  <c r="EO143" i="54"/>
  <c r="FE190" i="54"/>
  <c r="EN190" i="54"/>
  <c r="EO190" i="54"/>
  <c r="EJ23" i="54"/>
  <c r="ER23" i="54" s="1"/>
  <c r="EO23" i="54"/>
  <c r="EN23" i="54"/>
  <c r="FE23" i="54"/>
  <c r="EJ70" i="54"/>
  <c r="ER70" i="54" s="1"/>
  <c r="EO70" i="54"/>
  <c r="EN70" i="54"/>
  <c r="FE70" i="54"/>
  <c r="HS97" i="54"/>
  <c r="HV97" i="54" s="1"/>
  <c r="HT65" i="54"/>
  <c r="HW65" i="54" s="1"/>
  <c r="HT256" i="54"/>
  <c r="HT168" i="54"/>
  <c r="HW168" i="54" s="1"/>
  <c r="HT260" i="54"/>
  <c r="HS127" i="54"/>
  <c r="HS157" i="54"/>
  <c r="HT166" i="54"/>
  <c r="HW166" i="54" s="1"/>
  <c r="HT22" i="54"/>
  <c r="HW22" i="54" s="1"/>
  <c r="HT202" i="54"/>
  <c r="HW202" i="54" s="1"/>
  <c r="HT134" i="54"/>
  <c r="HT10" i="54"/>
  <c r="HW10" i="54" s="1"/>
  <c r="HT268" i="54"/>
  <c r="HW268" i="54" s="1"/>
  <c r="HS144" i="54"/>
  <c r="HV144" i="54" s="1"/>
  <c r="HT27" i="54"/>
  <c r="HW27" i="54" s="1"/>
  <c r="HT118" i="54"/>
  <c r="HW118" i="54" s="1"/>
  <c r="HA211" i="54"/>
  <c r="HA186" i="54"/>
  <c r="HA114" i="54"/>
  <c r="HA141" i="54"/>
  <c r="HA155" i="54"/>
  <c r="HA136" i="54"/>
  <c r="HA213" i="54"/>
  <c r="HA188" i="54"/>
  <c r="HA30" i="54"/>
  <c r="HA225" i="54"/>
  <c r="HA87" i="54"/>
  <c r="HA60" i="54"/>
  <c r="HA59" i="54"/>
  <c r="HA117" i="54"/>
  <c r="GW53" i="54"/>
  <c r="GX53" i="54"/>
  <c r="GW147" i="54"/>
  <c r="GX147" i="54"/>
  <c r="GX158" i="54"/>
  <c r="GX191" i="54"/>
  <c r="GW191" i="54"/>
  <c r="GX22" i="54"/>
  <c r="GW22" i="54"/>
  <c r="GX68" i="54"/>
  <c r="GW60" i="54"/>
  <c r="GX60" i="54"/>
  <c r="GX113" i="54"/>
  <c r="GX160" i="54"/>
  <c r="GW160" i="54"/>
  <c r="GW207" i="54"/>
  <c r="GX228" i="54"/>
  <c r="GW228" i="54"/>
  <c r="GX35" i="54"/>
  <c r="GW35" i="54"/>
  <c r="GX139" i="54"/>
  <c r="GW139" i="54"/>
  <c r="GW137" i="54"/>
  <c r="GX137" i="54"/>
  <c r="GX231" i="54"/>
  <c r="GW231" i="54"/>
  <c r="GX259" i="54"/>
  <c r="GW259" i="54"/>
  <c r="GX258" i="54"/>
  <c r="GX239" i="54"/>
  <c r="GW239" i="54"/>
  <c r="GX23" i="54"/>
  <c r="GX122" i="54"/>
  <c r="GW122" i="54"/>
  <c r="GX120" i="54"/>
  <c r="GW120" i="54"/>
  <c r="GW241" i="54"/>
  <c r="GX66" i="54"/>
  <c r="GW66" i="54"/>
  <c r="HT61" i="54"/>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T176" i="54"/>
  <c r="HW176" i="54" s="1"/>
  <c r="HT190" i="54"/>
  <c r="HS67" i="54"/>
  <c r="HT207" i="54"/>
  <c r="HW207" i="54" s="1"/>
  <c r="DY73"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S56" i="54"/>
  <c r="HV56" i="54" s="1"/>
  <c r="HS92" i="54"/>
  <c r="HV92" i="54" s="1"/>
  <c r="HS84" i="54"/>
  <c r="HT122" i="54"/>
  <c r="HW122" i="54" s="1"/>
  <c r="HS183" i="54"/>
  <c r="HV183" i="54" s="1"/>
  <c r="HS12" i="54"/>
  <c r="HS19" i="54"/>
  <c r="HV19" i="54" s="1"/>
  <c r="HT254" i="54"/>
  <c r="HT130" i="54"/>
  <c r="HT186" i="54"/>
  <c r="HW186" i="54" s="1"/>
  <c r="HT33" i="54"/>
  <c r="HW33" i="54" s="1"/>
  <c r="HT124" i="54"/>
  <c r="HT217" i="54"/>
  <c r="HS99" i="54"/>
  <c r="HS108" i="54"/>
  <c r="HV108" i="54" s="1"/>
  <c r="HS206" i="54"/>
  <c r="HV206" i="54" s="1"/>
  <c r="HT248" i="54"/>
  <c r="HW248" i="54" s="1"/>
  <c r="HT200" i="54"/>
  <c r="HS162" i="54"/>
  <c r="HV162" i="54" s="1"/>
  <c r="HS261" i="54"/>
  <c r="HV261" i="54" s="1"/>
  <c r="HS90" i="54"/>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S131" i="54"/>
  <c r="HV131" i="54" s="1"/>
  <c r="HS192" i="54"/>
  <c r="HV192" i="54" s="1"/>
  <c r="HS14" i="54"/>
  <c r="HV14" i="54" s="1"/>
  <c r="HS75" i="54"/>
  <c r="HS161" i="54"/>
  <c r="HS94" i="54"/>
  <c r="HV94" i="54" s="1"/>
  <c r="HS62" i="54"/>
  <c r="HT63" i="54"/>
  <c r="HW63" i="54" s="1"/>
  <c r="BH3" i="54"/>
  <c r="DU70" i="54"/>
  <c r="DU15" i="54"/>
  <c r="DV15" i="54"/>
  <c r="DV14" i="54"/>
  <c r="DU138" i="54"/>
  <c r="DV138" i="54"/>
  <c r="DU40" i="54"/>
  <c r="DU129" i="54"/>
  <c r="DV129" i="54"/>
  <c r="DU128" i="54"/>
  <c r="DV128" i="54"/>
  <c r="DV245" i="54"/>
  <c r="DV66" i="54"/>
  <c r="DU66" i="54"/>
  <c r="DU235" i="54"/>
  <c r="DV235" i="54"/>
  <c r="DU102" i="54"/>
  <c r="DV102" i="54"/>
  <c r="DU124" i="54"/>
  <c r="DV124" i="54"/>
  <c r="DU113" i="54"/>
  <c r="DV113" i="54"/>
  <c r="DV149" i="54"/>
  <c r="DU149" i="54"/>
  <c r="DU130" i="54"/>
  <c r="DV130" i="54"/>
  <c r="DV144" i="54"/>
  <c r="DU144" i="54"/>
  <c r="DU134" i="54"/>
  <c r="DV134" i="54"/>
  <c r="DU166" i="54"/>
  <c r="DU146" i="54"/>
  <c r="DV146" i="54"/>
  <c r="DV233" i="54"/>
  <c r="Z28" i="56"/>
  <c r="AC28" i="56" s="1"/>
  <c r="DW5" i="54"/>
  <c r="BM23" i="54" a="1"/>
  <c r="BM23" i="54" s="1"/>
  <c r="BM24" i="54" a="1"/>
  <c r="BM24" i="54" s="1"/>
  <c r="BM25" i="54" a="1"/>
  <c r="BM25" i="54" s="1"/>
  <c r="BM27" i="54" a="1"/>
  <c r="BM27" i="54" s="1"/>
  <c r="BM22" i="54" a="1"/>
  <c r="BM22" i="54" s="1"/>
  <c r="BM26" i="54" a="1"/>
  <c r="BM26" i="54" s="1"/>
  <c r="EN225" i="54"/>
  <c r="EO225" i="54"/>
  <c r="FE225" i="54"/>
  <c r="EJ224" i="54"/>
  <c r="ER224" i="54" s="1"/>
  <c r="EO224" i="54"/>
  <c r="EN224" i="54"/>
  <c r="FE224" i="54"/>
  <c r="FE223" i="54"/>
  <c r="EO223" i="54"/>
  <c r="EN223" i="54"/>
  <c r="EO222" i="54"/>
  <c r="EN222" i="54"/>
  <c r="FE222" i="54"/>
  <c r="EN221" i="54"/>
  <c r="EO221" i="54"/>
  <c r="FE221" i="54"/>
  <c r="EO202" i="54"/>
  <c r="FE202" i="54"/>
  <c r="EN202" i="54"/>
  <c r="FE177" i="54"/>
  <c r="EN177" i="54"/>
  <c r="EO177" i="54"/>
  <c r="EO176" i="54"/>
  <c r="FE176" i="54"/>
  <c r="EN176" i="54"/>
  <c r="FE175" i="54"/>
  <c r="EO175" i="54"/>
  <c r="EN175" i="54"/>
  <c r="EN168" i="54"/>
  <c r="EO168" i="54"/>
  <c r="FE168" i="54"/>
  <c r="EJ167" i="54"/>
  <c r="ER167" i="54" s="1"/>
  <c r="FE167" i="54"/>
  <c r="EN167" i="54"/>
  <c r="EO167" i="54"/>
  <c r="FE136" i="54"/>
  <c r="EN136" i="54"/>
  <c r="EO136" i="54"/>
  <c r="FE129" i="54"/>
  <c r="EN129" i="54"/>
  <c r="EO129" i="54"/>
  <c r="FE122" i="54"/>
  <c r="EN122" i="54"/>
  <c r="EO122" i="54"/>
  <c r="EJ121" i="54"/>
  <c r="ER121" i="54" s="1"/>
  <c r="FE121" i="54"/>
  <c r="EO121" i="54"/>
  <c r="EN121" i="54"/>
  <c r="EN120" i="54"/>
  <c r="FE120" i="54"/>
  <c r="EO120" i="54"/>
  <c r="EO119" i="54"/>
  <c r="FE119" i="54"/>
  <c r="EN119" i="54"/>
  <c r="FE76" i="54"/>
  <c r="EN76" i="54"/>
  <c r="EO76" i="54"/>
  <c r="EJ75" i="54"/>
  <c r="ER75" i="54" s="1"/>
  <c r="EO75" i="54"/>
  <c r="EN75" i="54"/>
  <c r="FE75" i="54"/>
  <c r="EN74" i="54"/>
  <c r="EO74" i="54"/>
  <c r="FE74" i="54"/>
  <c r="EO73" i="54"/>
  <c r="EN73" i="54"/>
  <c r="FE73" i="54"/>
  <c r="EN72" i="54"/>
  <c r="FE72" i="54"/>
  <c r="EO72" i="54"/>
  <c r="FE65" i="54"/>
  <c r="EO65" i="54"/>
  <c r="EN65" i="54"/>
  <c r="EO16" i="54"/>
  <c r="EN16" i="54"/>
  <c r="FE16" i="54"/>
  <c r="EO27" i="54"/>
  <c r="EN27" i="54"/>
  <c r="FE27" i="54"/>
  <c r="EO26" i="54"/>
  <c r="EN26" i="54"/>
  <c r="FE26" i="54"/>
  <c r="EN19" i="54"/>
  <c r="FE19" i="54"/>
  <c r="EO19" i="54"/>
  <c r="EJ18" i="54"/>
  <c r="ER18" i="54" s="1"/>
  <c r="EO18" i="54"/>
  <c r="FE18" i="54"/>
  <c r="EN18" i="54"/>
  <c r="FE11" i="54"/>
  <c r="EO11" i="54"/>
  <c r="EN11" i="54"/>
  <c r="EN189" i="54"/>
  <c r="EO189" i="54"/>
  <c r="FE189" i="54"/>
  <c r="EJ188" i="54"/>
  <c r="ER188" i="54" s="1"/>
  <c r="EO188" i="54"/>
  <c r="EN188" i="54"/>
  <c r="FE188" i="54"/>
  <c r="EO187" i="54"/>
  <c r="EN187" i="54"/>
  <c r="FE187" i="54"/>
  <c r="FE186" i="54"/>
  <c r="EN186" i="54"/>
  <c r="EO186" i="54"/>
  <c r="EN185" i="54"/>
  <c r="EO185" i="54"/>
  <c r="FE185" i="54"/>
  <c r="EO160" i="54"/>
  <c r="FE160" i="54"/>
  <c r="EN160" i="54"/>
  <c r="EN159" i="54"/>
  <c r="EO159" i="54"/>
  <c r="FE159" i="54"/>
  <c r="EN200" i="54"/>
  <c r="EO200" i="54"/>
  <c r="FE200" i="54"/>
  <c r="EO241" i="54"/>
  <c r="EN241" i="54"/>
  <c r="FE241" i="54"/>
  <c r="EO25" i="54"/>
  <c r="EN25" i="54"/>
  <c r="FE25" i="54"/>
  <c r="EO66" i="54"/>
  <c r="EN66" i="54"/>
  <c r="FE66" i="54"/>
  <c r="EO107" i="54"/>
  <c r="EN107" i="54"/>
  <c r="FE107" i="54"/>
  <c r="EN154" i="54"/>
  <c r="EO154" i="54"/>
  <c r="FE154" i="54"/>
  <c r="EJ250" i="54"/>
  <c r="ER250" i="54" s="1"/>
  <c r="EO250" i="54"/>
  <c r="FE250" i="54"/>
  <c r="EN250" i="54"/>
  <c r="EJ34" i="54"/>
  <c r="ER34" i="54" s="1"/>
  <c r="EN34" i="54"/>
  <c r="FE34" i="54"/>
  <c r="EO34" i="54"/>
  <c r="HT97" i="54"/>
  <c r="HW97" i="54" s="1"/>
  <c r="HS65" i="54"/>
  <c r="HV65" i="54" s="1"/>
  <c r="HS132" i="54"/>
  <c r="HV132" i="54" s="1"/>
  <c r="HV168" i="54"/>
  <c r="HT89" i="54"/>
  <c r="HW89" i="54" s="1"/>
  <c r="HT225" i="54"/>
  <c r="HW225" i="54" s="1"/>
  <c r="HS156" i="54"/>
  <c r="HV156" i="54" s="1"/>
  <c r="HT194" i="54"/>
  <c r="HT255" i="54"/>
  <c r="HW255" i="54" s="1"/>
  <c r="HS42" i="54"/>
  <c r="HS36" i="54"/>
  <c r="HV36" i="54" s="1"/>
  <c r="HT135" i="54"/>
  <c r="HW135" i="54" s="1"/>
  <c r="HT144" i="54"/>
  <c r="HW144" i="54" s="1"/>
  <c r="HS26" i="54"/>
  <c r="HV26" i="54" s="1"/>
  <c r="HS27" i="54"/>
  <c r="HT160" i="54"/>
  <c r="HW160" i="54" s="1"/>
  <c r="HS251" i="54"/>
  <c r="HV251" i="54" s="1"/>
  <c r="HA134" i="54"/>
  <c r="HA139" i="54"/>
  <c r="HA37" i="54"/>
  <c r="HA43" i="54"/>
  <c r="HA161" i="54"/>
  <c r="HA115" i="54"/>
  <c r="HA166" i="54"/>
  <c r="HA40" i="54"/>
  <c r="HA230" i="54"/>
  <c r="HA92" i="54"/>
  <c r="HA138" i="54"/>
  <c r="HA236" i="54"/>
  <c r="GX17" i="54"/>
  <c r="GW17" i="54"/>
  <c r="GW116" i="54"/>
  <c r="GW115" i="54"/>
  <c r="GX115" i="54"/>
  <c r="GW155" i="54"/>
  <c r="GX155" i="54"/>
  <c r="GX249" i="54"/>
  <c r="GX27" i="54"/>
  <c r="GX26" i="54"/>
  <c r="GW26" i="54"/>
  <c r="GX18" i="54"/>
  <c r="GW18" i="54"/>
  <c r="GW171" i="54"/>
  <c r="GW188" i="54"/>
  <c r="GX188" i="54"/>
  <c r="GX186" i="54"/>
  <c r="GW186" i="54"/>
  <c r="GX262" i="54"/>
  <c r="GW46" i="54"/>
  <c r="GX93" i="54"/>
  <c r="GW93" i="54"/>
  <c r="GX98" i="54"/>
  <c r="GX91" i="54"/>
  <c r="GW91" i="54"/>
  <c r="GX101" i="54"/>
  <c r="GX148" i="54"/>
  <c r="GW195" i="54"/>
  <c r="GX195" i="54"/>
  <c r="GW218" i="54"/>
  <c r="GX217" i="54"/>
  <c r="GW217" i="54"/>
  <c r="GX216" i="54"/>
  <c r="GW250" i="54"/>
  <c r="GX34" i="54"/>
  <c r="GW34" i="54"/>
  <c r="GX80" i="54"/>
  <c r="GW80" i="54"/>
  <c r="GX78" i="54"/>
  <c r="GW78" i="54"/>
  <c r="GW164" i="54"/>
  <c r="GX205" i="54"/>
  <c r="GW205" i="54"/>
  <c r="GX30" i="54"/>
  <c r="GW30" i="54"/>
  <c r="HS245" i="54"/>
  <c r="HV245" i="54" s="1"/>
  <c r="HS61" i="54"/>
  <c r="HT44" i="54"/>
  <c r="HS81" i="54"/>
  <c r="HS228" i="54"/>
  <c r="HV228" i="54" s="1"/>
  <c r="HS213" i="54"/>
  <c r="HV213" i="54" s="1"/>
  <c r="HT222" i="54"/>
  <c r="HW222" i="54" s="1"/>
  <c r="HS69" i="54"/>
  <c r="HV69" i="54" s="1"/>
  <c r="HT249" i="54"/>
  <c r="HW249" i="54" s="1"/>
  <c r="HS175" i="54"/>
  <c r="HS57" i="54"/>
  <c r="HV57" i="54" s="1"/>
  <c r="HS52" i="54"/>
  <c r="HV52" i="54" s="1"/>
  <c r="HT66" i="54"/>
  <c r="HW66" i="54" s="1"/>
  <c r="HT68" i="54"/>
  <c r="HW68" i="54" s="1"/>
  <c r="HT165" i="54"/>
  <c r="HW165" i="54" s="1"/>
  <c r="DY183" i="54"/>
  <c r="DY222" i="54"/>
  <c r="DY192" i="54"/>
  <c r="DY228"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T109" i="54"/>
  <c r="HW109" i="54" s="1"/>
  <c r="HT206" i="54"/>
  <c r="HW206" i="54" s="1"/>
  <c r="HV20" i="54"/>
  <c r="HT51" i="54"/>
  <c r="HW51" i="54" s="1"/>
  <c r="HT87" i="54"/>
  <c r="HS125" i="54"/>
  <c r="HS163" i="54"/>
  <c r="HV163" i="54" s="1"/>
  <c r="HS224" i="54"/>
  <c r="HV224" i="54" s="1"/>
  <c r="HT90" i="54"/>
  <c r="HW90" i="54" s="1"/>
  <c r="HT120" i="54"/>
  <c r="HW120" i="54" s="1"/>
  <c r="HS38" i="54"/>
  <c r="HV38" i="54" s="1"/>
  <c r="HT177" i="54"/>
  <c r="HW177" i="54" s="1"/>
  <c r="HT227" i="54"/>
  <c r="HS74" i="54"/>
  <c r="HS171" i="54"/>
  <c r="HS138" i="54"/>
  <c r="HS140" i="54"/>
  <c r="HS149" i="54"/>
  <c r="HS247" i="54"/>
  <c r="HV247" i="54" s="1"/>
  <c r="HT32" i="54"/>
  <c r="HW32" i="54" s="1"/>
  <c r="EJ21" i="54"/>
  <c r="ER21" i="54" s="1"/>
  <c r="HS159" i="54"/>
  <c r="HV159" i="54" s="1"/>
  <c r="HV76" i="54"/>
  <c r="HS203" i="54"/>
  <c r="HS265" i="54"/>
  <c r="HT131" i="54"/>
  <c r="HW131" i="54" s="1"/>
  <c r="HT192" i="54"/>
  <c r="HT161" i="54"/>
  <c r="HW161" i="54" s="1"/>
  <c r="HS78" i="54"/>
  <c r="HV78" i="54" s="1"/>
  <c r="HS218" i="54"/>
  <c r="HV218" i="54" s="1"/>
  <c r="HT94" i="54"/>
  <c r="HW94" i="54" s="1"/>
  <c r="HS114" i="54"/>
  <c r="HV114" i="54" s="1"/>
  <c r="HS212" i="54"/>
  <c r="HS46" i="54"/>
  <c r="HV46" i="54" s="1"/>
  <c r="HS180" i="54"/>
  <c r="HV180" i="54" s="1"/>
  <c r="HS63" i="54"/>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V23" i="54"/>
  <c r="DU231" i="54"/>
  <c r="DU230" i="54"/>
  <c r="DV230" i="54"/>
  <c r="DV51" i="54"/>
  <c r="DU174" i="54"/>
  <c r="DU34" i="54"/>
  <c r="DV34" i="54"/>
  <c r="DU82" i="54"/>
  <c r="DV82" i="54"/>
  <c r="DU205" i="54"/>
  <c r="DV205" i="54"/>
  <c r="DU25" i="54"/>
  <c r="DV25" i="54"/>
  <c r="DV194" i="54"/>
  <c r="DU194" i="54"/>
  <c r="DV114" i="54"/>
  <c r="DU114" i="54"/>
  <c r="DV222" i="54"/>
  <c r="DU222" i="54"/>
  <c r="DU52" i="54"/>
  <c r="DV52" i="54"/>
  <c r="DU249" i="54"/>
  <c r="DV249" i="54"/>
  <c r="DU100" i="54"/>
  <c r="DV100" i="54"/>
  <c r="DU183" i="54"/>
  <c r="DV183" i="54"/>
  <c r="DU219" i="54"/>
  <c r="DV219" i="54"/>
  <c r="DV156" i="54"/>
  <c r="DU156" i="54"/>
  <c r="DV192" i="54"/>
  <c r="DU192" i="54"/>
  <c r="DC33" i="54"/>
  <c r="DA33" i="54"/>
  <c r="DB34" i="54" s="1"/>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GW215" i="54" l="1"/>
  <c r="HV84" i="54"/>
  <c r="GX207" i="54"/>
  <c r="DY218" i="54"/>
  <c r="GS237" i="54"/>
  <c r="HA237" i="54" s="1"/>
  <c r="HV215" i="54"/>
  <c r="DV58" i="54"/>
  <c r="DV44" i="54"/>
  <c r="DV256" i="54"/>
  <c r="DU51" i="54"/>
  <c r="DU23" i="54"/>
  <c r="HV63" i="54"/>
  <c r="HV125" i="54"/>
  <c r="HV107" i="54"/>
  <c r="GW79" i="54"/>
  <c r="GW101" i="54"/>
  <c r="GX215" i="54"/>
  <c r="GW124" i="54"/>
  <c r="GW202" i="54"/>
  <c r="GW111" i="54"/>
  <c r="DU233" i="54"/>
  <c r="DV99" i="54"/>
  <c r="HV99" i="54"/>
  <c r="HW254" i="54"/>
  <c r="HW190" i="54"/>
  <c r="GX241" i="54"/>
  <c r="GX184" i="54"/>
  <c r="GW129" i="54"/>
  <c r="GW68" i="54"/>
  <c r="DV244" i="54"/>
  <c r="DV212" i="54"/>
  <c r="DU178" i="54"/>
  <c r="HV139" i="54"/>
  <c r="GX20" i="54"/>
  <c r="GX153" i="54"/>
  <c r="GX110" i="54"/>
  <c r="GW198" i="54"/>
  <c r="HV201" i="54"/>
  <c r="GW84" i="54"/>
  <c r="HW201" i="54"/>
  <c r="HV110" i="54"/>
  <c r="GW131" i="54"/>
  <c r="GX190" i="54"/>
  <c r="GW83" i="54"/>
  <c r="HV95" i="54"/>
  <c r="DV11" i="54"/>
  <c r="HW236" i="54"/>
  <c r="GX128" i="54"/>
  <c r="GX176" i="54"/>
  <c r="GX146" i="54"/>
  <c r="DY50" i="54"/>
  <c r="DY105" i="54"/>
  <c r="DY46" i="54"/>
  <c r="DY243" i="54"/>
  <c r="DY54" i="54"/>
  <c r="GS198" i="54"/>
  <c r="HA198" i="54" s="1"/>
  <c r="HV90" i="54"/>
  <c r="HV37" i="54"/>
  <c r="GX178" i="54"/>
  <c r="GW190" i="54"/>
  <c r="HW252" i="54"/>
  <c r="DY256" i="54"/>
  <c r="HV153" i="54"/>
  <c r="DU58" i="54"/>
  <c r="DU44" i="54"/>
  <c r="DU256" i="54"/>
  <c r="HW87" i="54"/>
  <c r="HV175" i="54"/>
  <c r="GX79" i="54"/>
  <c r="GW203" i="54"/>
  <c r="GW90" i="54"/>
  <c r="GX124" i="54"/>
  <c r="GX111" i="54"/>
  <c r="DU99" i="54"/>
  <c r="HV45" i="54"/>
  <c r="HW217" i="54"/>
  <c r="GW200" i="54"/>
  <c r="GW70" i="54"/>
  <c r="GW184" i="54"/>
  <c r="GX129" i="54"/>
  <c r="GW69" i="54"/>
  <c r="GW157" i="54"/>
  <c r="HV127" i="54"/>
  <c r="DU244" i="54"/>
  <c r="HV11" i="54"/>
  <c r="GW20" i="54"/>
  <c r="GX165" i="54"/>
  <c r="GW14" i="54"/>
  <c r="DV41" i="54"/>
  <c r="HW85" i="54"/>
  <c r="GW107" i="54"/>
  <c r="HV256" i="54"/>
  <c r="DU75" i="54"/>
  <c r="DU92" i="54"/>
  <c r="HV85" i="54"/>
  <c r="GX131" i="54"/>
  <c r="GW96" i="54"/>
  <c r="GX83" i="54"/>
  <c r="HW181" i="54"/>
  <c r="HV64" i="54"/>
  <c r="GW159" i="54"/>
  <c r="GW135" i="54"/>
  <c r="HW178" i="54"/>
  <c r="HV113" i="54"/>
  <c r="HV210" i="54"/>
  <c r="DY57" i="54"/>
  <c r="DY89" i="54"/>
  <c r="DY77" i="54"/>
  <c r="DY220" i="54"/>
  <c r="GS14" i="54"/>
  <c r="HA14" i="54" s="1"/>
  <c r="GS94" i="54"/>
  <c r="HA94" i="54" s="1"/>
  <c r="GS39" i="54"/>
  <c r="HA39" i="54" s="1"/>
  <c r="GS135" i="54"/>
  <c r="HA135" i="54" s="1"/>
  <c r="GW110" i="54"/>
  <c r="GX177" i="54"/>
  <c r="DV39" i="54"/>
  <c r="HV138" i="54"/>
  <c r="GX203" i="54"/>
  <c r="GX90" i="54"/>
  <c r="GW77" i="54"/>
  <c r="GW64" i="54"/>
  <c r="DV94" i="54"/>
  <c r="DV95" i="54"/>
  <c r="HV161" i="54"/>
  <c r="HV12" i="54"/>
  <c r="HW77" i="54"/>
  <c r="HW61" i="54"/>
  <c r="GX200" i="54"/>
  <c r="GX70" i="54"/>
  <c r="GW82" i="54"/>
  <c r="GW230" i="54"/>
  <c r="GX69" i="54"/>
  <c r="HW260" i="54"/>
  <c r="HV190" i="54"/>
  <c r="GX106" i="54"/>
  <c r="GW45" i="54"/>
  <c r="GW165" i="54"/>
  <c r="GW199" i="54"/>
  <c r="HW145" i="54"/>
  <c r="DV242" i="54"/>
  <c r="HV41" i="54"/>
  <c r="GX107" i="54"/>
  <c r="GW94" i="54"/>
  <c r="HV105" i="54"/>
  <c r="HV263" i="54"/>
  <c r="GW127" i="54"/>
  <c r="GX96" i="54"/>
  <c r="GX194" i="54"/>
  <c r="GW73" i="54"/>
  <c r="HW210" i="54"/>
  <c r="HV141" i="54"/>
  <c r="DY67" i="54"/>
  <c r="GX202" i="54"/>
  <c r="HW130" i="54"/>
  <c r="GX267" i="54"/>
  <c r="HW187" i="54"/>
  <c r="HV194" i="54"/>
  <c r="GW176" i="54"/>
  <c r="DU39" i="54"/>
  <c r="DV231" i="54"/>
  <c r="HV171" i="54"/>
  <c r="GW216" i="54"/>
  <c r="GW262" i="54"/>
  <c r="GX77" i="54"/>
  <c r="GW249" i="54"/>
  <c r="GX64" i="54"/>
  <c r="HV42" i="54"/>
  <c r="DU94" i="54"/>
  <c r="DU95" i="54"/>
  <c r="GW23" i="54"/>
  <c r="GX82" i="54"/>
  <c r="GW158" i="54"/>
  <c r="DU141" i="54"/>
  <c r="DV86" i="54"/>
  <c r="HV124" i="54"/>
  <c r="HV142" i="54"/>
  <c r="HW25" i="54"/>
  <c r="GW106" i="54"/>
  <c r="GX45" i="54"/>
  <c r="GW21" i="54"/>
  <c r="GX109" i="54"/>
  <c r="GX199" i="54"/>
  <c r="HW41" i="54"/>
  <c r="HW169" i="54"/>
  <c r="GX127" i="54"/>
  <c r="GW194" i="54"/>
  <c r="HW105" i="54"/>
  <c r="HV158" i="54"/>
  <c r="HV148" i="54"/>
  <c r="GW169" i="54"/>
  <c r="GW145" i="54"/>
  <c r="GX73" i="54"/>
  <c r="HV71" i="54"/>
  <c r="DY83" i="54"/>
  <c r="DY253" i="54"/>
  <c r="DY149" i="54"/>
  <c r="DY190" i="54"/>
  <c r="DY44" i="54"/>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216"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EA174" i="54" s="1"/>
  <c r="DX231" i="54"/>
  <c r="EA231" i="54" s="1"/>
  <c r="DX138" i="54"/>
  <c r="EA138" i="54" s="1"/>
  <c r="DW38" i="54"/>
  <c r="DZ38" i="54" s="1"/>
  <c r="DW39" i="54"/>
  <c r="DZ39" i="54" s="1"/>
  <c r="DW119" i="54"/>
  <c r="DZ119" i="54" s="1"/>
  <c r="DW52" i="54"/>
  <c r="DZ52" i="54" s="1"/>
  <c r="DX222" i="54"/>
  <c r="EA222" i="54" s="1"/>
  <c r="DX108" i="54"/>
  <c r="EA108" i="54" s="1"/>
  <c r="DW72" i="54"/>
  <c r="DZ72" i="54" s="1"/>
  <c r="DX58" i="54"/>
  <c r="EA58" i="54" s="1"/>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DX61" i="54"/>
  <c r="EA61" i="54" s="1"/>
  <c r="DX29" i="54"/>
  <c r="EA29" i="54" s="1"/>
  <c r="DX44" i="54"/>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Z246" i="54" s="1"/>
  <c r="DW95" i="54"/>
  <c r="DZ95" i="54" s="1"/>
  <c r="DX124" i="54"/>
  <c r="EA124" i="54" s="1"/>
  <c r="DW258" i="54"/>
  <c r="DZ258" i="54" s="1"/>
  <c r="DW146" i="54"/>
  <c r="DZ146" i="54" s="1"/>
  <c r="DX149" i="54"/>
  <c r="EA149" i="54" s="1"/>
  <c r="DX40" i="54"/>
  <c r="EA40" i="54" s="1"/>
  <c r="DW215" i="54"/>
  <c r="DZ215" i="54" s="1"/>
  <c r="BF21" i="54"/>
  <c r="BF14" i="54"/>
  <c r="CC5" i="54"/>
  <c r="CF5" i="54"/>
  <c r="CD5" i="54"/>
  <c r="CS7" i="54"/>
  <c r="DE3" i="54" s="1"/>
  <c r="BF20" i="54"/>
  <c r="CH3" i="54"/>
  <c r="CL7" i="54" s="1"/>
  <c r="CC7" i="54"/>
  <c r="BF18" i="54"/>
  <c r="BF11" i="54"/>
  <c r="BF16" i="54"/>
  <c r="BF5" i="54" a="1"/>
  <c r="BF5" i="54" s="1"/>
  <c r="CD3" i="54"/>
  <c r="BF9" i="54" a="1"/>
  <c r="BF9" i="54" s="1"/>
  <c r="BF4" i="54" s="1"/>
  <c r="BF15" i="54"/>
  <c r="CF3" i="54"/>
  <c r="CF59" i="54" s="1"/>
  <c r="CE5" i="54"/>
  <c r="BF13" i="54"/>
  <c r="BF19" i="54"/>
  <c r="CF7" i="54"/>
  <c r="CS5" i="54"/>
  <c r="CI5" i="54"/>
  <c r="EV34" i="54"/>
  <c r="EW34" i="54"/>
  <c r="EX34" i="54"/>
  <c r="EW241" i="54"/>
  <c r="EV241" i="54"/>
  <c r="EX241" i="54"/>
  <c r="EX160" i="54"/>
  <c r="EV160" i="54"/>
  <c r="EW160" i="54"/>
  <c r="EX187" i="54"/>
  <c r="EW187" i="54"/>
  <c r="EV187" i="54"/>
  <c r="EX188" i="54"/>
  <c r="EW188" i="54"/>
  <c r="EV188" i="54"/>
  <c r="EV27" i="54"/>
  <c r="EW27" i="54"/>
  <c r="EX27" i="54"/>
  <c r="EW73" i="54"/>
  <c r="EV73" i="54"/>
  <c r="EX73" i="54"/>
  <c r="EX119" i="54"/>
  <c r="EV119" i="54"/>
  <c r="EW119" i="54"/>
  <c r="EW168" i="54"/>
  <c r="EV168" i="54"/>
  <c r="EX168" i="54"/>
  <c r="EX25" i="54"/>
  <c r="EW25" i="54"/>
  <c r="EV25" i="54"/>
  <c r="EX189" i="54"/>
  <c r="EV189" i="54"/>
  <c r="EW189" i="54"/>
  <c r="EW65" i="54"/>
  <c r="EV65" i="54"/>
  <c r="EX65" i="54"/>
  <c r="EW74" i="54"/>
  <c r="EV74" i="54"/>
  <c r="EX74" i="54"/>
  <c r="EX66" i="54"/>
  <c r="EW66" i="54"/>
  <c r="EV66" i="54"/>
  <c r="EV11" i="54"/>
  <c r="EW11" i="54"/>
  <c r="EX11" i="54"/>
  <c r="Y2" i="56"/>
  <c r="AB2" i="56" s="1"/>
  <c r="CI3" i="54"/>
  <c r="HY3" i="54" a="1"/>
  <c r="HY3" i="54" s="1"/>
  <c r="HZ3" i="54" s="1"/>
  <c r="IA3" i="54" s="1"/>
  <c r="HX3" i="54" a="1"/>
  <c r="HX3" i="54" s="1"/>
  <c r="HX4" i="54" a="1"/>
  <c r="HX4" i="54" s="1"/>
  <c r="HY4" i="54" a="1"/>
  <c r="HY4" i="54" s="1"/>
  <c r="HZ4" i="54" s="1"/>
  <c r="IA4" i="54" s="1"/>
  <c r="EX107" i="54"/>
  <c r="EV107" i="54"/>
  <c r="EW107" i="54"/>
  <c r="EV185" i="54"/>
  <c r="EX185" i="54"/>
  <c r="EW185" i="54"/>
  <c r="EX26" i="54"/>
  <c r="EW26" i="54"/>
  <c r="EV26" i="54"/>
  <c r="EX129" i="54"/>
  <c r="EV129" i="54"/>
  <c r="EW129" i="54"/>
  <c r="EX154" i="54"/>
  <c r="EV154" i="54"/>
  <c r="EW154" i="54"/>
  <c r="EX159" i="54"/>
  <c r="EW159" i="54"/>
  <c r="EV159" i="54"/>
  <c r="EV72" i="54"/>
  <c r="EX72" i="54"/>
  <c r="EW72" i="54"/>
  <c r="EW75" i="54"/>
  <c r="EV75" i="54"/>
  <c r="EX75" i="54"/>
  <c r="HY2" i="54" a="1"/>
  <c r="HY2" i="54" s="1"/>
  <c r="HZ2" i="54" s="1"/>
  <c r="IA2" i="54" s="1"/>
  <c r="HX2" i="54" a="1"/>
  <c r="HX2" i="54" s="1"/>
  <c r="EX250" i="54"/>
  <c r="EV250" i="54"/>
  <c r="EW250" i="54"/>
  <c r="EX200" i="54"/>
  <c r="EW200" i="54"/>
  <c r="EV200" i="54"/>
  <c r="EX186" i="54"/>
  <c r="EW186" i="54"/>
  <c r="EV186" i="54"/>
  <c r="EW18" i="54"/>
  <c r="EV18" i="54"/>
  <c r="EX18" i="54"/>
  <c r="EV19" i="54"/>
  <c r="EX19" i="54"/>
  <c r="EW19" i="54"/>
  <c r="EV16" i="54"/>
  <c r="EW16" i="54"/>
  <c r="EX16" i="54"/>
  <c r="EV120" i="54"/>
  <c r="EX120" i="54"/>
  <c r="EW120" i="54"/>
  <c r="EW222" i="54"/>
  <c r="EX222" i="54"/>
  <c r="EV222" i="54"/>
  <c r="EX121" i="54"/>
  <c r="EW121" i="54"/>
  <c r="EV121" i="54"/>
  <c r="EW122" i="54"/>
  <c r="EV122" i="54"/>
  <c r="EX122" i="54"/>
  <c r="EX176" i="54"/>
  <c r="EW176" i="54"/>
  <c r="EV176" i="54"/>
  <c r="EX177" i="54"/>
  <c r="EV177" i="54"/>
  <c r="EW177" i="54"/>
  <c r="EW221" i="54"/>
  <c r="EX221" i="54"/>
  <c r="EV221" i="54"/>
  <c r="DW79" i="54"/>
  <c r="DZ79" i="54" s="1"/>
  <c r="DX104" i="54"/>
  <c r="EA104" i="54" s="1"/>
  <c r="DX166" i="54"/>
  <c r="DX99" i="54"/>
  <c r="EA99" i="54" s="1"/>
  <c r="DW149" i="54"/>
  <c r="DZ149" i="54" s="1"/>
  <c r="DX113" i="54"/>
  <c r="EA113" i="54" s="1"/>
  <c r="DX69" i="54"/>
  <c r="EA69" i="54" s="1"/>
  <c r="DW66" i="54"/>
  <c r="DZ66" i="54" s="1"/>
  <c r="DW245" i="54"/>
  <c r="DZ245" i="54" s="1"/>
  <c r="DX246" i="54"/>
  <c r="EA246" i="54" s="1"/>
  <c r="DW40" i="54"/>
  <c r="DZ40" i="54" s="1"/>
  <c r="DX167" i="54"/>
  <c r="EA167" i="54" s="1"/>
  <c r="DX153" i="54"/>
  <c r="DX15" i="54"/>
  <c r="EA15" i="54" s="1"/>
  <c r="DW214" i="54"/>
  <c r="DZ214" i="54" s="1"/>
  <c r="EX190" i="54"/>
  <c r="EV190" i="54"/>
  <c r="EW190" i="54"/>
  <c r="EX195" i="54"/>
  <c r="EW195" i="54"/>
  <c r="EV195" i="54"/>
  <c r="EX230" i="54"/>
  <c r="EW230" i="54"/>
  <c r="EV230" i="54"/>
  <c r="EW68" i="54"/>
  <c r="EV68" i="54"/>
  <c r="EX68" i="54"/>
  <c r="EW69" i="54"/>
  <c r="EV69" i="54"/>
  <c r="EX69" i="54"/>
  <c r="EV113" i="54"/>
  <c r="EW113" i="54"/>
  <c r="EX113" i="54"/>
  <c r="EX170" i="54"/>
  <c r="EW170" i="54"/>
  <c r="EV170" i="54"/>
  <c r="EW217" i="54"/>
  <c r="EV217" i="54"/>
  <c r="EX217" i="54"/>
  <c r="EV218" i="54"/>
  <c r="EX218" i="54"/>
  <c r="EW218" i="54"/>
  <c r="DX244" i="54"/>
  <c r="EA244" i="54" s="1"/>
  <c r="DX264" i="54"/>
  <c r="EA264" i="54" s="1"/>
  <c r="DW187" i="54"/>
  <c r="DZ187" i="54" s="1"/>
  <c r="DX175" i="54"/>
  <c r="DX185" i="54"/>
  <c r="DX196" i="54"/>
  <c r="EA196" i="54" s="1"/>
  <c r="DX105" i="54"/>
  <c r="EA105" i="54" s="1"/>
  <c r="DX171" i="54"/>
  <c r="DW19" i="54"/>
  <c r="DX250" i="54"/>
  <c r="EA250" i="54" s="1"/>
  <c r="DW30" i="54"/>
  <c r="DZ30" i="54" s="1"/>
  <c r="DX169" i="54"/>
  <c r="EA169" i="54" s="1"/>
  <c r="DX87" i="54"/>
  <c r="DX142" i="54"/>
  <c r="EA142" i="54" s="1"/>
  <c r="DW262" i="54"/>
  <c r="DZ262" i="54" s="1"/>
  <c r="DX117" i="54"/>
  <c r="EV106" i="54"/>
  <c r="EW106" i="54"/>
  <c r="EX106" i="54"/>
  <c r="EX138" i="54"/>
  <c r="EW138" i="54"/>
  <c r="EV138" i="54"/>
  <c r="EW101" i="54"/>
  <c r="EV101" i="54"/>
  <c r="EX101" i="54"/>
  <c r="EW155" i="54"/>
  <c r="EX155" i="54"/>
  <c r="EV155" i="54"/>
  <c r="EX156" i="54"/>
  <c r="EW156" i="54"/>
  <c r="EV156" i="54"/>
  <c r="EX212" i="54"/>
  <c r="EW212" i="54"/>
  <c r="EV212" i="54"/>
  <c r="EX213" i="54"/>
  <c r="EV213" i="54"/>
  <c r="EW213" i="54"/>
  <c r="EX48" i="54"/>
  <c r="EW48" i="54"/>
  <c r="EV48" i="54"/>
  <c r="EV57" i="54"/>
  <c r="EW57" i="54"/>
  <c r="EX57" i="54"/>
  <c r="DX28" i="54"/>
  <c r="EA28" i="54" s="1"/>
  <c r="DW161" i="54"/>
  <c r="DZ161" i="54" s="1"/>
  <c r="DX228" i="54"/>
  <c r="EA228" i="54" s="1"/>
  <c r="DX242" i="54"/>
  <c r="EA242" i="54" s="1"/>
  <c r="DW207" i="54"/>
  <c r="DZ207" i="54" s="1"/>
  <c r="DX190" i="54"/>
  <c r="EA190" i="54" s="1"/>
  <c r="DW265" i="54"/>
  <c r="DX127" i="54"/>
  <c r="DW225" i="54"/>
  <c r="DZ225" i="54" s="1"/>
  <c r="DX234" i="54"/>
  <c r="EA234" i="54" s="1"/>
  <c r="EX133" i="54"/>
  <c r="EW133" i="54"/>
  <c r="EV133" i="54"/>
  <c r="EX45" i="54"/>
  <c r="EV45" i="54"/>
  <c r="EW45" i="54"/>
  <c r="DW110" i="54"/>
  <c r="DZ110" i="54" s="1"/>
  <c r="DX75" i="54"/>
  <c r="EA75" i="54" s="1"/>
  <c r="DX12" i="54"/>
  <c r="EA12" i="54" s="1"/>
  <c r="DX26" i="54"/>
  <c r="EA26" i="54" s="1"/>
  <c r="DX140" i="54"/>
  <c r="DX237" i="54"/>
  <c r="EA237" i="54" s="1"/>
  <c r="DW168" i="54"/>
  <c r="DZ168" i="54" s="1"/>
  <c r="DX92" i="54"/>
  <c r="DX18" i="54"/>
  <c r="EA18" i="54" s="1"/>
  <c r="EW251" i="54"/>
  <c r="EX251" i="54"/>
  <c r="EV251" i="54"/>
  <c r="EX96" i="54"/>
  <c r="EW96" i="54"/>
  <c r="EV96" i="54"/>
  <c r="EW104" i="54"/>
  <c r="EV104" i="54"/>
  <c r="EX104" i="54"/>
  <c r="EW191" i="54"/>
  <c r="EV191" i="54"/>
  <c r="EX191" i="54"/>
  <c r="EX29" i="54"/>
  <c r="EW29" i="54"/>
  <c r="EV29" i="54"/>
  <c r="EX28" i="54"/>
  <c r="EV28" i="54"/>
  <c r="EW28" i="54"/>
  <c r="EX83" i="54"/>
  <c r="EV83" i="54"/>
  <c r="EW83" i="54"/>
  <c r="EW84" i="54"/>
  <c r="EV84" i="54"/>
  <c r="EX84" i="54"/>
  <c r="EX132" i="54"/>
  <c r="EW132" i="54"/>
  <c r="EV132" i="54"/>
  <c r="EV140" i="54"/>
  <c r="EX140" i="54"/>
  <c r="EW140" i="54"/>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EA184" i="54" s="1"/>
  <c r="EX164" i="54"/>
  <c r="EW164" i="54"/>
  <c r="EV164" i="54"/>
  <c r="EX243" i="54"/>
  <c r="EW243" i="54"/>
  <c r="EV243" i="54"/>
  <c r="EW17" i="54"/>
  <c r="EV17" i="54"/>
  <c r="EX17" i="54"/>
  <c r="EX31" i="54"/>
  <c r="EW31" i="54"/>
  <c r="EV31" i="54"/>
  <c r="EX79" i="54"/>
  <c r="EW79" i="54"/>
  <c r="EV79" i="54"/>
  <c r="EW80" i="54"/>
  <c r="EV80" i="54"/>
  <c r="EX80" i="54"/>
  <c r="EX81" i="54"/>
  <c r="EV81" i="54"/>
  <c r="EW81" i="54"/>
  <c r="EX135" i="54"/>
  <c r="EW135" i="54"/>
  <c r="EV135" i="54"/>
  <c r="EW180" i="54"/>
  <c r="EV180" i="54"/>
  <c r="EX180" i="54"/>
  <c r="DW166" i="54"/>
  <c r="DZ166" i="54" s="1"/>
  <c r="DW99" i="54"/>
  <c r="DZ99" i="54" s="1"/>
  <c r="DW113" i="54"/>
  <c r="DZ113" i="54" s="1"/>
  <c r="DW69" i="54"/>
  <c r="DZ69" i="54" s="1"/>
  <c r="DW102" i="54"/>
  <c r="DZ102" i="54" s="1"/>
  <c r="DX66" i="54"/>
  <c r="EA66" i="54" s="1"/>
  <c r="DW167" i="54"/>
  <c r="DZ167" i="54" s="1"/>
  <c r="DW153" i="54"/>
  <c r="DZ153" i="54" s="1"/>
  <c r="DW15" i="54"/>
  <c r="EW236" i="54"/>
  <c r="EV236" i="54"/>
  <c r="EX236" i="54"/>
  <c r="EV161" i="54"/>
  <c r="EX161" i="54"/>
  <c r="EW161" i="54"/>
  <c r="EW162" i="54"/>
  <c r="EV162" i="54"/>
  <c r="EX162" i="54"/>
  <c r="EX163" i="54"/>
  <c r="EW163" i="54"/>
  <c r="EV163" i="54"/>
  <c r="EW256" i="54"/>
  <c r="EV256" i="54"/>
  <c r="EX256" i="54"/>
  <c r="EV263" i="54"/>
  <c r="EW263" i="54"/>
  <c r="EX263" i="54"/>
  <c r="DW244" i="54"/>
  <c r="DZ244" i="54" s="1"/>
  <c r="DX213" i="54"/>
  <c r="EA213" i="54" s="1"/>
  <c r="DW175" i="54"/>
  <c r="DZ175" i="54" s="1"/>
  <c r="DX73" i="54"/>
  <c r="EA73" i="54" s="1"/>
  <c r="DW185" i="54"/>
  <c r="DZ185" i="54" s="1"/>
  <c r="DW196" i="54"/>
  <c r="DW105" i="54"/>
  <c r="DZ105" i="54" s="1"/>
  <c r="DW171" i="54"/>
  <c r="DZ171" i="54" s="1"/>
  <c r="DW250" i="54"/>
  <c r="DX107" i="54"/>
  <c r="EA107" i="54" s="1"/>
  <c r="DW24" i="54"/>
  <c r="DZ24" i="54" s="1"/>
  <c r="DX30" i="54"/>
  <c r="EA30" i="54" s="1"/>
  <c r="DW169" i="54"/>
  <c r="DZ169" i="54" s="1"/>
  <c r="DW87" i="54"/>
  <c r="DZ87" i="54" s="1"/>
  <c r="DW142" i="54"/>
  <c r="DZ142" i="54" s="1"/>
  <c r="DX163" i="54"/>
  <c r="EA163" i="54" s="1"/>
  <c r="DW117" i="54"/>
  <c r="DZ117" i="54" s="1"/>
  <c r="EV179" i="54"/>
  <c r="EW179" i="54"/>
  <c r="EX179" i="54"/>
  <c r="EX21" i="54"/>
  <c r="EV21" i="54"/>
  <c r="EW21" i="54"/>
  <c r="EV158" i="54"/>
  <c r="EX158" i="54"/>
  <c r="EW158" i="54"/>
  <c r="EX49" i="54"/>
  <c r="EW49" i="54"/>
  <c r="EV49" i="54"/>
  <c r="DW28" i="54"/>
  <c r="DZ28" i="54" s="1"/>
  <c r="DW216" i="54"/>
  <c r="DX232" i="54"/>
  <c r="EA232" i="54" s="1"/>
  <c r="DW243" i="54"/>
  <c r="DX206" i="54"/>
  <c r="EA206" i="54" s="1"/>
  <c r="DX257" i="54"/>
  <c r="EA257" i="54" s="1"/>
  <c r="DX85" i="54"/>
  <c r="DX154" i="54"/>
  <c r="EA154" i="54" s="1"/>
  <c r="DX65" i="54"/>
  <c r="EA65" i="54" s="1"/>
  <c r="DW71" i="54"/>
  <c r="DZ71" i="54" s="1"/>
  <c r="DW210" i="54"/>
  <c r="DX189" i="54"/>
  <c r="EA189" i="54" s="1"/>
  <c r="EW174" i="54"/>
  <c r="EV174" i="54"/>
  <c r="EX174" i="54"/>
  <c r="EX54" i="54"/>
  <c r="EW54" i="54"/>
  <c r="EV54" i="54"/>
  <c r="EV149" i="54"/>
  <c r="EW149" i="54"/>
  <c r="EX149" i="54"/>
  <c r="EW206" i="54"/>
  <c r="EV206" i="54"/>
  <c r="EX206" i="54"/>
  <c r="EV253" i="54"/>
  <c r="EX253" i="54"/>
  <c r="EW253" i="54"/>
  <c r="EX254" i="54"/>
  <c r="EW254" i="54"/>
  <c r="EV254" i="54"/>
  <c r="EW255" i="54"/>
  <c r="EV255" i="54"/>
  <c r="EX255" i="54"/>
  <c r="EV41" i="54"/>
  <c r="EW41" i="54"/>
  <c r="EX41" i="54"/>
  <c r="DX111" i="54"/>
  <c r="EA111" i="54" s="1"/>
  <c r="DW75" i="54"/>
  <c r="DZ75" i="54" s="1"/>
  <c r="DW208" i="54"/>
  <c r="DX37" i="54"/>
  <c r="DX181" i="54"/>
  <c r="EA181" i="54" s="1"/>
  <c r="DX221" i="54"/>
  <c r="EA221" i="54" s="1"/>
  <c r="DW26" i="54"/>
  <c r="DW140" i="54"/>
  <c r="DZ140" i="54" s="1"/>
  <c r="DW237" i="54"/>
  <c r="DX200" i="54"/>
  <c r="EA200" i="54" s="1"/>
  <c r="DX251" i="54"/>
  <c r="EA251" i="54" s="1"/>
  <c r="DX168" i="54"/>
  <c r="DW92" i="54"/>
  <c r="DZ92" i="54" s="1"/>
  <c r="DX137" i="54"/>
  <c r="EX35" i="54"/>
  <c r="EV35" i="54"/>
  <c r="EW35" i="54"/>
  <c r="EX105" i="54"/>
  <c r="EV105" i="54"/>
  <c r="EW105" i="54"/>
  <c r="DX254" i="54"/>
  <c r="EA254" i="54" s="1"/>
  <c r="DX255" i="54"/>
  <c r="EA255" i="54" s="1"/>
  <c r="DX238" i="54"/>
  <c r="EA238" i="54" s="1"/>
  <c r="DX78" i="54"/>
  <c r="EA78" i="54" s="1"/>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EW205" i="54"/>
  <c r="EV205" i="54"/>
  <c r="EX205" i="54"/>
  <c r="EX22" i="54"/>
  <c r="EV22" i="54"/>
  <c r="EW22" i="54"/>
  <c r="EX78" i="54"/>
  <c r="EW78" i="54"/>
  <c r="EV78" i="54"/>
  <c r="EV175" i="54"/>
  <c r="EX175" i="54"/>
  <c r="EW175" i="54"/>
  <c r="EX202" i="54"/>
  <c r="EV202" i="54"/>
  <c r="EW202" i="54"/>
  <c r="EV223" i="54"/>
  <c r="EX223" i="54"/>
  <c r="EW223" i="54"/>
  <c r="DX233" i="54"/>
  <c r="EA233" i="54" s="1"/>
  <c r="DX68" i="54"/>
  <c r="EA68" i="54" s="1"/>
  <c r="DX147" i="54"/>
  <c r="EA147" i="54" s="1"/>
  <c r="DW134" i="54"/>
  <c r="DZ134" i="54" s="1"/>
  <c r="DX98" i="54"/>
  <c r="EA98" i="54" s="1"/>
  <c r="DX144" i="54"/>
  <c r="EA144" i="54" s="1"/>
  <c r="DX130" i="54"/>
  <c r="EA130" i="54" s="1"/>
  <c r="DW124" i="54"/>
  <c r="DZ124" i="54" s="1"/>
  <c r="DX102" i="54"/>
  <c r="EA102" i="54" s="1"/>
  <c r="DX49" i="54"/>
  <c r="EA49" i="54" s="1"/>
  <c r="DW240" i="54"/>
  <c r="DZ240" i="54" s="1"/>
  <c r="DX129" i="54"/>
  <c r="DX152" i="54"/>
  <c r="EA152" i="54" s="1"/>
  <c r="DX14" i="54"/>
  <c r="EA14" i="54" s="1"/>
  <c r="DX70" i="54"/>
  <c r="EX20" i="54"/>
  <c r="EW20" i="54"/>
  <c r="EV20" i="54"/>
  <c r="EX130" i="54"/>
  <c r="EV130" i="54"/>
  <c r="EW130" i="54"/>
  <c r="EW196" i="54"/>
  <c r="EV196" i="54"/>
  <c r="EX196" i="54"/>
  <c r="EW216" i="54"/>
  <c r="EX216" i="54"/>
  <c r="EV216" i="54"/>
  <c r="DW42" i="54"/>
  <c r="DZ42" i="54" s="1"/>
  <c r="DX145" i="54"/>
  <c r="EA145" i="54" s="1"/>
  <c r="DW213" i="54"/>
  <c r="DZ213" i="54" s="1"/>
  <c r="DW73" i="54"/>
  <c r="DZ73" i="54" s="1"/>
  <c r="DW160" i="54"/>
  <c r="DZ160" i="54" s="1"/>
  <c r="DX170" i="54"/>
  <c r="EA170" i="54" s="1"/>
  <c r="DX143" i="54"/>
  <c r="EA143" i="54" s="1"/>
  <c r="DW178" i="54"/>
  <c r="DZ178" i="54" s="1"/>
  <c r="DW107" i="54"/>
  <c r="DZ107" i="54" s="1"/>
  <c r="DX86" i="54"/>
  <c r="EA86" i="54" s="1"/>
  <c r="DW204" i="54"/>
  <c r="DZ204" i="54" s="1"/>
  <c r="DW163" i="54"/>
  <c r="DZ163" i="54" s="1"/>
  <c r="DX116" i="54"/>
  <c r="EW226" i="54"/>
  <c r="EX226" i="54"/>
  <c r="EV226" i="54"/>
  <c r="EX231" i="54"/>
  <c r="EW231" i="54"/>
  <c r="EV231" i="54"/>
  <c r="EV12" i="54"/>
  <c r="EX12" i="54"/>
  <c r="EW12" i="54"/>
  <c r="EX109" i="54"/>
  <c r="EW109" i="54"/>
  <c r="EV109" i="54"/>
  <c r="EW110" i="54"/>
  <c r="EV110" i="54"/>
  <c r="EX110" i="54"/>
  <c r="EX111" i="54"/>
  <c r="EW111" i="54"/>
  <c r="EV111" i="54"/>
  <c r="EX260" i="54"/>
  <c r="EW260" i="54"/>
  <c r="EV260" i="54"/>
  <c r="EX50" i="54"/>
  <c r="EW50" i="54"/>
  <c r="EV50"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EV215" i="54"/>
  <c r="EW215" i="54"/>
  <c r="EX215" i="54"/>
  <c r="EW197" i="54"/>
  <c r="EV197" i="54"/>
  <c r="EX197" i="54"/>
  <c r="EW198" i="54"/>
  <c r="EX198" i="54"/>
  <c r="EV198" i="54"/>
  <c r="EX199" i="54"/>
  <c r="EW199" i="54"/>
  <c r="EV199" i="54"/>
  <c r="EV89" i="54"/>
  <c r="EX89" i="54"/>
  <c r="EW89" i="54"/>
  <c r="EX98" i="54"/>
  <c r="EW98" i="54"/>
  <c r="EV98" i="54"/>
  <c r="DX74" i="54"/>
  <c r="DX125" i="54"/>
  <c r="DW155" i="54"/>
  <c r="DZ155" i="54" s="1"/>
  <c r="DW181" i="54"/>
  <c r="DZ181" i="54" s="1"/>
  <c r="DX16" i="54"/>
  <c r="EA16" i="54" s="1"/>
  <c r="DX247" i="54"/>
  <c r="EA247" i="54" s="1"/>
  <c r="DX236" i="54"/>
  <c r="EA236" i="54" s="1"/>
  <c r="DX261" i="54"/>
  <c r="EA261" i="54" s="1"/>
  <c r="DW201" i="54"/>
  <c r="DX112" i="54"/>
  <c r="EA112" i="54" s="1"/>
  <c r="DW251" i="54"/>
  <c r="DZ251" i="54" s="1"/>
  <c r="DX80" i="54"/>
  <c r="EA80" i="54" s="1"/>
  <c r="DX220" i="54"/>
  <c r="EA220" i="54" s="1"/>
  <c r="DX10" i="54"/>
  <c r="EA10" i="54" s="1"/>
  <c r="DX81" i="54"/>
  <c r="EA81" i="54" s="1"/>
  <c r="EX82" i="54"/>
  <c r="EV82" i="54"/>
  <c r="EW82" i="54"/>
  <c r="EV87" i="54"/>
  <c r="EX87" i="54"/>
  <c r="EW87" i="54"/>
  <c r="EW232" i="54"/>
  <c r="EV232" i="54"/>
  <c r="EX232" i="54"/>
  <c r="EW239" i="54"/>
  <c r="EX239" i="54"/>
  <c r="EV239" i="54"/>
  <c r="EX247" i="54"/>
  <c r="EW247" i="54"/>
  <c r="EV247" i="54"/>
  <c r="EW38" i="54"/>
  <c r="EV38" i="54"/>
  <c r="EX38" i="54"/>
  <c r="EX39" i="54"/>
  <c r="EW39" i="54"/>
  <c r="EV39" i="54"/>
  <c r="EX86" i="54"/>
  <c r="EW86" i="54"/>
  <c r="EV86" i="54"/>
  <c r="EV131" i="54"/>
  <c r="EW131" i="54"/>
  <c r="EX131" i="54"/>
  <c r="DX151" i="54"/>
  <c r="DW115" i="54"/>
  <c r="DZ115" i="54" s="1"/>
  <c r="DW254" i="54"/>
  <c r="DZ254" i="54" s="1"/>
  <c r="DX11" i="54"/>
  <c r="EA11" i="54" s="1"/>
  <c r="DX172" i="54"/>
  <c r="EA172" i="54" s="1"/>
  <c r="DX53" i="54"/>
  <c r="DX47" i="54"/>
  <c r="EA47" i="54" s="1"/>
  <c r="DW63" i="54"/>
  <c r="DZ63" i="54" s="1"/>
  <c r="DX31" i="54"/>
  <c r="EA31" i="54" s="1"/>
  <c r="DX20" i="54"/>
  <c r="EA20" i="54" s="1"/>
  <c r="DX122" i="54"/>
  <c r="EA122" i="54" s="1"/>
  <c r="DX159" i="54"/>
  <c r="EA159" i="54" s="1"/>
  <c r="DX13" i="54"/>
  <c r="EA13" i="54" s="1"/>
  <c r="DX203" i="54"/>
  <c r="EA203" i="54" s="1"/>
  <c r="DX267" i="54"/>
  <c r="EA267" i="54" s="1"/>
  <c r="DX57" i="54"/>
  <c r="EA57" i="54" s="1"/>
  <c r="DX260" i="54"/>
  <c r="EA260" i="54" s="1"/>
  <c r="EV214" i="54"/>
  <c r="EW214" i="54"/>
  <c r="EX214" i="54"/>
  <c r="EW246" i="54"/>
  <c r="EX246" i="54"/>
  <c r="EV246" i="54"/>
  <c r="EW144" i="54"/>
  <c r="EV144" i="54"/>
  <c r="EX144" i="54"/>
  <c r="EX24" i="54"/>
  <c r="EW24" i="54"/>
  <c r="EV24" i="54"/>
  <c r="EX134" i="54"/>
  <c r="EW134" i="54"/>
  <c r="EV134" i="54"/>
  <c r="EX148" i="54"/>
  <c r="EV148" i="54"/>
  <c r="EW148" i="54"/>
  <c r="EV173" i="54"/>
  <c r="EX173" i="54"/>
  <c r="EW173" i="54"/>
  <c r="EX182" i="54"/>
  <c r="EW182" i="54"/>
  <c r="EV182" i="54"/>
  <c r="EX76" i="54"/>
  <c r="EV76" i="54"/>
  <c r="EW76" i="54"/>
  <c r="EV167" i="54"/>
  <c r="EW167" i="54"/>
  <c r="EX167" i="54"/>
  <c r="EX224" i="54"/>
  <c r="EW224" i="54"/>
  <c r="EV224" i="54"/>
  <c r="DW233" i="54"/>
  <c r="DZ233" i="54" s="1"/>
  <c r="DX79" i="54"/>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DW152" i="54"/>
  <c r="DZ152" i="54" s="1"/>
  <c r="DW138" i="54"/>
  <c r="DZ138" i="54" s="1"/>
  <c r="DW14" i="54"/>
  <c r="DZ14" i="54" s="1"/>
  <c r="DW70" i="54"/>
  <c r="DZ70" i="54" s="1"/>
  <c r="DX214" i="54"/>
  <c r="EA214" i="54" s="1"/>
  <c r="EV61" i="54"/>
  <c r="EX61" i="54"/>
  <c r="EW61" i="54"/>
  <c r="EX67" i="54"/>
  <c r="EW67" i="54"/>
  <c r="EV67" i="54"/>
  <c r="EX114" i="54"/>
  <c r="EW114" i="54"/>
  <c r="EV114" i="54"/>
  <c r="EX115" i="54"/>
  <c r="EW115" i="54"/>
  <c r="EV115" i="54"/>
  <c r="EX116" i="54"/>
  <c r="EW116" i="54"/>
  <c r="EV116" i="54"/>
  <c r="EX171" i="54"/>
  <c r="EW171" i="54"/>
  <c r="EV171" i="54"/>
  <c r="EW264" i="54"/>
  <c r="EX264" i="54"/>
  <c r="EV264" i="54"/>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EW10" i="54"/>
  <c r="EX10" i="54"/>
  <c r="EV10" i="54"/>
  <c r="EX15" i="54"/>
  <c r="EW15" i="54"/>
  <c r="EV15" i="54"/>
  <c r="EV268" i="54"/>
  <c r="EX268" i="54"/>
  <c r="EW268" i="54"/>
  <c r="EX13" i="54"/>
  <c r="EW13" i="54"/>
  <c r="EV13" i="54"/>
  <c r="EX14" i="54"/>
  <c r="EW14" i="54"/>
  <c r="EV14" i="54"/>
  <c r="EX58" i="54"/>
  <c r="EV58" i="54"/>
  <c r="EW58" i="54"/>
  <c r="EX184" i="54"/>
  <c r="EV184" i="54"/>
  <c r="EW184" i="54"/>
  <c r="EX203" i="54"/>
  <c r="EV203" i="54"/>
  <c r="EW203" i="54"/>
  <c r="EW211" i="54"/>
  <c r="EV211" i="54"/>
  <c r="EX211" i="54"/>
  <c r="EW258" i="54"/>
  <c r="EX258" i="54"/>
  <c r="EV258" i="54"/>
  <c r="EX259" i="54"/>
  <c r="EW259" i="54"/>
  <c r="EV259" i="54"/>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EA123" i="54" s="1"/>
  <c r="DW96" i="54"/>
  <c r="DZ96" i="54" s="1"/>
  <c r="DX157" i="54"/>
  <c r="EA157" i="54" s="1"/>
  <c r="DX131" i="54"/>
  <c r="EV142" i="54"/>
  <c r="EW142" i="54"/>
  <c r="EX142" i="54"/>
  <c r="EX262" i="54"/>
  <c r="EV262" i="54"/>
  <c r="EW262" i="54"/>
  <c r="EV267" i="54"/>
  <c r="EX267" i="54"/>
  <c r="EW267" i="54"/>
  <c r="EX62" i="54"/>
  <c r="EW62" i="54"/>
  <c r="EV62" i="54"/>
  <c r="EX112" i="54"/>
  <c r="EV112" i="54"/>
  <c r="EW112" i="54"/>
  <c r="EV238" i="54"/>
  <c r="EW238" i="54"/>
  <c r="EX238"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EX128" i="54"/>
  <c r="EW128" i="54"/>
  <c r="EV128" i="54"/>
  <c r="EX166" i="54"/>
  <c r="EV166" i="54"/>
  <c r="EW166" i="54"/>
  <c r="EX37" i="54"/>
  <c r="EW37" i="54"/>
  <c r="EV37" i="54"/>
  <c r="EW139" i="54"/>
  <c r="EV139" i="54"/>
  <c r="EX139" i="54"/>
  <c r="DW151" i="54"/>
  <c r="DZ151" i="54" s="1"/>
  <c r="DW11" i="54"/>
  <c r="DZ11" i="54" s="1"/>
  <c r="DW172" i="54"/>
  <c r="DZ172" i="54" s="1"/>
  <c r="DX136" i="54"/>
  <c r="DW53" i="54"/>
  <c r="DZ53" i="54" s="1"/>
  <c r="DW47" i="54"/>
  <c r="DZ47" i="54" s="1"/>
  <c r="DX62" i="54"/>
  <c r="DW31" i="54"/>
  <c r="DZ31" i="54" s="1"/>
  <c r="DW36" i="54"/>
  <c r="DZ36" i="54" s="1"/>
  <c r="DW20" i="54"/>
  <c r="DZ20" i="54" s="1"/>
  <c r="DW122" i="54"/>
  <c r="DZ122" i="54" s="1"/>
  <c r="DW159" i="54"/>
  <c r="DZ159" i="54" s="1"/>
  <c r="DW13" i="54"/>
  <c r="DW203" i="54"/>
  <c r="DZ203" i="54" s="1"/>
  <c r="DW267" i="54"/>
  <c r="DZ267" i="54" s="1"/>
  <c r="DW57" i="54"/>
  <c r="DZ57" i="54" s="1"/>
  <c r="DX239" i="54"/>
  <c r="EA239" i="54" s="1"/>
  <c r="DW260" i="54"/>
  <c r="DZ260" i="54" s="1"/>
  <c r="EX30" i="54"/>
  <c r="EV30" i="54"/>
  <c r="EW30" i="54"/>
  <c r="EX100" i="54"/>
  <c r="EV100" i="54"/>
  <c r="EW100" i="54"/>
  <c r="EV242" i="54"/>
  <c r="EX242" i="54"/>
  <c r="EW242" i="54"/>
  <c r="EX32" i="54"/>
  <c r="EW32" i="54"/>
  <c r="EV32" i="54"/>
  <c r="EW33" i="54"/>
  <c r="EX33" i="54"/>
  <c r="EV33" i="54"/>
  <c r="EW77" i="54"/>
  <c r="EX77" i="54"/>
  <c r="EV77" i="54"/>
  <c r="EX126" i="54"/>
  <c r="EW126" i="54"/>
  <c r="EV126" i="54"/>
  <c r="EX181" i="54"/>
  <c r="EV181" i="54"/>
  <c r="EW181" i="54"/>
  <c r="EW183" i="54"/>
  <c r="EV183" i="54"/>
  <c r="EX183" i="54"/>
  <c r="EV136" i="54"/>
  <c r="EW136" i="54"/>
  <c r="EX136" i="54"/>
  <c r="EX225" i="54"/>
  <c r="EV225" i="54"/>
  <c r="EW225" i="54"/>
  <c r="DX258" i="54"/>
  <c r="EA258" i="54" s="1"/>
  <c r="DX197" i="54"/>
  <c r="EA197" i="54" s="1"/>
  <c r="DW259" i="54"/>
  <c r="DX223" i="54"/>
  <c r="EA223" i="54" s="1"/>
  <c r="DX146" i="54"/>
  <c r="EA146" i="54" s="1"/>
  <c r="DX94" i="54"/>
  <c r="EA94" i="54" s="1"/>
  <c r="DX235" i="54"/>
  <c r="EA235" i="54" s="1"/>
  <c r="DW121" i="54"/>
  <c r="DZ121" i="54" s="1"/>
  <c r="DX128" i="54"/>
  <c r="EA128" i="54" s="1"/>
  <c r="DX95" i="54"/>
  <c r="EA95" i="54" s="1"/>
  <c r="DX215" i="54"/>
  <c r="EA215" i="54" s="1"/>
  <c r="DW91" i="54"/>
  <c r="DZ91" i="54" s="1"/>
  <c r="EX70" i="54"/>
  <c r="EV70" i="54"/>
  <c r="EW70" i="54"/>
  <c r="EX23" i="54"/>
  <c r="EV23" i="54"/>
  <c r="EW23" i="54"/>
  <c r="EX102" i="54"/>
  <c r="EW102" i="54"/>
  <c r="EV102" i="54"/>
  <c r="EW208" i="54"/>
  <c r="EV208" i="54"/>
  <c r="EX208" i="54"/>
  <c r="EW227" i="54"/>
  <c r="EX227" i="54"/>
  <c r="EV227" i="54"/>
  <c r="EX237" i="54"/>
  <c r="EV237" i="54"/>
  <c r="EW237" i="54"/>
  <c r="EV59" i="54"/>
  <c r="EW59" i="54"/>
  <c r="EX59" i="54"/>
  <c r="EX117" i="54"/>
  <c r="EV117" i="54"/>
  <c r="EW117" i="54"/>
  <c r="EW265" i="54"/>
  <c r="EV265" i="54"/>
  <c r="EX265" i="54"/>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EV56" i="54"/>
  <c r="EX56" i="54"/>
  <c r="EW56" i="54"/>
  <c r="EX124" i="54"/>
  <c r="EV124" i="54"/>
  <c r="EW124" i="54"/>
  <c r="EX204" i="54"/>
  <c r="EV204" i="54"/>
  <c r="EW204" i="54"/>
  <c r="EV244" i="54"/>
  <c r="EX244" i="54"/>
  <c r="EW244" i="54"/>
  <c r="EX261" i="54"/>
  <c r="EV261" i="54"/>
  <c r="EW261" i="54"/>
  <c r="EW47" i="54"/>
  <c r="EX47" i="54"/>
  <c r="EV47" i="54"/>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EA71" i="54" s="1"/>
  <c r="DW188" i="54"/>
  <c r="DZ188" i="54" s="1"/>
  <c r="DW46" i="54"/>
  <c r="DZ46" i="54" s="1"/>
  <c r="DW123" i="54"/>
  <c r="DZ123" i="54" s="1"/>
  <c r="DX96" i="54"/>
  <c r="EA96" i="54" s="1"/>
  <c r="DW157" i="54"/>
  <c r="DZ157" i="54" s="1"/>
  <c r="DW131" i="54"/>
  <c r="DZ131" i="54" s="1"/>
  <c r="EX46" i="54"/>
  <c r="EV46" i="54"/>
  <c r="EW46" i="54"/>
  <c r="EX51" i="54"/>
  <c r="EW51" i="54"/>
  <c r="EV51" i="54"/>
  <c r="EX151" i="54"/>
  <c r="EW151" i="54"/>
  <c r="EV151" i="54"/>
  <c r="EV152" i="54"/>
  <c r="EX152" i="54"/>
  <c r="EW152" i="54"/>
  <c r="EV207" i="54"/>
  <c r="EX207" i="54"/>
  <c r="EW207" i="54"/>
  <c r="EW252" i="54"/>
  <c r="EX252" i="54"/>
  <c r="EV252" i="54"/>
  <c r="EX44" i="54"/>
  <c r="EW44" i="54"/>
  <c r="EV44" i="54"/>
  <c r="EW90" i="54"/>
  <c r="EV90" i="54"/>
  <c r="EX90" i="54"/>
  <c r="EX91" i="54"/>
  <c r="EW91" i="54"/>
  <c r="EV91" i="54"/>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EX178" i="54"/>
  <c r="EV178" i="54"/>
  <c r="EW178" i="54"/>
  <c r="EV169" i="54"/>
  <c r="EX169" i="54"/>
  <c r="EW169" i="54"/>
  <c r="EV95" i="54"/>
  <c r="EW95" i="54"/>
  <c r="EX95" i="54"/>
  <c r="EV103" i="54"/>
  <c r="EX103" i="54"/>
  <c r="EW103" i="54"/>
  <c r="EV194" i="54"/>
  <c r="EX194" i="54"/>
  <c r="EW194" i="54"/>
  <c r="EX201" i="54"/>
  <c r="EV201" i="54"/>
  <c r="EW201" i="54"/>
  <c r="EV240" i="54"/>
  <c r="EW240" i="54"/>
  <c r="EX240" i="54"/>
  <c r="EX93" i="54"/>
  <c r="EV93" i="54"/>
  <c r="EW93" i="54"/>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EX71" i="54"/>
  <c r="EV71" i="54"/>
  <c r="EW71" i="54"/>
  <c r="EV137" i="54"/>
  <c r="EX137" i="54"/>
  <c r="EW137" i="54"/>
  <c r="EX145" i="54"/>
  <c r="EW145" i="54"/>
  <c r="EV145" i="54"/>
  <c r="EW233" i="54"/>
  <c r="EV233" i="54"/>
  <c r="EX233" i="54"/>
  <c r="EV234" i="54"/>
  <c r="EW234" i="54"/>
  <c r="EX234" i="54"/>
  <c r="EV125" i="54"/>
  <c r="EX125" i="54"/>
  <c r="EW125" i="54"/>
  <c r="EX143" i="54"/>
  <c r="EV143" i="54"/>
  <c r="EW143" i="54"/>
  <c r="EW228" i="54"/>
  <c r="EX228" i="54"/>
  <c r="EV228" i="54"/>
  <c r="EW229" i="54"/>
  <c r="EV229" i="54"/>
  <c r="EX229" i="54"/>
  <c r="EX60" i="54"/>
  <c r="EW60" i="54"/>
  <c r="EV60" i="54"/>
  <c r="EV64" i="54"/>
  <c r="EX64" i="54"/>
  <c r="EW64" i="54"/>
  <c r="EW209" i="54"/>
  <c r="EX209" i="54"/>
  <c r="EV209" i="54"/>
  <c r="EX219" i="54"/>
  <c r="EW219" i="54"/>
  <c r="EV219" i="54"/>
  <c r="EX266" i="54"/>
  <c r="EW266" i="54"/>
  <c r="EV266" i="54"/>
  <c r="DX45" i="54"/>
  <c r="EA45" i="54" s="1"/>
  <c r="DW45" i="54"/>
  <c r="DZ45" i="54" s="1"/>
  <c r="DX120" i="54"/>
  <c r="EA120" i="54" s="1"/>
  <c r="DW43" i="54"/>
  <c r="DZ43" i="54" s="1"/>
  <c r="DW109" i="54"/>
  <c r="DZ109" i="54" s="1"/>
  <c r="DX187" i="54"/>
  <c r="EA187" i="54" s="1"/>
  <c r="DW141" i="54"/>
  <c r="DZ141" i="54" s="1"/>
  <c r="DX160" i="54"/>
  <c r="DX178" i="54"/>
  <c r="EA178" i="54" s="1"/>
  <c r="DW76" i="54"/>
  <c r="DZ76" i="54" s="1"/>
  <c r="DX132" i="54"/>
  <c r="DW193" i="54"/>
  <c r="DZ193" i="54" s="1"/>
  <c r="DW179" i="54"/>
  <c r="DZ179" i="54" s="1"/>
  <c r="DW224" i="54"/>
  <c r="DZ224" i="54" s="1"/>
  <c r="EW97" i="54"/>
  <c r="EV97" i="54"/>
  <c r="EX97" i="54"/>
  <c r="EX108" i="54"/>
  <c r="EW108" i="54"/>
  <c r="EV108" i="54"/>
  <c r="EW157" i="54"/>
  <c r="EV157" i="54"/>
  <c r="EX157" i="54"/>
  <c r="EX165" i="54"/>
  <c r="EV165" i="54"/>
  <c r="EW165" i="54"/>
  <c r="EW257" i="54"/>
  <c r="EX257" i="54"/>
  <c r="EV257"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EV92" i="54"/>
  <c r="EX92" i="54"/>
  <c r="EW92" i="54"/>
  <c r="EX53" i="54"/>
  <c r="EW53" i="54"/>
  <c r="EV53" i="54"/>
  <c r="EX55" i="54"/>
  <c r="EW55" i="54"/>
  <c r="EV55" i="54"/>
  <c r="EX63" i="54"/>
  <c r="EW63" i="54"/>
  <c r="EV63" i="54"/>
  <c r="EX150" i="54"/>
  <c r="EW150" i="54"/>
  <c r="EV150" i="54"/>
  <c r="EX153" i="54"/>
  <c r="EV153" i="54"/>
  <c r="EW153" i="54"/>
  <c r="EW172" i="54"/>
  <c r="EX172" i="54"/>
  <c r="EV172" i="54"/>
  <c r="EW245" i="54"/>
  <c r="EX245" i="54"/>
  <c r="EV245" i="54"/>
  <c r="EX42" i="54"/>
  <c r="EW42" i="54"/>
  <c r="EV42" i="54"/>
  <c r="EX43" i="54"/>
  <c r="EW43" i="54"/>
  <c r="EV43" i="54"/>
  <c r="EX40" i="54"/>
  <c r="EV40" i="54"/>
  <c r="EW40" i="54"/>
  <c r="EW99" i="54"/>
  <c r="EV99" i="54"/>
  <c r="EX99" i="54"/>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EW210" i="54"/>
  <c r="EX210" i="54"/>
  <c r="EV210" i="54"/>
  <c r="EX52" i="54"/>
  <c r="EV52" i="54"/>
  <c r="EW52" i="54"/>
  <c r="EX192" i="54"/>
  <c r="EW192" i="54"/>
  <c r="EV192" i="54"/>
  <c r="EX193" i="54"/>
  <c r="EW193" i="54"/>
  <c r="EV193" i="54"/>
  <c r="EX248" i="54"/>
  <c r="EW248" i="54"/>
  <c r="EV248" i="54"/>
  <c r="EX249" i="54"/>
  <c r="EV249" i="54"/>
  <c r="EW249" i="54"/>
  <c r="EX36" i="54"/>
  <c r="EW36" i="54"/>
  <c r="EV36" i="54"/>
  <c r="EX85" i="54"/>
  <c r="EW85" i="54"/>
  <c r="EV85" i="54"/>
  <c r="EX94" i="54"/>
  <c r="EV94" i="54"/>
  <c r="EW94" i="54"/>
  <c r="EX141" i="54"/>
  <c r="EV141" i="54"/>
  <c r="EW141" i="54"/>
  <c r="DX176" i="54"/>
  <c r="EA176" i="54" s="1"/>
  <c r="DX115" i="54"/>
  <c r="DW22" i="54"/>
  <c r="DW248" i="54"/>
  <c r="DW148" i="54"/>
  <c r="DZ148" i="54" s="1"/>
  <c r="DW158" i="54"/>
  <c r="DZ158" i="54" s="1"/>
  <c r="DW165" i="54"/>
  <c r="DZ165" i="54" s="1"/>
  <c r="DW266" i="54"/>
  <c r="DW59" i="54"/>
  <c r="DZ59" i="54" s="1"/>
  <c r="DW56" i="54"/>
  <c r="DZ56" i="54" s="1"/>
  <c r="EX118" i="54"/>
  <c r="EV118" i="54"/>
  <c r="EW118" i="54"/>
  <c r="EX123" i="54"/>
  <c r="EW123" i="54"/>
  <c r="EV123" i="54"/>
  <c r="EV146" i="54"/>
  <c r="EX146" i="54"/>
  <c r="EW146" i="54"/>
  <c r="EW147" i="54"/>
  <c r="EV147" i="54"/>
  <c r="EX147" i="54"/>
  <c r="EW220" i="54"/>
  <c r="EV220" i="54"/>
  <c r="EX220" i="54"/>
  <c r="EX235" i="54"/>
  <c r="EW235" i="54"/>
  <c r="EV235" i="54"/>
  <c r="EV88" i="54"/>
  <c r="EW88" i="54"/>
  <c r="EX88" i="54"/>
  <c r="EX127" i="54"/>
  <c r="EW127" i="54"/>
  <c r="EV127" i="54"/>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DC34" i="54"/>
  <c r="DA34" i="54"/>
  <c r="DB35" i="54" s="1"/>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37" i="54" l="1"/>
  <c r="DZ243" i="54"/>
  <c r="DZ250" i="54"/>
  <c r="EA44" i="54"/>
  <c r="EE3" i="54"/>
  <c r="EA62" i="54"/>
  <c r="DZ237" i="54"/>
  <c r="DZ248" i="54"/>
  <c r="EA137" i="54"/>
  <c r="DZ216" i="54"/>
  <c r="DZ19" i="54"/>
  <c r="EA166" i="54"/>
  <c r="DZ22" i="54"/>
  <c r="EA91" i="54"/>
  <c r="DZ26" i="54"/>
  <c r="EA171" i="54"/>
  <c r="EA77" i="54"/>
  <c r="EA141" i="54"/>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CR7" i="54"/>
  <c r="C67" i="54" s="1"/>
  <c r="BF33" i="54" a="1"/>
  <c r="BF33" i="54" s="1"/>
  <c r="C35" i="54" s="1" a="1"/>
  <c r="C35" i="54" s="1"/>
  <c r="BF28" i="54" a="1"/>
  <c r="BF28" i="54" s="1"/>
  <c r="A35" i="54" s="1" a="1"/>
  <c r="A35" i="54" s="1"/>
  <c r="CB133" i="54"/>
  <c r="CC133" i="54" s="1"/>
  <c r="CB233" i="54"/>
  <c r="CP233" i="54" s="1"/>
  <c r="CB210" i="54"/>
  <c r="CH210" i="54" s="1"/>
  <c r="CD131" i="54"/>
  <c r="CD184" i="54"/>
  <c r="CD57" i="54"/>
  <c r="CB68" i="54"/>
  <c r="CQ68" i="54" s="1"/>
  <c r="CD210" i="54"/>
  <c r="CD107" i="54"/>
  <c r="CB89" i="54"/>
  <c r="CG89" i="54" s="1"/>
  <c r="CB100" i="54"/>
  <c r="CC100" i="54" s="1"/>
  <c r="CB71" i="54"/>
  <c r="CG71" i="54" s="1"/>
  <c r="CB155" i="54"/>
  <c r="CC155" i="54" s="1"/>
  <c r="CB44" i="54"/>
  <c r="CC44" i="54" s="1"/>
  <c r="CB164" i="54"/>
  <c r="CP164" i="54" s="1"/>
  <c r="CB242" i="54"/>
  <c r="CG242" i="54" s="1"/>
  <c r="CB182" i="54"/>
  <c r="CC182" i="54" s="1"/>
  <c r="CB131" i="54"/>
  <c r="CI131" i="54" s="1"/>
  <c r="CB240" i="54"/>
  <c r="CG240" i="54" s="1"/>
  <c r="CB252" i="54"/>
  <c r="CB45" i="54"/>
  <c r="CI45" i="54" s="1"/>
  <c r="CB231" i="54"/>
  <c r="CQ231" i="54" s="1"/>
  <c r="CB160" i="54"/>
  <c r="CC160" i="54" s="1"/>
  <c r="CB115" i="54"/>
  <c r="CG115" i="54" s="1"/>
  <c r="CB128" i="54"/>
  <c r="CI128" i="54" s="1"/>
  <c r="CB105" i="54"/>
  <c r="CD105" i="54" s="1"/>
  <c r="CB189" i="54"/>
  <c r="CP189" i="54" s="1"/>
  <c r="CB43" i="54"/>
  <c r="CH43" i="54" s="1"/>
  <c r="CB255" i="54"/>
  <c r="CQ255" i="54" s="1"/>
  <c r="CB116" i="54"/>
  <c r="CO116" i="54" s="1"/>
  <c r="CB162" i="54"/>
  <c r="CC162" i="54" s="1"/>
  <c r="CB23" i="54"/>
  <c r="CB153" i="54"/>
  <c r="CQ153" i="54" s="1"/>
  <c r="CB163" i="54"/>
  <c r="CI163" i="54" s="1"/>
  <c r="CB101" i="54"/>
  <c r="CP101" i="54" s="1"/>
  <c r="CB51" i="54"/>
  <c r="CC51" i="54" s="1"/>
  <c r="CB127" i="54"/>
  <c r="CC127" i="54" s="1"/>
  <c r="CB221" i="54"/>
  <c r="CD221" i="54" s="1"/>
  <c r="CB88" i="54"/>
  <c r="CJ88" i="54" s="1"/>
  <c r="CB241" i="54"/>
  <c r="CQ241" i="54" s="1"/>
  <c r="CB143" i="54"/>
  <c r="CI143" i="54" s="1"/>
  <c r="CB57" i="54"/>
  <c r="CC57" i="54" s="1"/>
  <c r="CB67" i="54"/>
  <c r="CC67" i="54" s="1"/>
  <c r="CB42" i="54"/>
  <c r="CQ42" i="54" s="1"/>
  <c r="CB38" i="54"/>
  <c r="CP38" i="54" s="1"/>
  <c r="CB238" i="54"/>
  <c r="CQ238" i="54" s="1"/>
  <c r="CB142" i="54"/>
  <c r="CO142" i="54" s="1"/>
  <c r="CB259" i="54"/>
  <c r="CC259" i="54" s="1"/>
  <c r="CB208" i="54"/>
  <c r="CC208" i="54" s="1"/>
  <c r="CB75" i="54"/>
  <c r="CD75" i="54" s="1"/>
  <c r="CB121" i="54"/>
  <c r="CH121" i="54" s="1"/>
  <c r="CB239" i="54"/>
  <c r="CH239" i="54" s="1"/>
  <c r="CB106" i="54"/>
  <c r="CI106" i="54" s="1"/>
  <c r="CB200" i="54"/>
  <c r="CC200" i="54" s="1"/>
  <c r="CB60" i="54"/>
  <c r="CC60" i="54" s="1"/>
  <c r="CB267" i="54"/>
  <c r="CQ267" i="54" s="1"/>
  <c r="CB170" i="54"/>
  <c r="CI170" i="54" s="1"/>
  <c r="CB180" i="54"/>
  <c r="CI180" i="54" s="1"/>
  <c r="CB41" i="54"/>
  <c r="CQ41" i="54" s="1"/>
  <c r="CB212" i="54"/>
  <c r="CC212" i="54" s="1"/>
  <c r="CB102" i="54"/>
  <c r="CC102" i="54" s="1"/>
  <c r="CB10" i="54"/>
  <c r="CH10" i="54" s="1"/>
  <c r="CB134" i="54"/>
  <c r="CC134" i="54" s="1"/>
  <c r="CB253" i="54"/>
  <c r="CC253" i="54" s="1"/>
  <c r="CB83" i="54"/>
  <c r="CH83" i="54" s="1"/>
  <c r="CB22" i="54"/>
  <c r="CH22" i="54" s="1"/>
  <c r="CB224" i="54"/>
  <c r="CC224" i="54" s="1"/>
  <c r="CB54" i="54"/>
  <c r="CD54" i="54" s="1"/>
  <c r="CB266" i="54"/>
  <c r="CQ266" i="54" s="1"/>
  <c r="CB120" i="54"/>
  <c r="CC120" i="54" s="1"/>
  <c r="CB244" i="54"/>
  <c r="CI244" i="54" s="1"/>
  <c r="CB111" i="54"/>
  <c r="CC111" i="54" s="1"/>
  <c r="CB157" i="54"/>
  <c r="CP157" i="54" s="1"/>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O184" i="54" s="1"/>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O236" i="54" s="1"/>
  <c r="CB96" i="54"/>
  <c r="CD96" i="54" s="1"/>
  <c r="CB256" i="54"/>
  <c r="CQ256" i="54" s="1"/>
  <c r="CB99" i="54"/>
  <c r="CQ99" i="54" s="1"/>
  <c r="CB205" i="54"/>
  <c r="CH205" i="54" s="1"/>
  <c r="CB107" i="54"/>
  <c r="CC107" i="54" s="1"/>
  <c r="CB21" i="54"/>
  <c r="CC21" i="54" s="1"/>
  <c r="CB31" i="54"/>
  <c r="CB196" i="54"/>
  <c r="CJ196" i="54" s="1"/>
  <c r="CB144" i="54"/>
  <c r="CQ144" i="54" s="1"/>
  <c r="CB78" i="54"/>
  <c r="CQ78" i="54" s="1"/>
  <c r="BF23" i="54" a="1"/>
  <c r="BF23" i="54" s="1"/>
  <c r="CD252" i="54"/>
  <c r="CD192" i="54"/>
  <c r="CD45" i="54"/>
  <c r="CD48" i="54"/>
  <c r="CD240" i="54"/>
  <c r="CD160" i="54"/>
  <c r="CD170" i="54"/>
  <c r="CD233" i="54"/>
  <c r="CD41" i="54"/>
  <c r="CD30" i="54"/>
  <c r="CD163" i="54"/>
  <c r="CD23" i="54"/>
  <c r="CD142" i="54"/>
  <c r="CD18" i="54"/>
  <c r="CD228" i="54"/>
  <c r="CD155" i="54"/>
  <c r="CD259" i="54"/>
  <c r="CD180" i="54"/>
  <c r="CD112" i="54"/>
  <c r="CD78" i="54"/>
  <c r="CD153" i="54"/>
  <c r="CD88" i="54"/>
  <c r="CD122" i="54"/>
  <c r="CD124" i="54"/>
  <c r="CD133" i="54"/>
  <c r="CD189" i="54"/>
  <c r="CD121" i="54"/>
  <c r="CD182" i="54"/>
  <c r="CD106" i="54"/>
  <c r="CD115" i="54"/>
  <c r="CD236" i="54"/>
  <c r="CD68" i="54"/>
  <c r="CD216" i="54"/>
  <c r="CD100" i="54"/>
  <c r="CD185" i="54"/>
  <c r="CD128" i="54"/>
  <c r="CD127" i="54"/>
  <c r="CD42" i="54"/>
  <c r="BF26" i="54" a="1"/>
  <c r="BF26" i="54" s="1"/>
  <c r="CD164" i="54"/>
  <c r="CD44" i="54"/>
  <c r="CD46" i="54"/>
  <c r="CD267" i="54"/>
  <c r="CD82" i="54"/>
  <c r="CD200" i="54"/>
  <c r="CD261" i="54"/>
  <c r="CD134" i="54"/>
  <c r="CD255" i="54"/>
  <c r="CD116" i="54"/>
  <c r="CD173" i="54"/>
  <c r="CD58" i="54"/>
  <c r="CD67" i="54"/>
  <c r="CD179" i="54"/>
  <c r="CD234" i="54"/>
  <c r="CD158" i="54"/>
  <c r="CD140" i="54"/>
  <c r="CD174" i="54"/>
  <c r="CD71" i="54"/>
  <c r="CD231" i="54"/>
  <c r="CD38" i="54"/>
  <c r="CD157" i="54"/>
  <c r="CD144" i="54"/>
  <c r="CD34" i="54"/>
  <c r="CD43" i="54"/>
  <c r="CD212" i="54"/>
  <c r="CD265" i="54"/>
  <c r="CD28" i="54"/>
  <c r="CD37" i="54"/>
  <c r="CD143" i="54"/>
  <c r="CD205" i="54"/>
  <c r="CD253" i="54"/>
  <c r="CD22" i="54"/>
  <c r="CD31" i="54"/>
  <c r="CD89" i="54"/>
  <c r="CD239" i="54"/>
  <c r="CD10" i="54"/>
  <c r="CD171" i="54"/>
  <c r="CD32" i="54"/>
  <c r="CD211" i="54"/>
  <c r="CD113" i="54"/>
  <c r="CD220"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O214" i="54" s="1"/>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P140" i="54" s="1"/>
  <c r="CB139" i="54"/>
  <c r="CG139" i="54" s="1"/>
  <c r="CB246" i="54"/>
  <c r="CC246" i="54" s="1"/>
  <c r="CB257" i="54"/>
  <c r="CC257" i="54" s="1"/>
  <c r="CB154" i="54"/>
  <c r="CC154" i="54" s="1"/>
  <c r="CB171" i="54"/>
  <c r="CG171" i="54" s="1"/>
  <c r="CB62" i="54"/>
  <c r="CG62" i="54" s="1"/>
  <c r="CB61" i="54"/>
  <c r="CQ61" i="54" s="1"/>
  <c r="CB72" i="54"/>
  <c r="CQ72" i="54" s="1"/>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Q69" i="54" s="1"/>
  <c r="CB46" i="54"/>
  <c r="CO46" i="54" s="1"/>
  <c r="CB63" i="54"/>
  <c r="CC63" i="54" s="1"/>
  <c r="CB181" i="54"/>
  <c r="CD181" i="54" s="1"/>
  <c r="CB217" i="54"/>
  <c r="CG217" i="54" s="1"/>
  <c r="CB249" i="54"/>
  <c r="CJ249" i="54" s="1"/>
  <c r="CB166" i="54"/>
  <c r="CC166" i="54" s="1"/>
  <c r="CB177" i="54"/>
  <c r="CI177" i="54" s="1"/>
  <c r="CB186" i="54"/>
  <c r="CG186" i="54" s="1"/>
  <c r="CB109" i="54"/>
  <c r="CJ109" i="54" s="1"/>
  <c r="CB110" i="54"/>
  <c r="CC110" i="54" s="1"/>
  <c r="CB183" i="54"/>
  <c r="CP183" i="54" s="1"/>
  <c r="CB14" i="54"/>
  <c r="CG14" i="54" s="1"/>
  <c r="CB13" i="54"/>
  <c r="CP13" i="54" s="1"/>
  <c r="CB125" i="54"/>
  <c r="CC125" i="54" s="1"/>
  <c r="CB225" i="54"/>
  <c r="CH225" i="54" s="1"/>
  <c r="CB80" i="54"/>
  <c r="CQ80" i="54" s="1"/>
  <c r="CB79" i="54"/>
  <c r="CI79" i="54" s="1"/>
  <c r="CB126" i="54"/>
  <c r="CO126" i="54" s="1"/>
  <c r="CB197" i="54"/>
  <c r="CQ197" i="54" s="1"/>
  <c r="CB250" i="54"/>
  <c r="CC250" i="54" s="1"/>
  <c r="CB64" i="54"/>
  <c r="CD64" i="54" s="1"/>
  <c r="CB117" i="54"/>
  <c r="CG117" i="54" s="1"/>
  <c r="CB188" i="54"/>
  <c r="CC188" i="54" s="1"/>
  <c r="CB187" i="54"/>
  <c r="CQ187" i="54" s="1"/>
  <c r="CB234" i="54"/>
  <c r="CI234" i="54" s="1"/>
  <c r="CB245" i="54"/>
  <c r="CC245" i="54" s="1"/>
  <c r="CB65" i="54"/>
  <c r="CQ65" i="54" s="1"/>
  <c r="CB195" i="54"/>
  <c r="CI195" i="54" s="1"/>
  <c r="CB56" i="54"/>
  <c r="CJ56" i="54" s="1"/>
  <c r="CB55" i="54"/>
  <c r="CC55" i="54" s="1"/>
  <c r="CB132" i="54"/>
  <c r="CC132" i="54" s="1"/>
  <c r="CB209" i="54"/>
  <c r="CC209" i="54" s="1"/>
  <c r="CB35" i="54"/>
  <c r="CD35" i="54" s="1"/>
  <c r="CB52" i="54"/>
  <c r="CC52" i="54" s="1"/>
  <c r="CB165" i="54"/>
  <c r="CP165" i="54" s="1"/>
  <c r="CB176" i="54"/>
  <c r="CH176" i="54" s="1"/>
  <c r="CB175" i="54"/>
  <c r="CI175" i="54" s="1"/>
  <c r="CB66" i="54"/>
  <c r="CC66" i="54" s="1"/>
  <c r="CB77" i="54"/>
  <c r="CJ77" i="54" s="1"/>
  <c r="CB237" i="54"/>
  <c r="CC237" i="54" s="1"/>
  <c r="CB248" i="54"/>
  <c r="CC248" i="54" s="1"/>
  <c r="CB247" i="54"/>
  <c r="CP247" i="54" s="1"/>
  <c r="CB138" i="54"/>
  <c r="CG138" i="54" s="1"/>
  <c r="CB149" i="54"/>
  <c r="CC149" i="54" s="1"/>
  <c r="CB262" i="54"/>
  <c r="CP262" i="54" s="1"/>
  <c r="CB16" i="54"/>
  <c r="CC16" i="54" s="1"/>
  <c r="CB258" i="54"/>
  <c r="CG258" i="54" s="1"/>
  <c r="CB47" i="54"/>
  <c r="CC47" i="54" s="1"/>
  <c r="CB33" i="54"/>
  <c r="CO33" i="54" s="1"/>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Q156" i="54" s="1"/>
  <c r="CB203" i="54"/>
  <c r="CC203" i="54" s="1"/>
  <c r="CB17" i="54"/>
  <c r="CC17" i="54" s="1"/>
  <c r="CB70" i="54"/>
  <c r="CC70" i="54" s="1"/>
  <c r="CB147" i="54"/>
  <c r="CQ147" i="54" s="1"/>
  <c r="CB194" i="54"/>
  <c r="CC194" i="54" s="1"/>
  <c r="CB193" i="54"/>
  <c r="CP193" i="54" s="1"/>
  <c r="CB204" i="54"/>
  <c r="CQ204" i="54" s="1"/>
  <c r="CB24" i="54"/>
  <c r="CI24" i="54" s="1"/>
  <c r="CB148" i="54"/>
  <c r="CC148" i="54" s="1"/>
  <c r="CB15" i="54"/>
  <c r="CC15" i="54" s="1"/>
  <c r="CB92" i="54"/>
  <c r="CC92" i="54" s="1"/>
  <c r="CB91" i="54"/>
  <c r="CD91" i="54" s="1"/>
  <c r="CB168" i="54"/>
  <c r="CC168" i="54" s="1"/>
  <c r="CB251" i="54"/>
  <c r="CP251" i="54" s="1"/>
  <c r="CB268" i="54"/>
  <c r="CC268" i="54" s="1"/>
  <c r="CB118" i="54"/>
  <c r="CC118" i="54" s="1"/>
  <c r="CB135" i="54"/>
  <c r="CC135" i="54" s="1"/>
  <c r="CB26" i="54"/>
  <c r="CD26" i="54" s="1"/>
  <c r="CB25" i="54"/>
  <c r="CI25" i="54" s="1"/>
  <c r="CB36" i="54"/>
  <c r="CJ36" i="54" s="1"/>
  <c r="CB190" i="54"/>
  <c r="CO190" i="54" s="1"/>
  <c r="CB207" i="54"/>
  <c r="CC207" i="54" s="1"/>
  <c r="CB98" i="54"/>
  <c r="CC98" i="54" s="1"/>
  <c r="CB97" i="54"/>
  <c r="CD97" i="54" s="1"/>
  <c r="CB108" i="54"/>
  <c r="CQ108" i="54" s="1"/>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R3" i="54" s="1"/>
  <c r="EY48" i="54" s="1" a="1"/>
  <c r="EY48" i="54" s="1"/>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FR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CP23" i="54"/>
  <c r="EC4" i="54"/>
  <c r="ED4" i="54" s="1"/>
  <c r="EE4" i="54" s="1"/>
  <c r="EB4" i="54"/>
  <c r="CJ121" i="54"/>
  <c r="CG83" i="54"/>
  <c r="FK3" i="54"/>
  <c r="CQ171" i="54"/>
  <c r="DC35" i="54"/>
  <c r="DA35" i="54"/>
  <c r="DB36" i="54" s="1"/>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CT3" i="54" s="1"/>
  <c r="CU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G155" i="54" l="1"/>
  <c r="CP106" i="54"/>
  <c r="CI182" i="54"/>
  <c r="CI210" i="54"/>
  <c r="CQ76" i="54"/>
  <c r="CI40" i="54"/>
  <c r="CO219" i="54"/>
  <c r="CG133" i="54"/>
  <c r="CP50" i="54"/>
  <c r="CQ40" i="54"/>
  <c r="CH133" i="54"/>
  <c r="CI155" i="54"/>
  <c r="CJ93" i="54"/>
  <c r="CQ159" i="54"/>
  <c r="CP133" i="54"/>
  <c r="CO128" i="54"/>
  <c r="CI243" i="54"/>
  <c r="CG159" i="54"/>
  <c r="CQ240" i="54"/>
  <c r="CJ105" i="54"/>
  <c r="CG44" i="54"/>
  <c r="CG169" i="54"/>
  <c r="CJ44" i="54"/>
  <c r="CG129" i="54"/>
  <c r="CO50" i="54"/>
  <c r="CO10" i="54"/>
  <c r="CJ75" i="54"/>
  <c r="CG233" i="54"/>
  <c r="FA48" i="54"/>
  <c r="FB48" i="54"/>
  <c r="FC48" i="54" s="1"/>
  <c r="CO76" i="54"/>
  <c r="CJ130" i="54"/>
  <c r="CG246" i="54"/>
  <c r="CH155" i="54"/>
  <c r="CI133" i="54"/>
  <c r="CL133" i="54" s="1"/>
  <c r="CO30" i="54"/>
  <c r="EY165" i="54" a="1"/>
  <c r="EY165" i="54" s="1"/>
  <c r="CH68" i="54"/>
  <c r="CH240" i="54"/>
  <c r="CQ89" i="54"/>
  <c r="CI88" i="54"/>
  <c r="CL88" i="54" s="1"/>
  <c r="CP163" i="54"/>
  <c r="CP93" i="54"/>
  <c r="CQ152" i="54"/>
  <c r="CJ155" i="54"/>
  <c r="CO134" i="54"/>
  <c r="CC240" i="54"/>
  <c r="CK240" i="54" s="1"/>
  <c r="CO152" i="54"/>
  <c r="CJ144" i="54"/>
  <c r="CH27" i="54"/>
  <c r="C68" i="54" a="1"/>
  <c r="C68" i="54" s="1"/>
  <c r="CP128" i="54"/>
  <c r="CC128" i="54"/>
  <c r="CK128" i="54" s="1"/>
  <c r="EC5" i="54"/>
  <c r="EC7" i="54"/>
  <c r="AN33" i="56"/>
  <c r="BM29" i="54" a="1"/>
  <c r="BM29" i="54" s="1"/>
  <c r="L35" i="54" s="1" a="1"/>
  <c r="L35" i="54" s="1"/>
  <c r="CO260" i="54"/>
  <c r="CU5" i="54" a="1"/>
  <c r="CU5" i="54" s="1"/>
  <c r="CV5" i="54" s="1"/>
  <c r="CO158" i="54"/>
  <c r="CC58" i="54"/>
  <c r="CK58" i="54" s="1"/>
  <c r="CJ123" i="54"/>
  <c r="C69" i="54" a="1"/>
  <c r="C69" i="54" s="1"/>
  <c r="CQ12" i="54"/>
  <c r="CO201" i="54"/>
  <c r="CT2" i="54" a="1"/>
  <c r="CT2" i="54" s="1"/>
  <c r="CU2" i="54" s="1"/>
  <c r="CW212" i="54" s="1" a="1"/>
  <c r="CW212" i="54" s="1"/>
  <c r="CH242" i="54"/>
  <c r="CG231" i="54"/>
  <c r="CG43" i="54"/>
  <c r="CJ137" i="54"/>
  <c r="CJ239" i="54"/>
  <c r="CT4" i="54" a="1"/>
  <c r="CT4" i="54" s="1"/>
  <c r="CU4" i="54" s="1"/>
  <c r="CQ242" i="54"/>
  <c r="CG253" i="54"/>
  <c r="CO180" i="54"/>
  <c r="CU7" i="54" a="1"/>
  <c r="CU7" i="54" s="1"/>
  <c r="CV7" i="54" s="1"/>
  <c r="CD16" i="54"/>
  <c r="CD135" i="54"/>
  <c r="CK135" i="54" s="1"/>
  <c r="CM135" i="54" s="1"/>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D63" i="54"/>
  <c r="CK63" i="54" s="1"/>
  <c r="CD87" i="54"/>
  <c r="CK87" i="54" s="1"/>
  <c r="CD99" i="54"/>
  <c r="CD123" i="54"/>
  <c r="CD69" i="54"/>
  <c r="CD206" i="54"/>
  <c r="CD268" i="54"/>
  <c r="CK268" i="54" s="1"/>
  <c r="CD178" i="54"/>
  <c r="CD56" i="54"/>
  <c r="CD92" i="54"/>
  <c r="CD110" i="54"/>
  <c r="CK110" i="54" s="1"/>
  <c r="CD20" i="54"/>
  <c r="CK20" i="54" s="1"/>
  <c r="CD52" i="54"/>
  <c r="CD70" i="54"/>
  <c r="CK70" i="54" s="1"/>
  <c r="CD86" i="54"/>
  <c r="CK86" i="54" s="1"/>
  <c r="CD104" i="54"/>
  <c r="CD14" i="54"/>
  <c r="CD258" i="54"/>
  <c r="CD59" i="54"/>
  <c r="CK59" i="54" s="1"/>
  <c r="CD77" i="54"/>
  <c r="CD232" i="54"/>
  <c r="CK232" i="54" s="1"/>
  <c r="CD250" i="54"/>
  <c r="CD102" i="54"/>
  <c r="CK102" i="54" s="1"/>
  <c r="CD126" i="54"/>
  <c r="CD11" i="54"/>
  <c r="CK11" i="54" s="1"/>
  <c r="CD83" i="54"/>
  <c r="CD119" i="54"/>
  <c r="CK119" i="54" s="1"/>
  <c r="CD162" i="54"/>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K51" i="54" s="1"/>
  <c r="CD111" i="54"/>
  <c r="CK111" i="54" s="1"/>
  <c r="CD72" i="54"/>
  <c r="CD235" i="54"/>
  <c r="CK235" i="54" s="1"/>
  <c r="CD95" i="54"/>
  <c r="CD202" i="54"/>
  <c r="CD183" i="54"/>
  <c r="CD191" i="54"/>
  <c r="CK191" i="54" s="1"/>
  <c r="CD219" i="54"/>
  <c r="CD176" i="54"/>
  <c r="CD254" i="54"/>
  <c r="CD62" i="54"/>
  <c r="CD80" i="54"/>
  <c r="CD146" i="54"/>
  <c r="CK146" i="54" s="1"/>
  <c r="CD76" i="54"/>
  <c r="CD103" i="54"/>
  <c r="CD109" i="54"/>
  <c r="CD156" i="54"/>
  <c r="CD177" i="54"/>
  <c r="CD149" i="54"/>
  <c r="CK149" i="54" s="1"/>
  <c r="CD264" i="54"/>
  <c r="CD238" i="54"/>
  <c r="CD214" i="54"/>
  <c r="CD108" i="54"/>
  <c r="CD132" i="54"/>
  <c r="CK132" i="54" s="1"/>
  <c r="CD198" i="54"/>
  <c r="CD29" i="54"/>
  <c r="CD260" i="54"/>
  <c r="CD137" i="54"/>
  <c r="CD172" i="54"/>
  <c r="CD145" i="54"/>
  <c r="CD208" i="54"/>
  <c r="CK208" i="54" s="1"/>
  <c r="CD213" i="54"/>
  <c r="CD125" i="54"/>
  <c r="CK125" i="54" s="1"/>
  <c r="CD150" i="54"/>
  <c r="CD248" i="54"/>
  <c r="CK248" i="54" s="1"/>
  <c r="CD227" i="54"/>
  <c r="CD94" i="54"/>
  <c r="CD118" i="54"/>
  <c r="CD33" i="54"/>
  <c r="CD24" i="54"/>
  <c r="CD36" i="54"/>
  <c r="CD12" i="54"/>
  <c r="CK12" i="54" s="1"/>
  <c r="CD17" i="54"/>
  <c r="CK17" i="54" s="1"/>
  <c r="CD249" i="54"/>
  <c r="CD195" i="54"/>
  <c r="CD224" i="54"/>
  <c r="CD81" i="54"/>
  <c r="CK81" i="54" s="1"/>
  <c r="CD117" i="54"/>
  <c r="CD98" i="54"/>
  <c r="CK98" i="54" s="1"/>
  <c r="CD84" i="54"/>
  <c r="CD199" i="54"/>
  <c r="CK199" i="54" s="1"/>
  <c r="CD242" i="54"/>
  <c r="CD13" i="54"/>
  <c r="CD25" i="54"/>
  <c r="CD138" i="54"/>
  <c r="CD215" i="54"/>
  <c r="CD186" i="54"/>
  <c r="CD193" i="54"/>
  <c r="CD207" i="54"/>
  <c r="CK207" i="54" s="1"/>
  <c r="CD217" i="54"/>
  <c r="CD209" i="54"/>
  <c r="CK209" i="54" s="1"/>
  <c r="CD230" i="54"/>
  <c r="CD237" i="54"/>
  <c r="CK237" i="54" s="1"/>
  <c r="CD245" i="54"/>
  <c r="CK245" i="54" s="1"/>
  <c r="CD201" i="54"/>
  <c r="CD15" i="54"/>
  <c r="CK15" i="54" s="1"/>
  <c r="CD21" i="54"/>
  <c r="CK21" i="54" s="1"/>
  <c r="CD27" i="54"/>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EY140" i="54" a="1"/>
  <c r="EY140" i="54" s="1"/>
  <c r="CQ92" i="54"/>
  <c r="CQ66" i="54"/>
  <c r="CG230" i="54"/>
  <c r="CQ245" i="54"/>
  <c r="CI119" i="54"/>
  <c r="CL119" i="54" s="1"/>
  <c r="CP81" i="54"/>
  <c r="BF10" i="54" a="1"/>
  <c r="BF10" i="54" s="1"/>
  <c r="CK57" i="54"/>
  <c r="CH154" i="54"/>
  <c r="CJ40" i="54"/>
  <c r="CQ133" i="54"/>
  <c r="CG98" i="54"/>
  <c r="CI250" i="54"/>
  <c r="CJ243" i="54"/>
  <c r="CM243" i="54" s="1"/>
  <c r="CJ154" i="54"/>
  <c r="CG219" i="54"/>
  <c r="CP155" i="54"/>
  <c r="CO155" i="54"/>
  <c r="CJ133" i="54"/>
  <c r="CH208" i="54"/>
  <c r="CH57" i="54"/>
  <c r="CG128" i="54"/>
  <c r="CJ135" i="54"/>
  <c r="CP125" i="54"/>
  <c r="CH119" i="54"/>
  <c r="CH243" i="54"/>
  <c r="CI81" i="54"/>
  <c r="CQ155" i="54"/>
  <c r="CO133" i="54"/>
  <c r="CO48" i="54"/>
  <c r="CO194" i="54"/>
  <c r="CQ149" i="54"/>
  <c r="CG58" i="54"/>
  <c r="CQ43" i="54"/>
  <c r="CH144" i="54"/>
  <c r="CI238" i="54"/>
  <c r="CJ241" i="54"/>
  <c r="CO32" i="54"/>
  <c r="CJ115" i="54"/>
  <c r="CJ187" i="54"/>
  <c r="CC231" i="54"/>
  <c r="CK231" i="54" s="1"/>
  <c r="CQ220" i="54"/>
  <c r="CP59" i="54"/>
  <c r="CG214" i="54"/>
  <c r="CQ212" i="54"/>
  <c r="CJ210" i="54"/>
  <c r="CQ268" i="54"/>
  <c r="CO259" i="54"/>
  <c r="CI57" i="54"/>
  <c r="CG116" i="54"/>
  <c r="CJ263" i="54"/>
  <c r="CH72" i="54"/>
  <c r="CP22" i="54"/>
  <c r="CH184" i="54"/>
  <c r="CH259" i="54"/>
  <c r="CQ160" i="54"/>
  <c r="CI71" i="54"/>
  <c r="CO210" i="54"/>
  <c r="CI51" i="54"/>
  <c r="CH100" i="54"/>
  <c r="CH116" i="54"/>
  <c r="CC210" i="54"/>
  <c r="CK210" i="54" s="1"/>
  <c r="CG184" i="54"/>
  <c r="CC22" i="54"/>
  <c r="CK22" i="54" s="1"/>
  <c r="CQ200" i="54"/>
  <c r="CP174" i="54"/>
  <c r="CG210" i="54"/>
  <c r="CP210" i="54"/>
  <c r="CQ51" i="54"/>
  <c r="CO131" i="54"/>
  <c r="CG247" i="54"/>
  <c r="CG126" i="54"/>
  <c r="CJ212" i="54"/>
  <c r="CG69" i="54"/>
  <c r="CP113" i="54"/>
  <c r="CJ200" i="54"/>
  <c r="CO261" i="54"/>
  <c r="CJ174" i="54"/>
  <c r="CQ210" i="54"/>
  <c r="CG131" i="54"/>
  <c r="CI22" i="54"/>
  <c r="CQ71" i="54"/>
  <c r="CG51" i="54"/>
  <c r="CG264" i="54"/>
  <c r="CQ113" i="54"/>
  <c r="CJ261" i="54"/>
  <c r="CQ115" i="54"/>
  <c r="CJ131" i="54"/>
  <c r="CH55" i="54"/>
  <c r="CJ82" i="54"/>
  <c r="CG29" i="54"/>
  <c r="CI39" i="54"/>
  <c r="CJ111" i="54"/>
  <c r="CH111" i="54"/>
  <c r="CC115" i="54"/>
  <c r="CK115" i="54" s="1"/>
  <c r="CM115" i="54" s="1"/>
  <c r="CP107" i="54"/>
  <c r="CC71" i="54"/>
  <c r="CJ22" i="54"/>
  <c r="CG22" i="54"/>
  <c r="CG113" i="54"/>
  <c r="CH212" i="54"/>
  <c r="CP184" i="54"/>
  <c r="CH200" i="54"/>
  <c r="CH261" i="54"/>
  <c r="CI259" i="54"/>
  <c r="CJ259" i="54"/>
  <c r="EY123" i="54" a="1"/>
  <c r="EY123" i="54" s="1"/>
  <c r="EY222" i="54" a="1"/>
  <c r="EY222" i="54" s="1"/>
  <c r="EY12" i="54" a="1"/>
  <c r="EY12" i="54" s="1"/>
  <c r="CO174" i="54"/>
  <c r="CI174" i="54"/>
  <c r="CJ57" i="54"/>
  <c r="CH71" i="54"/>
  <c r="CP51" i="54"/>
  <c r="CH115" i="54"/>
  <c r="CQ116" i="54"/>
  <c r="CP131" i="54"/>
  <c r="CG107" i="54"/>
  <c r="CI82" i="54"/>
  <c r="CQ29" i="54"/>
  <c r="CI111" i="54"/>
  <c r="CQ172" i="54"/>
  <c r="CC131" i="54"/>
  <c r="CK131" i="54" s="1"/>
  <c r="CH29" i="54"/>
  <c r="CC184" i="54"/>
  <c r="CK184" i="54" s="1"/>
  <c r="CH107" i="54"/>
  <c r="CQ22" i="54"/>
  <c r="CI113" i="54"/>
  <c r="CH113" i="54"/>
  <c r="CI212" i="54"/>
  <c r="CJ184" i="54"/>
  <c r="CM184" i="54" s="1"/>
  <c r="CI200" i="54"/>
  <c r="CI261" i="54"/>
  <c r="CP259" i="54"/>
  <c r="EY168" i="54" a="1"/>
  <c r="EY168" i="54" s="1"/>
  <c r="CG174" i="54"/>
  <c r="CQ57" i="54"/>
  <c r="CP57" i="54"/>
  <c r="CO71" i="54"/>
  <c r="CJ71" i="54"/>
  <c r="CO51" i="54"/>
  <c r="CI115" i="54"/>
  <c r="CJ116" i="54"/>
  <c r="CQ131" i="54"/>
  <c r="CI107" i="54"/>
  <c r="CG82" i="54"/>
  <c r="CO82" i="54"/>
  <c r="CI29" i="54"/>
  <c r="CQ111" i="54"/>
  <c r="CG172" i="54"/>
  <c r="CQ107" i="54"/>
  <c r="CO172" i="54"/>
  <c r="CO22" i="54"/>
  <c r="CJ113" i="54"/>
  <c r="CP212" i="54"/>
  <c r="CO212" i="54"/>
  <c r="CQ184" i="54"/>
  <c r="CI184" i="54"/>
  <c r="CL184" i="54" s="1"/>
  <c r="CO200" i="54"/>
  <c r="CP261" i="54"/>
  <c r="CG259" i="54"/>
  <c r="EY158" i="54" a="1"/>
  <c r="EY158" i="54" s="1"/>
  <c r="CQ174" i="54"/>
  <c r="CG57" i="54"/>
  <c r="CP71" i="54"/>
  <c r="CH51" i="54"/>
  <c r="CP115" i="54"/>
  <c r="CO115" i="54"/>
  <c r="CI116" i="54"/>
  <c r="CH131" i="54"/>
  <c r="CG85" i="54"/>
  <c r="CJ107" i="54"/>
  <c r="CP82" i="54"/>
  <c r="CO29" i="54"/>
  <c r="CJ29" i="54"/>
  <c r="CG111" i="54"/>
  <c r="CP172" i="54"/>
  <c r="CC116" i="54"/>
  <c r="CK116" i="54" s="1"/>
  <c r="CQ82" i="54"/>
  <c r="CP111" i="54"/>
  <c r="CO113" i="54"/>
  <c r="CG212" i="54"/>
  <c r="CG200" i="54"/>
  <c r="CP200" i="54"/>
  <c r="CG261" i="54"/>
  <c r="CQ261" i="54"/>
  <c r="CQ259" i="54"/>
  <c r="EY35" i="54" a="1"/>
  <c r="EY35" i="54" s="1"/>
  <c r="EY209" i="54" a="1"/>
  <c r="EY209" i="54" s="1"/>
  <c r="CH174" i="54"/>
  <c r="CO57" i="54"/>
  <c r="CJ51" i="54"/>
  <c r="CM51" i="54" s="1"/>
  <c r="CP116" i="54"/>
  <c r="CO107" i="54"/>
  <c r="CH82" i="54"/>
  <c r="CP29" i="54"/>
  <c r="CO111" i="54"/>
  <c r="CC89" i="54"/>
  <c r="CK89" i="54" s="1"/>
  <c r="BM11" i="54" a="1"/>
  <c r="BM11" i="54" s="1"/>
  <c r="BM16" i="54" a="1"/>
  <c r="BM16" i="54" s="1"/>
  <c r="BM10" i="54" a="1"/>
  <c r="BM10" i="54" s="1"/>
  <c r="BM15" i="54" a="1"/>
  <c r="BM15" i="54" s="1"/>
  <c r="BM14" i="54" a="1"/>
  <c r="BM14" i="54" s="1"/>
  <c r="BM13" i="54" a="1"/>
  <c r="BM13" i="54" s="1"/>
  <c r="BM12" i="54" a="1"/>
  <c r="BM12" i="54" s="1"/>
  <c r="CO99" i="54"/>
  <c r="CG120" i="54"/>
  <c r="CO235" i="54"/>
  <c r="CO231" i="54"/>
  <c r="CH32" i="54"/>
  <c r="CP32" i="54"/>
  <c r="CJ99" i="54"/>
  <c r="CP235" i="54"/>
  <c r="CG158" i="54"/>
  <c r="CP158" i="54"/>
  <c r="CQ120" i="54"/>
  <c r="CC180" i="54"/>
  <c r="CK180" i="54" s="1"/>
  <c r="CC233" i="54"/>
  <c r="CK233" i="54" s="1"/>
  <c r="CH253" i="54"/>
  <c r="CI123" i="54"/>
  <c r="CG238" i="54"/>
  <c r="CJ58" i="54"/>
  <c r="CJ68" i="54"/>
  <c r="CQ233" i="54"/>
  <c r="CJ253" i="54"/>
  <c r="CO144" i="54"/>
  <c r="CI201" i="54"/>
  <c r="CJ201" i="54"/>
  <c r="CG180" i="54"/>
  <c r="CP123" i="54"/>
  <c r="CP239" i="54"/>
  <c r="CG260" i="54"/>
  <c r="CP238" i="54"/>
  <c r="CC238" i="54"/>
  <c r="CI58" i="54"/>
  <c r="CO68" i="54"/>
  <c r="CI68" i="54"/>
  <c r="CO241" i="54"/>
  <c r="CI242" i="54"/>
  <c r="CJ231" i="54"/>
  <c r="CH231" i="54"/>
  <c r="CQ163" i="54"/>
  <c r="CI233" i="54"/>
  <c r="CH233" i="54"/>
  <c r="CI43" i="54"/>
  <c r="CI89" i="54"/>
  <c r="CQ32" i="54"/>
  <c r="CI99" i="54"/>
  <c r="CL99" i="54" s="1"/>
  <c r="CG235" i="54"/>
  <c r="CQ158" i="54"/>
  <c r="CH120" i="54"/>
  <c r="CC144" i="54"/>
  <c r="CK144" i="54" s="1"/>
  <c r="CM144" i="54" s="1"/>
  <c r="CC68" i="54"/>
  <c r="CK68" i="54" s="1"/>
  <c r="CP180" i="54"/>
  <c r="CI241" i="54"/>
  <c r="CJ242" i="54"/>
  <c r="CG163" i="54"/>
  <c r="CI253" i="54"/>
  <c r="CP144" i="54"/>
  <c r="CP201" i="54"/>
  <c r="CQ180" i="54"/>
  <c r="CG123" i="54"/>
  <c r="CQ123" i="54"/>
  <c r="CG239" i="54"/>
  <c r="CQ260" i="54"/>
  <c r="CH238" i="54"/>
  <c r="CQ58" i="54"/>
  <c r="CO58" i="54"/>
  <c r="CP68" i="54"/>
  <c r="CP241" i="54"/>
  <c r="CO242" i="54"/>
  <c r="CI231" i="54"/>
  <c r="CH163" i="54"/>
  <c r="CJ233" i="54"/>
  <c r="CO43" i="54"/>
  <c r="CO89" i="54"/>
  <c r="CJ89" i="54"/>
  <c r="CO191" i="54"/>
  <c r="CG32" i="54"/>
  <c r="CG99" i="54"/>
  <c r="CP99" i="54"/>
  <c r="CQ235" i="54"/>
  <c r="CH158" i="54"/>
  <c r="CI120" i="54"/>
  <c r="CJ120" i="54"/>
  <c r="CC123" i="54"/>
  <c r="CC239" i="54"/>
  <c r="CK239" i="54" s="1"/>
  <c r="CC242" i="54"/>
  <c r="CC201" i="54"/>
  <c r="CI144" i="54"/>
  <c r="CL144" i="54" s="1"/>
  <c r="CH201" i="54"/>
  <c r="CO239" i="54"/>
  <c r="CJ43" i="54"/>
  <c r="CH89" i="54"/>
  <c r="CP253" i="54"/>
  <c r="CG144" i="54"/>
  <c r="CQ201" i="54"/>
  <c r="CH180" i="54"/>
  <c r="CJ180" i="54"/>
  <c r="CO123" i="54"/>
  <c r="CQ239" i="54"/>
  <c r="CH260" i="54"/>
  <c r="CJ238" i="54"/>
  <c r="CP58" i="54"/>
  <c r="CG68" i="54"/>
  <c r="CG241" i="54"/>
  <c r="CP242" i="54"/>
  <c r="CP231" i="54"/>
  <c r="CR231" i="54" s="1" a="1"/>
  <c r="CR231" i="54" s="1"/>
  <c r="CJ163" i="54"/>
  <c r="CO233" i="54"/>
  <c r="CP43" i="54"/>
  <c r="CP89" i="54"/>
  <c r="CR89" i="54" s="1" a="1"/>
  <c r="CR89" i="54" s="1"/>
  <c r="CH188" i="54"/>
  <c r="CJ32" i="54"/>
  <c r="CH99" i="54"/>
  <c r="CH235" i="54"/>
  <c r="CJ158" i="54"/>
  <c r="CO120" i="54"/>
  <c r="CC99" i="54"/>
  <c r="CC241" i="54"/>
  <c r="CC43" i="54"/>
  <c r="CK43" i="54" s="1"/>
  <c r="CC260" i="54"/>
  <c r="CC163" i="54"/>
  <c r="CK163" i="54" s="1"/>
  <c r="CC158" i="54"/>
  <c r="CK158" i="54" s="1"/>
  <c r="CP260" i="54"/>
  <c r="CO238" i="54"/>
  <c r="CQ253" i="54"/>
  <c r="CO253" i="54"/>
  <c r="CI239" i="54"/>
  <c r="CI260" i="54"/>
  <c r="CG38" i="54"/>
  <c r="CH241" i="54"/>
  <c r="CO163" i="54"/>
  <c r="CI32" i="54"/>
  <c r="CI235" i="54"/>
  <c r="CJ235" i="54"/>
  <c r="CP120" i="54"/>
  <c r="CQ73" i="54"/>
  <c r="CP85" i="54"/>
  <c r="CG149" i="54"/>
  <c r="CP209" i="54"/>
  <c r="CH250" i="54"/>
  <c r="CQ98" i="54"/>
  <c r="CH92" i="54"/>
  <c r="CG245" i="54"/>
  <c r="CH73" i="54"/>
  <c r="CI135" i="54"/>
  <c r="CP194" i="54"/>
  <c r="CH230" i="54"/>
  <c r="CJ213" i="54"/>
  <c r="CJ66" i="54"/>
  <c r="CQ125" i="54"/>
  <c r="CG63" i="54"/>
  <c r="CJ73" i="54"/>
  <c r="CH135" i="54"/>
  <c r="CI194" i="54"/>
  <c r="CP230" i="54"/>
  <c r="CI213" i="54"/>
  <c r="CL213" i="54" s="1"/>
  <c r="CO209" i="54"/>
  <c r="CH11" i="54"/>
  <c r="CG70" i="54"/>
  <c r="CP126" i="54"/>
  <c r="CH266" i="54"/>
  <c r="CG190" i="54"/>
  <c r="CI47" i="54"/>
  <c r="CJ176" i="54"/>
  <c r="CC153" i="54"/>
  <c r="CK153" i="54" s="1"/>
  <c r="CI148" i="54"/>
  <c r="CG232" i="54"/>
  <c r="CC74" i="54"/>
  <c r="CK74" i="54" s="1"/>
  <c r="CH74" i="54"/>
  <c r="CJ74" i="54"/>
  <c r="CQ74" i="54"/>
  <c r="CG74" i="54"/>
  <c r="CP74" i="54"/>
  <c r="CC97" i="54"/>
  <c r="CK97" i="54" s="1"/>
  <c r="CG97" i="54"/>
  <c r="CP97" i="54"/>
  <c r="CO97" i="54"/>
  <c r="CJ97" i="54"/>
  <c r="CI97" i="54"/>
  <c r="CC26" i="54"/>
  <c r="CK26" i="54" s="1"/>
  <c r="CO26" i="54"/>
  <c r="CP26" i="54"/>
  <c r="CI26" i="54"/>
  <c r="CJ26" i="54"/>
  <c r="CG26" i="54"/>
  <c r="CC91" i="54"/>
  <c r="CK91" i="54" s="1"/>
  <c r="CQ91" i="54"/>
  <c r="CG91" i="54"/>
  <c r="CP91" i="54"/>
  <c r="CI91" i="54"/>
  <c r="CL91" i="54" s="1"/>
  <c r="CO91" i="54"/>
  <c r="CC193" i="54"/>
  <c r="CI193" i="54"/>
  <c r="CO193" i="54"/>
  <c r="CJ193" i="54"/>
  <c r="CH193" i="54"/>
  <c r="CQ193" i="54"/>
  <c r="CG156" i="54"/>
  <c r="CC156" i="54"/>
  <c r="CP156" i="54"/>
  <c r="CO156" i="54"/>
  <c r="CJ156" i="54"/>
  <c r="CI156" i="54"/>
  <c r="CC229" i="54"/>
  <c r="CH229" i="54"/>
  <c r="CJ229" i="54"/>
  <c r="CQ229" i="54"/>
  <c r="CG229" i="54"/>
  <c r="CO229" i="54"/>
  <c r="CP229" i="54"/>
  <c r="CC218" i="54"/>
  <c r="CK218" i="54" s="1"/>
  <c r="CG218" i="54"/>
  <c r="CQ218" i="54"/>
  <c r="CP218" i="54"/>
  <c r="CI218" i="54"/>
  <c r="CH218" i="54"/>
  <c r="CO218" i="54"/>
  <c r="CO262" i="54"/>
  <c r="CH262" i="54"/>
  <c r="CQ262" i="54"/>
  <c r="CI262" i="54"/>
  <c r="CJ262" i="54"/>
  <c r="CG262" i="54"/>
  <c r="CC262" i="54"/>
  <c r="CK262" i="54" s="1"/>
  <c r="CC77" i="54"/>
  <c r="CI77" i="54"/>
  <c r="CL77" i="54" s="1"/>
  <c r="CH77" i="54"/>
  <c r="CQ77" i="54"/>
  <c r="CP77" i="54"/>
  <c r="CG77" i="54"/>
  <c r="CO77" i="54"/>
  <c r="CO35" i="54"/>
  <c r="CJ35" i="54"/>
  <c r="CC35" i="54"/>
  <c r="CK35" i="54" s="1"/>
  <c r="CH35" i="54"/>
  <c r="CI35" i="54"/>
  <c r="CQ35" i="54"/>
  <c r="CG35" i="54"/>
  <c r="CC65" i="54"/>
  <c r="CP65" i="54"/>
  <c r="CG65" i="54"/>
  <c r="CO65" i="54"/>
  <c r="CJ65" i="54"/>
  <c r="CI65" i="54"/>
  <c r="CL65" i="54" s="1"/>
  <c r="CH65" i="54"/>
  <c r="CC64" i="54"/>
  <c r="CK64" i="54" s="1"/>
  <c r="CP64" i="54"/>
  <c r="CG64" i="54"/>
  <c r="CO64" i="54"/>
  <c r="CI64" i="54"/>
  <c r="CQ64" i="54"/>
  <c r="CJ64" i="54"/>
  <c r="CC225" i="54"/>
  <c r="CO225" i="54"/>
  <c r="CQ225" i="54"/>
  <c r="CG225" i="54"/>
  <c r="CJ225" i="54"/>
  <c r="CP225" i="54"/>
  <c r="CI225" i="54"/>
  <c r="CC109" i="54"/>
  <c r="CH109" i="54"/>
  <c r="CG109" i="54"/>
  <c r="CI109" i="54"/>
  <c r="CP109" i="54"/>
  <c r="CQ109" i="54"/>
  <c r="CO109" i="54"/>
  <c r="CC181" i="54"/>
  <c r="CK181" i="54" s="1"/>
  <c r="CI181" i="54"/>
  <c r="CL181" i="54" s="1"/>
  <c r="CJ181" i="54"/>
  <c r="CH181" i="54"/>
  <c r="CQ181" i="54"/>
  <c r="CP181" i="54"/>
  <c r="CC130" i="54"/>
  <c r="CK130" i="54" s="1"/>
  <c r="CH130" i="54"/>
  <c r="CP130" i="54"/>
  <c r="CG130" i="54"/>
  <c r="CQ130" i="54"/>
  <c r="CO130" i="54"/>
  <c r="CH93" i="54"/>
  <c r="CI93" i="54"/>
  <c r="CL93" i="54" s="1"/>
  <c r="CO93" i="54"/>
  <c r="CG93" i="54"/>
  <c r="CQ93" i="54"/>
  <c r="CC93" i="54"/>
  <c r="CK93" i="54" s="1"/>
  <c r="CC171" i="54"/>
  <c r="CK171" i="54" s="1"/>
  <c r="CP171" i="54"/>
  <c r="CI171" i="54"/>
  <c r="CJ171" i="54"/>
  <c r="CO171" i="54"/>
  <c r="CH171" i="54"/>
  <c r="CC129" i="54"/>
  <c r="CK129" i="54" s="1"/>
  <c r="CI129" i="54"/>
  <c r="CP129" i="54"/>
  <c r="CJ129" i="54"/>
  <c r="CH129" i="54"/>
  <c r="CO129" i="54"/>
  <c r="CC159" i="54"/>
  <c r="CK159" i="54" s="1"/>
  <c r="CP159" i="54"/>
  <c r="CI159" i="54"/>
  <c r="CH159" i="54"/>
  <c r="CJ159" i="54"/>
  <c r="CO159" i="54"/>
  <c r="CI152" i="54"/>
  <c r="CJ152" i="54"/>
  <c r="CH152" i="54"/>
  <c r="CC152" i="54"/>
  <c r="CK152" i="54" s="1"/>
  <c r="CG152" i="54"/>
  <c r="CC50" i="54"/>
  <c r="CK50" i="54" s="1"/>
  <c r="CI50" i="54"/>
  <c r="CG50" i="54"/>
  <c r="CJ50" i="54"/>
  <c r="CQ50" i="54"/>
  <c r="CH50" i="54"/>
  <c r="BF3" i="54"/>
  <c r="C16" i="54" a="1"/>
  <c r="C16" i="54" s="1"/>
  <c r="CI31" i="54"/>
  <c r="CO31" i="54"/>
  <c r="CG31" i="54"/>
  <c r="CG96" i="54"/>
  <c r="CQ96" i="54"/>
  <c r="CH167" i="54"/>
  <c r="CI167" i="54"/>
  <c r="CL167" i="54" s="1"/>
  <c r="CG167" i="54"/>
  <c r="CC185" i="54"/>
  <c r="CK185" i="54" s="1"/>
  <c r="CQ185" i="54"/>
  <c r="CP185" i="54"/>
  <c r="CG185" i="54"/>
  <c r="CO185" i="54"/>
  <c r="CJ185" i="54"/>
  <c r="CC169" i="54"/>
  <c r="CK169" i="54" s="1"/>
  <c r="CP169" i="54"/>
  <c r="CO169" i="54"/>
  <c r="CI169" i="54"/>
  <c r="CH169" i="54"/>
  <c r="CJ169" i="54"/>
  <c r="CG192" i="54"/>
  <c r="CP192" i="54"/>
  <c r="CI192" i="54"/>
  <c r="CO192" i="54"/>
  <c r="CJ192" i="54"/>
  <c r="CC192" i="54"/>
  <c r="CK192" i="54" s="1"/>
  <c r="CC141" i="54"/>
  <c r="CK141" i="54" s="1"/>
  <c r="CJ141" i="54"/>
  <c r="CH141" i="54"/>
  <c r="CQ141" i="54"/>
  <c r="CO141" i="54"/>
  <c r="CP141" i="54"/>
  <c r="CJ216" i="54"/>
  <c r="CI216" i="54"/>
  <c r="CQ216" i="54"/>
  <c r="CO216" i="54"/>
  <c r="CO18" i="54"/>
  <c r="CJ18" i="54"/>
  <c r="CG18" i="54"/>
  <c r="CG54" i="54"/>
  <c r="CH54" i="54"/>
  <c r="CC54" i="54"/>
  <c r="CK54" i="54" s="1"/>
  <c r="CQ54" i="54"/>
  <c r="CC10" i="54"/>
  <c r="CK10" i="54" s="1"/>
  <c r="CQ10" i="54"/>
  <c r="CI10" i="54"/>
  <c r="CJ10" i="54"/>
  <c r="CM10" i="54" s="1"/>
  <c r="CP10" i="54"/>
  <c r="CG10" i="54"/>
  <c r="CC267" i="54"/>
  <c r="CK267" i="54" s="1"/>
  <c r="CP267" i="54"/>
  <c r="CI267" i="54"/>
  <c r="CH267" i="54"/>
  <c r="CJ267" i="54"/>
  <c r="CO267" i="54"/>
  <c r="CO75" i="54"/>
  <c r="CH75" i="54"/>
  <c r="CG75" i="54"/>
  <c r="CQ75" i="54"/>
  <c r="CP75" i="54"/>
  <c r="CC75" i="54"/>
  <c r="CK75" i="54" s="1"/>
  <c r="CC42" i="54"/>
  <c r="CK42" i="54" s="1"/>
  <c r="CP42" i="54"/>
  <c r="CI42" i="54"/>
  <c r="CO42" i="54"/>
  <c r="CJ42" i="54"/>
  <c r="CH42" i="54"/>
  <c r="CC221" i="54"/>
  <c r="CK221" i="54" s="1"/>
  <c r="CI221" i="54"/>
  <c r="CH221" i="54"/>
  <c r="CO221" i="54"/>
  <c r="CQ221" i="54"/>
  <c r="CJ221" i="54"/>
  <c r="CM221" i="54" s="1"/>
  <c r="CC23" i="54"/>
  <c r="CK23" i="54" s="1"/>
  <c r="CO23" i="54"/>
  <c r="CJ23" i="54"/>
  <c r="CI23" i="54"/>
  <c r="CH23" i="54"/>
  <c r="CC105" i="54"/>
  <c r="CH105" i="54"/>
  <c r="CQ105" i="54"/>
  <c r="CG105" i="54"/>
  <c r="CP105" i="54"/>
  <c r="CI105" i="54"/>
  <c r="CC252" i="54"/>
  <c r="CO252" i="54"/>
  <c r="CJ252" i="54"/>
  <c r="CI252" i="54"/>
  <c r="CH252" i="54"/>
  <c r="CQ252" i="54"/>
  <c r="CH44" i="54"/>
  <c r="CP44" i="54"/>
  <c r="CO44" i="54"/>
  <c r="CI44" i="54"/>
  <c r="CI130" i="54"/>
  <c r="CL130" i="54" s="1"/>
  <c r="CP152" i="54"/>
  <c r="CR152" i="54" s="1" a="1"/>
  <c r="CR152" i="54" s="1"/>
  <c r="CO105" i="54"/>
  <c r="CQ169" i="54"/>
  <c r="CI75" i="54"/>
  <c r="CG42" i="54"/>
  <c r="CQ44" i="54"/>
  <c r="CI229" i="54"/>
  <c r="CH64" i="54"/>
  <c r="CP18" i="54"/>
  <c r="CG267" i="54"/>
  <c r="CQ192" i="54"/>
  <c r="CH185" i="54"/>
  <c r="CP252" i="54"/>
  <c r="CP221" i="54"/>
  <c r="CG23" i="54"/>
  <c r="CH26" i="54"/>
  <c r="CH91" i="54"/>
  <c r="CG193" i="54"/>
  <c r="CH156" i="54"/>
  <c r="CG181" i="54"/>
  <c r="CQ129" i="54"/>
  <c r="CH192" i="54"/>
  <c r="CI141" i="54"/>
  <c r="CL141" i="54" s="1"/>
  <c r="CI185" i="54"/>
  <c r="CL185" i="54" s="1"/>
  <c r="CG252" i="54"/>
  <c r="CG221" i="54"/>
  <c r="CQ23" i="54"/>
  <c r="CI74" i="54"/>
  <c r="CL74" i="54" s="1"/>
  <c r="CQ97" i="54"/>
  <c r="CQ26" i="54"/>
  <c r="CJ91" i="54"/>
  <c r="CJ218" i="54"/>
  <c r="CP35" i="54"/>
  <c r="CO181" i="54"/>
  <c r="CO96" i="54"/>
  <c r="CO54" i="54"/>
  <c r="CO74" i="54"/>
  <c r="CH97" i="54"/>
  <c r="CK32" i="54"/>
  <c r="CO119" i="54"/>
  <c r="CP243" i="54"/>
  <c r="CI154" i="54"/>
  <c r="CO40" i="54"/>
  <c r="CG76" i="54"/>
  <c r="CG81" i="54"/>
  <c r="CQ81" i="54"/>
  <c r="CH219" i="54"/>
  <c r="CQ128" i="54"/>
  <c r="CJ240" i="54"/>
  <c r="CI73" i="54"/>
  <c r="CH98" i="54"/>
  <c r="CP135" i="54"/>
  <c r="CJ92" i="54"/>
  <c r="CG194" i="54"/>
  <c r="CQ85" i="54"/>
  <c r="CQ230" i="54"/>
  <c r="CP213" i="54"/>
  <c r="CI149" i="54"/>
  <c r="CI66" i="54"/>
  <c r="CG209" i="54"/>
  <c r="CH245" i="54"/>
  <c r="CH125" i="54"/>
  <c r="CO63" i="54"/>
  <c r="CC114" i="54"/>
  <c r="CP119" i="54"/>
  <c r="CJ119" i="54"/>
  <c r="CQ243" i="54"/>
  <c r="CO154" i="54"/>
  <c r="CQ154" i="54"/>
  <c r="CH40" i="54"/>
  <c r="CP76" i="54"/>
  <c r="CO81" i="54"/>
  <c r="CJ219" i="54"/>
  <c r="CH128" i="54"/>
  <c r="CO240" i="54"/>
  <c r="CI240" i="54"/>
  <c r="CO73" i="54"/>
  <c r="CI98" i="54"/>
  <c r="CL98" i="54" s="1"/>
  <c r="CJ98" i="54"/>
  <c r="CQ135" i="54"/>
  <c r="CO92" i="54"/>
  <c r="CI92" i="54"/>
  <c r="CQ194" i="54"/>
  <c r="CJ85" i="54"/>
  <c r="CH85" i="54"/>
  <c r="CJ230" i="54"/>
  <c r="CG213" i="54"/>
  <c r="CQ213" i="54"/>
  <c r="CJ149" i="54"/>
  <c r="CO66" i="54"/>
  <c r="CQ209" i="54"/>
  <c r="CI245" i="54"/>
  <c r="CQ250" i="54"/>
  <c r="CI125" i="54"/>
  <c r="CK264" i="54"/>
  <c r="CQ119" i="54"/>
  <c r="CG243" i="54"/>
  <c r="CG154" i="54"/>
  <c r="CP40" i="54"/>
  <c r="CJ76" i="54"/>
  <c r="CH76" i="54"/>
  <c r="CH81" i="54"/>
  <c r="CI219" i="54"/>
  <c r="CJ128" i="54"/>
  <c r="CP240" i="54"/>
  <c r="CP73" i="54"/>
  <c r="CO98" i="54"/>
  <c r="CG135" i="54"/>
  <c r="CP92" i="54"/>
  <c r="CH194" i="54"/>
  <c r="CI85" i="54"/>
  <c r="CI230" i="54"/>
  <c r="CO213" i="54"/>
  <c r="CO149" i="54"/>
  <c r="CP66" i="54"/>
  <c r="CH209" i="54"/>
  <c r="CJ245" i="54"/>
  <c r="CG250" i="54"/>
  <c r="CP186" i="54"/>
  <c r="CG119" i="54"/>
  <c r="CO243" i="54"/>
  <c r="CP154" i="54"/>
  <c r="CG40" i="54"/>
  <c r="CI76" i="54"/>
  <c r="CJ81" i="54"/>
  <c r="CQ219" i="54"/>
  <c r="CR219" i="54" s="1" a="1"/>
  <c r="CR219" i="54" s="1"/>
  <c r="CT219" i="54" s="1"/>
  <c r="CP219" i="54"/>
  <c r="CP127" i="54"/>
  <c r="CG73" i="54"/>
  <c r="CP98" i="54"/>
  <c r="CO135" i="54"/>
  <c r="CG92" i="54"/>
  <c r="CJ194" i="54"/>
  <c r="CO85" i="54"/>
  <c r="CO230" i="54"/>
  <c r="CH213" i="54"/>
  <c r="CP149" i="54"/>
  <c r="CG66" i="54"/>
  <c r="CI209" i="54"/>
  <c r="CP245" i="54"/>
  <c r="CP250" i="54"/>
  <c r="CJ125" i="54"/>
  <c r="CC186" i="54"/>
  <c r="CH149" i="54"/>
  <c r="CH66" i="54"/>
  <c r="CJ209" i="54"/>
  <c r="CO245" i="54"/>
  <c r="CO250" i="54"/>
  <c r="CG125" i="54"/>
  <c r="CO186" i="54"/>
  <c r="CQ63" i="54"/>
  <c r="CJ250" i="54"/>
  <c r="CO125" i="54"/>
  <c r="CJ186" i="54"/>
  <c r="CH63" i="54"/>
  <c r="CI186" i="54"/>
  <c r="CP63" i="54"/>
  <c r="CI37" i="54"/>
  <c r="CP112" i="54"/>
  <c r="CC164" i="54"/>
  <c r="CK164" i="54" s="1"/>
  <c r="CO124" i="54"/>
  <c r="CQ34" i="54"/>
  <c r="CO170" i="54"/>
  <c r="CJ53" i="54"/>
  <c r="CQ189" i="54"/>
  <c r="CQ196" i="54"/>
  <c r="CG256" i="54"/>
  <c r="CG164" i="54"/>
  <c r="CI196" i="54"/>
  <c r="CH38" i="54"/>
  <c r="CQ88" i="54"/>
  <c r="CO153" i="54"/>
  <c r="CQ45" i="54"/>
  <c r="CH108" i="54"/>
  <c r="CG134" i="54"/>
  <c r="CP134" i="54"/>
  <c r="CG30" i="54"/>
  <c r="CP30" i="54"/>
  <c r="CP170" i="54"/>
  <c r="CO53" i="54"/>
  <c r="CO121" i="54"/>
  <c r="CI121" i="54"/>
  <c r="CG48" i="54"/>
  <c r="CP48" i="54"/>
  <c r="CJ38" i="54"/>
  <c r="CM38" i="54" s="1"/>
  <c r="CC38" i="54"/>
  <c r="CK38" i="54" s="1"/>
  <c r="CO37" i="54"/>
  <c r="CO88" i="54"/>
  <c r="CQ164" i="54"/>
  <c r="CH153" i="54"/>
  <c r="CG45" i="54"/>
  <c r="CG189" i="54"/>
  <c r="CO196" i="54"/>
  <c r="CG124" i="54"/>
  <c r="CP256" i="54"/>
  <c r="CH112" i="54"/>
  <c r="CO34" i="54"/>
  <c r="CJ266" i="54"/>
  <c r="CC48" i="54"/>
  <c r="CK48" i="54" s="1"/>
  <c r="CC189" i="54"/>
  <c r="CK189" i="54" s="1"/>
  <c r="CC256" i="54"/>
  <c r="CK256" i="54" s="1"/>
  <c r="CC88" i="54"/>
  <c r="CK88" i="54" s="1"/>
  <c r="CH134" i="54"/>
  <c r="CQ30" i="54"/>
  <c r="CG170" i="54"/>
  <c r="CP53" i="54"/>
  <c r="CP121" i="54"/>
  <c r="CQ48" i="54"/>
  <c r="CI38" i="54"/>
  <c r="CH37" i="54"/>
  <c r="CP37" i="54"/>
  <c r="CG88" i="54"/>
  <c r="CH164" i="54"/>
  <c r="CJ153" i="54"/>
  <c r="CO45" i="54"/>
  <c r="CO189" i="54"/>
  <c r="CG196" i="54"/>
  <c r="CP124" i="54"/>
  <c r="CH256" i="54"/>
  <c r="CJ112" i="54"/>
  <c r="CH34" i="54"/>
  <c r="CO266" i="54"/>
  <c r="CI266" i="54"/>
  <c r="CC45" i="54"/>
  <c r="CK45" i="54" s="1"/>
  <c r="CC121" i="54"/>
  <c r="CK121" i="54" s="1"/>
  <c r="CM121" i="54" s="1"/>
  <c r="CC170" i="54"/>
  <c r="CK170" i="54" s="1"/>
  <c r="CC196" i="54"/>
  <c r="CQ134" i="54"/>
  <c r="CH30" i="54"/>
  <c r="CQ170" i="54"/>
  <c r="CG53" i="54"/>
  <c r="CG121" i="54"/>
  <c r="CH48" i="54"/>
  <c r="CQ38" i="54"/>
  <c r="CG37" i="54"/>
  <c r="CP88" i="54"/>
  <c r="CJ164" i="54"/>
  <c r="CI153" i="54"/>
  <c r="CH45" i="54"/>
  <c r="CI189" i="54"/>
  <c r="CH189" i="54"/>
  <c r="CP196" i="54"/>
  <c r="CH124" i="54"/>
  <c r="CJ256" i="54"/>
  <c r="CQ112" i="54"/>
  <c r="CI112" i="54"/>
  <c r="CP34" i="54"/>
  <c r="CP266" i="54"/>
  <c r="CC37" i="54"/>
  <c r="CK37" i="54" s="1"/>
  <c r="CC30" i="54"/>
  <c r="CK30" i="54" s="1"/>
  <c r="CJ134" i="54"/>
  <c r="CJ30" i="54"/>
  <c r="CJ170" i="54"/>
  <c r="CH170" i="54"/>
  <c r="CH53" i="54"/>
  <c r="CQ53" i="54"/>
  <c r="CQ121" i="54"/>
  <c r="CJ48" i="54"/>
  <c r="CO38" i="54"/>
  <c r="CQ37" i="54"/>
  <c r="CH88" i="54"/>
  <c r="CO164" i="54"/>
  <c r="CI164" i="54"/>
  <c r="CP153" i="54"/>
  <c r="CJ45" i="54"/>
  <c r="CJ189" i="54"/>
  <c r="CP25" i="54"/>
  <c r="CH196" i="54"/>
  <c r="CI124" i="54"/>
  <c r="CJ124" i="54"/>
  <c r="CI256" i="54"/>
  <c r="CO112" i="54"/>
  <c r="CJ34" i="54"/>
  <c r="CG34" i="54"/>
  <c r="CG266" i="54"/>
  <c r="CC266" i="54"/>
  <c r="CK266" i="54" s="1"/>
  <c r="CC112" i="54"/>
  <c r="CK112" i="54" s="1"/>
  <c r="CI134" i="54"/>
  <c r="CI53" i="54"/>
  <c r="CG153" i="54"/>
  <c r="CP45" i="54"/>
  <c r="CO16" i="54"/>
  <c r="CQ124" i="54"/>
  <c r="CO256" i="54"/>
  <c r="CI34" i="54"/>
  <c r="CK253" i="54"/>
  <c r="CQ103" i="54"/>
  <c r="CQ198" i="54"/>
  <c r="CO182" i="54"/>
  <c r="CJ78" i="54"/>
  <c r="CG160" i="54"/>
  <c r="CO160" i="54"/>
  <c r="CJ100" i="54"/>
  <c r="CG191" i="54"/>
  <c r="CO19" i="54"/>
  <c r="CP182" i="54"/>
  <c r="CC78" i="54"/>
  <c r="CK78" i="54" s="1"/>
  <c r="CO41" i="54"/>
  <c r="CH90" i="54"/>
  <c r="CP160" i="54"/>
  <c r="CH143" i="54"/>
  <c r="CI100" i="54"/>
  <c r="CQ146" i="54"/>
  <c r="CQ139" i="54"/>
  <c r="CG182" i="54"/>
  <c r="CH199" i="54"/>
  <c r="CH160" i="54"/>
  <c r="CQ143" i="54"/>
  <c r="CJ101" i="54"/>
  <c r="CO100" i="54"/>
  <c r="CQ100" i="54"/>
  <c r="CI255" i="54"/>
  <c r="CJ182" i="54"/>
  <c r="CQ182" i="54"/>
  <c r="CJ160" i="54"/>
  <c r="CI101" i="54"/>
  <c r="CG100" i="54"/>
  <c r="CJ255" i="54"/>
  <c r="CI61" i="54"/>
  <c r="CO161" i="54"/>
  <c r="CH182" i="54"/>
  <c r="CQ211" i="54"/>
  <c r="CJ142" i="54"/>
  <c r="CI160" i="54"/>
  <c r="CP100" i="54"/>
  <c r="CP79" i="54"/>
  <c r="CQ191" i="54"/>
  <c r="CG251" i="54"/>
  <c r="CQ178" i="54"/>
  <c r="CO56" i="54"/>
  <c r="CQ188" i="54"/>
  <c r="CO79" i="54"/>
  <c r="CH179" i="54"/>
  <c r="CH191" i="54"/>
  <c r="CI36" i="54"/>
  <c r="CG165" i="54"/>
  <c r="CI56" i="54"/>
  <c r="CI173" i="54"/>
  <c r="CC41" i="54"/>
  <c r="CK41" i="54" s="1"/>
  <c r="CC205" i="54"/>
  <c r="CK205" i="54" s="1"/>
  <c r="CJ191" i="54"/>
  <c r="CI191" i="54"/>
  <c r="CO215" i="54"/>
  <c r="CQ17" i="54"/>
  <c r="CP258" i="54"/>
  <c r="CJ248" i="54"/>
  <c r="CQ165" i="54"/>
  <c r="CH244" i="54"/>
  <c r="CG223" i="54"/>
  <c r="CQ258" i="54"/>
  <c r="CH248" i="54"/>
  <c r="CG183" i="54"/>
  <c r="CG205" i="54"/>
  <c r="CC19" i="54"/>
  <c r="CP191" i="54"/>
  <c r="CI94" i="54"/>
  <c r="CO24" i="54"/>
  <c r="CI150" i="54"/>
  <c r="CQ183" i="54"/>
  <c r="CI249" i="54"/>
  <c r="CQ228" i="54"/>
  <c r="CC25" i="54"/>
  <c r="CC117" i="54"/>
  <c r="CK29" i="54"/>
  <c r="CH186" i="54"/>
  <c r="CQ186" i="54"/>
  <c r="CI63" i="54"/>
  <c r="CJ63" i="54"/>
  <c r="CC167" i="54"/>
  <c r="CK167" i="54" s="1"/>
  <c r="CI220" i="54"/>
  <c r="CH87" i="54"/>
  <c r="CQ257" i="54"/>
  <c r="CQ27" i="54"/>
  <c r="CP226" i="54"/>
  <c r="CO87" i="54"/>
  <c r="CO122" i="54"/>
  <c r="CQ162" i="54"/>
  <c r="CO114" i="54"/>
  <c r="CH202" i="54"/>
  <c r="CI122" i="54"/>
  <c r="CO127" i="54"/>
  <c r="CI95" i="54"/>
  <c r="CP102" i="54"/>
  <c r="CG166" i="54"/>
  <c r="CH172" i="54"/>
  <c r="CO28" i="54"/>
  <c r="CH60" i="54"/>
  <c r="CP67" i="54"/>
  <c r="CJ14" i="54"/>
  <c r="CK82" i="54"/>
  <c r="CH138" i="54"/>
  <c r="CH21" i="54"/>
  <c r="CP177" i="54"/>
  <c r="CC96" i="54"/>
  <c r="CK96" i="54" s="1"/>
  <c r="CK243" i="54"/>
  <c r="CH226" i="54"/>
  <c r="CI257" i="54"/>
  <c r="CH257" i="54"/>
  <c r="CO220" i="54"/>
  <c r="CG59" i="54"/>
  <c r="CH28" i="54"/>
  <c r="CJ95" i="54"/>
  <c r="CO27" i="54"/>
  <c r="CG102" i="54"/>
  <c r="CJ87" i="54"/>
  <c r="CJ60" i="54"/>
  <c r="CP122" i="54"/>
  <c r="CJ208" i="54"/>
  <c r="CP114" i="54"/>
  <c r="CH114" i="54"/>
  <c r="CG67" i="54"/>
  <c r="CG127" i="54"/>
  <c r="CJ162" i="54"/>
  <c r="CH162" i="54"/>
  <c r="CQ206" i="54"/>
  <c r="CJ265" i="54"/>
  <c r="CI202" i="54"/>
  <c r="CI226" i="54"/>
  <c r="CJ226" i="54"/>
  <c r="CJ257" i="54"/>
  <c r="CG220" i="54"/>
  <c r="CQ59" i="54"/>
  <c r="CP28" i="54"/>
  <c r="CO95" i="54"/>
  <c r="CG27" i="54"/>
  <c r="CQ102" i="54"/>
  <c r="CI87" i="54"/>
  <c r="CI60" i="54"/>
  <c r="CG122" i="54"/>
  <c r="CI208" i="54"/>
  <c r="CQ114" i="54"/>
  <c r="CR114" i="54" s="1" a="1"/>
  <c r="CR114" i="54" s="1"/>
  <c r="CT114" i="54" s="1"/>
  <c r="CQ67" i="54"/>
  <c r="CQ127" i="54"/>
  <c r="CI162" i="54"/>
  <c r="CH206" i="54"/>
  <c r="CH224" i="54"/>
  <c r="CK133" i="54"/>
  <c r="CM133" i="54" s="1"/>
  <c r="CC214" i="54"/>
  <c r="CK214" i="54" s="1"/>
  <c r="CC126" i="54"/>
  <c r="CK215" i="54"/>
  <c r="CO202" i="54"/>
  <c r="CQ202" i="54"/>
  <c r="CQ226" i="54"/>
  <c r="CO257" i="54"/>
  <c r="CP220" i="54"/>
  <c r="CH59" i="54"/>
  <c r="CG28" i="54"/>
  <c r="CH95" i="54"/>
  <c r="CP95" i="54"/>
  <c r="CJ27" i="54"/>
  <c r="CM27" i="54" s="1"/>
  <c r="CI102" i="54"/>
  <c r="CH102" i="54"/>
  <c r="CP87" i="54"/>
  <c r="CP60" i="54"/>
  <c r="CO60" i="54"/>
  <c r="CQ122" i="54"/>
  <c r="CO208" i="54"/>
  <c r="CQ208" i="54"/>
  <c r="CG114" i="54"/>
  <c r="CH67" i="54"/>
  <c r="CH127" i="54"/>
  <c r="CO162" i="54"/>
  <c r="CP222" i="54"/>
  <c r="CI147" i="54"/>
  <c r="CP197" i="54"/>
  <c r="CC177" i="54"/>
  <c r="CC172" i="54"/>
  <c r="CJ202" i="54"/>
  <c r="CP202" i="54"/>
  <c r="CO226" i="54"/>
  <c r="CP257" i="54"/>
  <c r="CH220" i="54"/>
  <c r="CI59" i="54"/>
  <c r="CL59" i="54" s="1"/>
  <c r="CI28" i="54"/>
  <c r="CJ28" i="54"/>
  <c r="CQ95" i="54"/>
  <c r="CI27" i="54"/>
  <c r="CJ102" i="54"/>
  <c r="CQ87" i="54"/>
  <c r="CG60" i="54"/>
  <c r="CH122" i="54"/>
  <c r="CG208" i="54"/>
  <c r="CJ114" i="54"/>
  <c r="CJ67" i="54"/>
  <c r="CJ127" i="54"/>
  <c r="CP162" i="54"/>
  <c r="CQ222" i="54"/>
  <c r="CI207" i="54"/>
  <c r="CQ118" i="54"/>
  <c r="CO15" i="54"/>
  <c r="CP236" i="54"/>
  <c r="CJ172" i="54"/>
  <c r="CG202" i="54"/>
  <c r="CG226" i="54"/>
  <c r="CG257" i="54"/>
  <c r="CJ220" i="54"/>
  <c r="CO59" i="54"/>
  <c r="CJ59" i="54"/>
  <c r="CQ28" i="54"/>
  <c r="CG95" i="54"/>
  <c r="CP27" i="54"/>
  <c r="CO102" i="54"/>
  <c r="CG87" i="54"/>
  <c r="CQ60" i="54"/>
  <c r="CJ122" i="54"/>
  <c r="CP208" i="54"/>
  <c r="CO67" i="54"/>
  <c r="CI67" i="54"/>
  <c r="CI127" i="54"/>
  <c r="CL127" i="54" s="1"/>
  <c r="CG162" i="54"/>
  <c r="CG118" i="54"/>
  <c r="CQ33" i="54"/>
  <c r="CH46" i="54"/>
  <c r="CQ21" i="54"/>
  <c r="CQ157" i="54"/>
  <c r="CK220" i="54"/>
  <c r="CK27" i="54"/>
  <c r="CK122" i="54"/>
  <c r="CK127" i="54"/>
  <c r="CJ222" i="54"/>
  <c r="CP207" i="54"/>
  <c r="CP118" i="54"/>
  <c r="CI15" i="54"/>
  <c r="CG147" i="54"/>
  <c r="CO86" i="54"/>
  <c r="CI136" i="54"/>
  <c r="CO138" i="54"/>
  <c r="CI13" i="54"/>
  <c r="CO177" i="54"/>
  <c r="CJ46" i="54"/>
  <c r="CG21" i="54"/>
  <c r="CO21" i="54"/>
  <c r="CJ206" i="54"/>
  <c r="CG236" i="54"/>
  <c r="CH157" i="54"/>
  <c r="CO265" i="54"/>
  <c r="CI265" i="54"/>
  <c r="CJ224" i="54"/>
  <c r="CC206" i="54"/>
  <c r="CK206" i="54" s="1"/>
  <c r="CC265" i="54"/>
  <c r="CK265" i="54" s="1"/>
  <c r="CQ207" i="54"/>
  <c r="CJ147" i="54"/>
  <c r="CQ86" i="54"/>
  <c r="CG136" i="54"/>
  <c r="CQ138" i="54"/>
  <c r="CH175" i="54"/>
  <c r="CQ13" i="54"/>
  <c r="CJ21" i="54"/>
  <c r="CM21" i="54" s="1"/>
  <c r="CO206" i="54"/>
  <c r="CI206" i="54"/>
  <c r="CQ236" i="54"/>
  <c r="CJ157" i="54"/>
  <c r="CP265" i="54"/>
  <c r="CO224" i="54"/>
  <c r="CI224" i="54"/>
  <c r="CC157" i="54"/>
  <c r="CK157" i="54" s="1"/>
  <c r="CK179" i="54"/>
  <c r="CI222" i="54"/>
  <c r="CO207" i="54"/>
  <c r="CO175" i="54"/>
  <c r="CI132" i="54"/>
  <c r="CI21" i="54"/>
  <c r="CP206" i="54"/>
  <c r="CH236" i="54"/>
  <c r="CI157" i="54"/>
  <c r="CG265" i="54"/>
  <c r="CP224" i="54"/>
  <c r="CO222" i="54"/>
  <c r="CJ207" i="54"/>
  <c r="CJ33" i="54"/>
  <c r="CG132" i="54"/>
  <c r="CO234" i="54"/>
  <c r="CP21" i="54"/>
  <c r="CI236" i="54"/>
  <c r="CJ236" i="54"/>
  <c r="CO157" i="54"/>
  <c r="CQ265" i="54"/>
  <c r="CG224" i="54"/>
  <c r="CC236" i="54"/>
  <c r="CK236" i="54" s="1"/>
  <c r="CC254" i="54"/>
  <c r="CC138" i="54"/>
  <c r="CQ234" i="54"/>
  <c r="CI197" i="54"/>
  <c r="CG157" i="54"/>
  <c r="CQ224" i="54"/>
  <c r="CI211" i="54"/>
  <c r="CH41" i="54"/>
  <c r="CQ106" i="54"/>
  <c r="CG143" i="54"/>
  <c r="CG101" i="54"/>
  <c r="CG255" i="54"/>
  <c r="CH204" i="54"/>
  <c r="CG203" i="54"/>
  <c r="CQ195" i="54"/>
  <c r="CI110" i="54"/>
  <c r="CP179" i="54"/>
  <c r="CO179" i="54"/>
  <c r="CJ205" i="54"/>
  <c r="CG173" i="54"/>
  <c r="CP173" i="54"/>
  <c r="CI228" i="54"/>
  <c r="CO244" i="54"/>
  <c r="CQ244" i="54"/>
  <c r="CJ223" i="54"/>
  <c r="CC143" i="54"/>
  <c r="CK143" i="54" s="1"/>
  <c r="CC228" i="54"/>
  <c r="CK228" i="54" s="1"/>
  <c r="CC255" i="54"/>
  <c r="CK255" i="54" s="1"/>
  <c r="CI83" i="54"/>
  <c r="CH78" i="54"/>
  <c r="CO199" i="54"/>
  <c r="CG142" i="54"/>
  <c r="CO83" i="54"/>
  <c r="CC83" i="54"/>
  <c r="CI78" i="54"/>
  <c r="CP211" i="54"/>
  <c r="CO211" i="54"/>
  <c r="CI41" i="54"/>
  <c r="CG199" i="54"/>
  <c r="CP199" i="54"/>
  <c r="CO106" i="54"/>
  <c r="CG90" i="54"/>
  <c r="CP90" i="54"/>
  <c r="CP142" i="54"/>
  <c r="CJ143" i="54"/>
  <c r="CQ101" i="54"/>
  <c r="CO255" i="54"/>
  <c r="CI254" i="54"/>
  <c r="CJ118" i="54"/>
  <c r="CH118" i="54"/>
  <c r="CP15" i="54"/>
  <c r="CO147" i="54"/>
  <c r="CP203" i="54"/>
  <c r="CP86" i="54"/>
  <c r="CP84" i="54"/>
  <c r="CQ136" i="54"/>
  <c r="CI33" i="54"/>
  <c r="CJ138" i="54"/>
  <c r="CG175" i="54"/>
  <c r="CP175" i="54"/>
  <c r="CQ132" i="54"/>
  <c r="CP195" i="54"/>
  <c r="CP234" i="54"/>
  <c r="CJ197" i="54"/>
  <c r="CH13" i="54"/>
  <c r="CJ13" i="54"/>
  <c r="CQ177" i="54"/>
  <c r="CQ217" i="54"/>
  <c r="CP46" i="54"/>
  <c r="CG179" i="54"/>
  <c r="CH31" i="54"/>
  <c r="CP31" i="54"/>
  <c r="CP216" i="54"/>
  <c r="CO205" i="54"/>
  <c r="CI205" i="54"/>
  <c r="CQ173" i="54"/>
  <c r="CJ96" i="54"/>
  <c r="CH96" i="54"/>
  <c r="CQ18" i="54"/>
  <c r="CP228" i="54"/>
  <c r="CO228" i="54"/>
  <c r="CG244" i="54"/>
  <c r="CO167" i="54"/>
  <c r="CJ167" i="54"/>
  <c r="CJ54" i="54"/>
  <c r="CM54" i="54" s="1"/>
  <c r="CO223" i="54"/>
  <c r="CI223" i="54"/>
  <c r="CK200" i="54"/>
  <c r="CK212" i="54"/>
  <c r="CM212" i="54" s="1"/>
  <c r="CC101" i="54"/>
  <c r="CK101" i="54" s="1"/>
  <c r="CC223" i="54"/>
  <c r="CC13" i="54"/>
  <c r="CC197" i="54"/>
  <c r="CK197" i="54" s="1"/>
  <c r="CC46" i="54"/>
  <c r="CK46" i="54" s="1"/>
  <c r="CJ83" i="54"/>
  <c r="CO90" i="54"/>
  <c r="CP83" i="54"/>
  <c r="CP78" i="54"/>
  <c r="CO78" i="54"/>
  <c r="CG211" i="54"/>
  <c r="CJ41" i="54"/>
  <c r="CQ199" i="54"/>
  <c r="CG106" i="54"/>
  <c r="CL106" i="54" s="1"/>
  <c r="CQ90" i="54"/>
  <c r="CH142" i="54"/>
  <c r="CO143" i="54"/>
  <c r="CH101" i="54"/>
  <c r="CH255" i="54"/>
  <c r="CJ254" i="54"/>
  <c r="CG222" i="54"/>
  <c r="CJ108" i="54"/>
  <c r="CG207" i="54"/>
  <c r="CI118" i="54"/>
  <c r="CH15" i="54"/>
  <c r="CQ15" i="54"/>
  <c r="CH147" i="54"/>
  <c r="CG86" i="54"/>
  <c r="CO84" i="54"/>
  <c r="CO136" i="54"/>
  <c r="CQ227" i="54"/>
  <c r="CP33" i="54"/>
  <c r="CI138" i="54"/>
  <c r="CQ175" i="54"/>
  <c r="CJ132" i="54"/>
  <c r="CH132" i="54"/>
  <c r="CG234" i="54"/>
  <c r="CO117" i="54"/>
  <c r="CO197" i="54"/>
  <c r="CG13" i="54"/>
  <c r="CG177" i="54"/>
  <c r="CG46" i="54"/>
  <c r="CQ179" i="54"/>
  <c r="CQ31" i="54"/>
  <c r="CG216" i="54"/>
  <c r="CP205" i="54"/>
  <c r="CH173" i="54"/>
  <c r="CI96" i="54"/>
  <c r="CL96" i="54" s="1"/>
  <c r="CH18" i="54"/>
  <c r="CG228" i="54"/>
  <c r="CP244" i="54"/>
  <c r="CP167" i="54"/>
  <c r="CI54" i="54"/>
  <c r="CP223" i="54"/>
  <c r="CC33" i="54"/>
  <c r="CK33" i="54" s="1"/>
  <c r="CC142" i="54"/>
  <c r="CK142" i="54" s="1"/>
  <c r="CC234" i="54"/>
  <c r="CK234" i="54" s="1"/>
  <c r="CC106" i="54"/>
  <c r="CK106" i="54" s="1"/>
  <c r="CC175" i="54"/>
  <c r="CC147" i="54"/>
  <c r="CK202" i="54"/>
  <c r="CQ83" i="54"/>
  <c r="CG78" i="54"/>
  <c r="CH211" i="54"/>
  <c r="CG41" i="54"/>
  <c r="CP41" i="54"/>
  <c r="CJ199" i="54"/>
  <c r="CJ106" i="54"/>
  <c r="CH106" i="54"/>
  <c r="CJ90" i="54"/>
  <c r="CQ142" i="54"/>
  <c r="CI142" i="54"/>
  <c r="CP143" i="54"/>
  <c r="CO101" i="54"/>
  <c r="CP255" i="54"/>
  <c r="CH222" i="54"/>
  <c r="CH207" i="54"/>
  <c r="CO25" i="54"/>
  <c r="CO118" i="54"/>
  <c r="CI168" i="54"/>
  <c r="CG15" i="54"/>
  <c r="CP147" i="54"/>
  <c r="CJ86" i="54"/>
  <c r="CH86" i="54"/>
  <c r="CP136" i="54"/>
  <c r="CH33" i="54"/>
  <c r="CP138" i="54"/>
  <c r="CQ237" i="54"/>
  <c r="CJ175" i="54"/>
  <c r="CO132" i="54"/>
  <c r="CJ234" i="54"/>
  <c r="CH234" i="54"/>
  <c r="CG197" i="54"/>
  <c r="CH80" i="54"/>
  <c r="CO13" i="54"/>
  <c r="CJ177" i="54"/>
  <c r="CH177" i="54"/>
  <c r="CQ46" i="54"/>
  <c r="CI46" i="54"/>
  <c r="CI179" i="54"/>
  <c r="CL179" i="54" s="1"/>
  <c r="CJ31" i="54"/>
  <c r="CH216" i="54"/>
  <c r="CQ205" i="54"/>
  <c r="CJ173" i="54"/>
  <c r="CP96" i="54"/>
  <c r="CI18" i="54"/>
  <c r="CH228" i="54"/>
  <c r="CJ244" i="54"/>
  <c r="CQ167" i="54"/>
  <c r="CP54" i="54"/>
  <c r="CQ223" i="54"/>
  <c r="CC211" i="54"/>
  <c r="CK211" i="54" s="1"/>
  <c r="CM211" i="54" s="1"/>
  <c r="CC31" i="54"/>
  <c r="CK31" i="54" s="1"/>
  <c r="CC244" i="54"/>
  <c r="CC18" i="54"/>
  <c r="CK18" i="54" s="1"/>
  <c r="CC216" i="54"/>
  <c r="CK216" i="54" s="1"/>
  <c r="CO145" i="54"/>
  <c r="CQ104" i="54"/>
  <c r="CQ62" i="54"/>
  <c r="CG140" i="54"/>
  <c r="CI20" i="54"/>
  <c r="CQ151" i="54"/>
  <c r="CO49" i="54"/>
  <c r="CI199" i="54"/>
  <c r="CL199" i="54" s="1"/>
  <c r="CI90" i="54"/>
  <c r="CL90" i="54" s="1"/>
  <c r="CJ168" i="54"/>
  <c r="CJ15" i="54"/>
  <c r="CJ204" i="54"/>
  <c r="CI86" i="54"/>
  <c r="CJ136" i="54"/>
  <c r="CH136" i="54"/>
  <c r="CG33" i="54"/>
  <c r="CI52" i="54"/>
  <c r="CP132" i="54"/>
  <c r="CH197" i="54"/>
  <c r="CJ179" i="54"/>
  <c r="CO173" i="54"/>
  <c r="CK76" i="54"/>
  <c r="CK71" i="54"/>
  <c r="CL71" i="54" s="1"/>
  <c r="CP145" i="54"/>
  <c r="CH104" i="54"/>
  <c r="CH62" i="54"/>
  <c r="CQ140" i="54"/>
  <c r="CO20" i="54"/>
  <c r="CJ151" i="54"/>
  <c r="CP49" i="54"/>
  <c r="CO254" i="54"/>
  <c r="CI108" i="54"/>
  <c r="CH25" i="54"/>
  <c r="CO168" i="54"/>
  <c r="CI204" i="54"/>
  <c r="CQ203" i="54"/>
  <c r="CG84" i="54"/>
  <c r="CJ227" i="54"/>
  <c r="CH227" i="54"/>
  <c r="CH16" i="54"/>
  <c r="CG237" i="54"/>
  <c r="CQ52" i="54"/>
  <c r="CG195" i="54"/>
  <c r="CJ117" i="54"/>
  <c r="CH117" i="54"/>
  <c r="CJ80" i="54"/>
  <c r="CO110" i="54"/>
  <c r="CJ110" i="54"/>
  <c r="CJ217" i="54"/>
  <c r="CC145" i="54"/>
  <c r="CC62" i="54"/>
  <c r="CC108" i="54"/>
  <c r="CK108" i="54" s="1"/>
  <c r="CC204" i="54"/>
  <c r="CK204" i="54" s="1"/>
  <c r="CC84" i="54"/>
  <c r="CK84" i="54" s="1"/>
  <c r="CL84" i="54" s="1"/>
  <c r="CG145" i="54"/>
  <c r="CJ104" i="54"/>
  <c r="CJ62" i="54"/>
  <c r="CH140" i="54"/>
  <c r="CP20" i="54"/>
  <c r="CI151" i="54"/>
  <c r="CH49" i="54"/>
  <c r="CP254" i="54"/>
  <c r="CO108" i="54"/>
  <c r="CQ25" i="54"/>
  <c r="CP168" i="54"/>
  <c r="CO204" i="54"/>
  <c r="CH203" i="54"/>
  <c r="CQ84" i="54"/>
  <c r="CI227" i="54"/>
  <c r="CC227" i="54"/>
  <c r="CP16" i="54"/>
  <c r="CO237" i="54"/>
  <c r="CJ52" i="54"/>
  <c r="CO195" i="54"/>
  <c r="CI117" i="54"/>
  <c r="CL117" i="54" s="1"/>
  <c r="CI80" i="54"/>
  <c r="CP110" i="54"/>
  <c r="CH217" i="54"/>
  <c r="CI217" i="54"/>
  <c r="CC140" i="54"/>
  <c r="CK140" i="54" s="1"/>
  <c r="CC151" i="54"/>
  <c r="CK151" i="54" s="1"/>
  <c r="CQ145" i="54"/>
  <c r="CI104" i="54"/>
  <c r="CI62" i="54"/>
  <c r="CJ140" i="54"/>
  <c r="CH20" i="54"/>
  <c r="CO151" i="54"/>
  <c r="CQ49" i="54"/>
  <c r="CG254" i="54"/>
  <c r="CP108" i="54"/>
  <c r="CR108" i="54" s="1" a="1"/>
  <c r="CR108" i="54" s="1"/>
  <c r="CG25" i="54"/>
  <c r="CG168" i="54"/>
  <c r="CP204" i="54"/>
  <c r="CI203" i="54"/>
  <c r="CH84" i="54"/>
  <c r="CO227" i="54"/>
  <c r="CG16" i="54"/>
  <c r="CJ16" i="54"/>
  <c r="CH237" i="54"/>
  <c r="CO52" i="54"/>
  <c r="CH195" i="54"/>
  <c r="CP117" i="54"/>
  <c r="CP80" i="54"/>
  <c r="CO80" i="54"/>
  <c r="CQ110" i="54"/>
  <c r="CO217" i="54"/>
  <c r="CC217" i="54"/>
  <c r="CK217" i="54" s="1"/>
  <c r="CC80" i="54"/>
  <c r="CJ145" i="54"/>
  <c r="CH145" i="54"/>
  <c r="CP104" i="54"/>
  <c r="CO104" i="54"/>
  <c r="CP62" i="54"/>
  <c r="CO62" i="54"/>
  <c r="CI140" i="54"/>
  <c r="CO140" i="54"/>
  <c r="CG20" i="54"/>
  <c r="CQ20" i="54"/>
  <c r="CG151" i="54"/>
  <c r="CP151" i="54"/>
  <c r="CJ49" i="54"/>
  <c r="CG49" i="54"/>
  <c r="CQ254" i="54"/>
  <c r="CG108" i="54"/>
  <c r="CJ25" i="54"/>
  <c r="CQ168" i="54"/>
  <c r="CG204" i="54"/>
  <c r="CJ203" i="54"/>
  <c r="CJ84" i="54"/>
  <c r="CP227" i="54"/>
  <c r="CI16" i="54"/>
  <c r="CI237" i="54"/>
  <c r="CJ237" i="54"/>
  <c r="CH52" i="54"/>
  <c r="CJ195" i="54"/>
  <c r="CQ117" i="54"/>
  <c r="CG80" i="54"/>
  <c r="CG110" i="54"/>
  <c r="CP217" i="54"/>
  <c r="CC104" i="54"/>
  <c r="CK104" i="54" s="1"/>
  <c r="CC49" i="54"/>
  <c r="CC195" i="54"/>
  <c r="CJ20" i="54"/>
  <c r="CH168" i="54"/>
  <c r="CO203" i="54"/>
  <c r="CQ16" i="54"/>
  <c r="CP237" i="54"/>
  <c r="CG52" i="54"/>
  <c r="CP52" i="54"/>
  <c r="CH110" i="54"/>
  <c r="CM262" i="54"/>
  <c r="CK136" i="54"/>
  <c r="CV6" i="54"/>
  <c r="CK250" i="54"/>
  <c r="CL250" i="54" s="1"/>
  <c r="CK252" i="54"/>
  <c r="CK28" i="54"/>
  <c r="CK16" i="54"/>
  <c r="CH69" i="54"/>
  <c r="CO69" i="54"/>
  <c r="CO263" i="54"/>
  <c r="CJ72" i="54"/>
  <c r="CQ246" i="54"/>
  <c r="CO137" i="54"/>
  <c r="CH12" i="54"/>
  <c r="CP214" i="54"/>
  <c r="CQ264" i="54"/>
  <c r="CI11" i="54"/>
  <c r="CP232" i="54"/>
  <c r="CP190" i="54"/>
  <c r="CG268" i="54"/>
  <c r="CQ148" i="54"/>
  <c r="CP70" i="54"/>
  <c r="CP39" i="54"/>
  <c r="CO47" i="54"/>
  <c r="CJ47" i="54"/>
  <c r="CQ247" i="54"/>
  <c r="CI176" i="54"/>
  <c r="CQ55" i="54"/>
  <c r="CI187" i="54"/>
  <c r="CQ126" i="54"/>
  <c r="CP14" i="54"/>
  <c r="CI14" i="54"/>
  <c r="CP166" i="54"/>
  <c r="CK44" i="54"/>
  <c r="CC187" i="54"/>
  <c r="CK187" i="54" s="1"/>
  <c r="CC14" i="54"/>
  <c r="CC247" i="54"/>
  <c r="CK247" i="54" s="1"/>
  <c r="CC176" i="54"/>
  <c r="CK174" i="54"/>
  <c r="CJ69" i="54"/>
  <c r="CC69" i="54"/>
  <c r="CK69" i="54" s="1"/>
  <c r="CP263" i="54"/>
  <c r="CI263" i="54"/>
  <c r="CO72" i="54"/>
  <c r="CI72" i="54"/>
  <c r="CJ246" i="54"/>
  <c r="CH246" i="54"/>
  <c r="CG137" i="54"/>
  <c r="CP137" i="54"/>
  <c r="CI12" i="54"/>
  <c r="CJ12" i="54"/>
  <c r="CJ214" i="54"/>
  <c r="CH214" i="54"/>
  <c r="CJ264" i="54"/>
  <c r="CH264" i="54"/>
  <c r="CL210" i="54"/>
  <c r="CJ11" i="54"/>
  <c r="CH232" i="54"/>
  <c r="CH190" i="54"/>
  <c r="CP268" i="54"/>
  <c r="CO148" i="54"/>
  <c r="CH70" i="54"/>
  <c r="CQ39" i="54"/>
  <c r="CP47" i="54"/>
  <c r="CJ247" i="54"/>
  <c r="CH247" i="54"/>
  <c r="CO176" i="54"/>
  <c r="CG55" i="54"/>
  <c r="CO187" i="54"/>
  <c r="CH126" i="54"/>
  <c r="CO14" i="54"/>
  <c r="CH166" i="54"/>
  <c r="CL158" i="54"/>
  <c r="CL172" i="54"/>
  <c r="CC72" i="54"/>
  <c r="CK72" i="54" s="1"/>
  <c r="CC39" i="54"/>
  <c r="CK39" i="54" s="1"/>
  <c r="CI69" i="54"/>
  <c r="CQ263" i="54"/>
  <c r="CP72" i="54"/>
  <c r="CI246" i="54"/>
  <c r="CQ137" i="54"/>
  <c r="CO12" i="54"/>
  <c r="CI214" i="54"/>
  <c r="CI264" i="54"/>
  <c r="CL180" i="54"/>
  <c r="CL131" i="54"/>
  <c r="CO11" i="54"/>
  <c r="CJ232" i="54"/>
  <c r="CJ190" i="54"/>
  <c r="CH268" i="54"/>
  <c r="CG148" i="54"/>
  <c r="CJ70" i="54"/>
  <c r="CG39" i="54"/>
  <c r="CG47" i="54"/>
  <c r="CI247" i="54"/>
  <c r="CG176" i="54"/>
  <c r="CP176" i="54"/>
  <c r="CJ55" i="54"/>
  <c r="CP187" i="54"/>
  <c r="CJ126" i="54"/>
  <c r="CH14" i="54"/>
  <c r="CJ166" i="54"/>
  <c r="CC137" i="54"/>
  <c r="CK137" i="54" s="1"/>
  <c r="CC190" i="54"/>
  <c r="CP69" i="54"/>
  <c r="CG263" i="54"/>
  <c r="CG72" i="54"/>
  <c r="CO246" i="54"/>
  <c r="CH137" i="54"/>
  <c r="CP12" i="54"/>
  <c r="CQ214" i="54"/>
  <c r="CO264" i="54"/>
  <c r="CG11" i="54"/>
  <c r="CP11" i="54"/>
  <c r="CI232" i="54"/>
  <c r="CQ232" i="54"/>
  <c r="CQ190" i="54"/>
  <c r="CI190" i="54"/>
  <c r="CI268" i="54"/>
  <c r="CJ268" i="54"/>
  <c r="CH148" i="54"/>
  <c r="CP148" i="54"/>
  <c r="CQ70" i="54"/>
  <c r="CI70" i="54"/>
  <c r="CH39" i="54"/>
  <c r="CO39" i="54"/>
  <c r="CQ47" i="54"/>
  <c r="CO247" i="54"/>
  <c r="CQ176" i="54"/>
  <c r="CO55" i="54"/>
  <c r="CI55" i="54"/>
  <c r="CG187" i="54"/>
  <c r="CI126" i="54"/>
  <c r="CL126" i="54" s="1"/>
  <c r="CQ14" i="54"/>
  <c r="CL177" i="54"/>
  <c r="CQ166" i="54"/>
  <c r="CI166" i="54"/>
  <c r="CC263" i="54"/>
  <c r="CK263" i="54" s="1"/>
  <c r="CK118" i="54"/>
  <c r="CK67" i="54"/>
  <c r="CK92" i="54"/>
  <c r="CL92" i="54" s="1"/>
  <c r="CL145" i="54"/>
  <c r="CP246" i="54"/>
  <c r="CG12" i="54"/>
  <c r="CP264" i="54"/>
  <c r="CL170" i="54"/>
  <c r="CL114" i="54"/>
  <c r="CL128" i="54"/>
  <c r="CL115" i="54"/>
  <c r="CQ11" i="54"/>
  <c r="CO232" i="54"/>
  <c r="CO268" i="54"/>
  <c r="CJ148" i="54"/>
  <c r="CO70" i="54"/>
  <c r="CH47" i="54"/>
  <c r="CP55" i="54"/>
  <c r="CH187" i="54"/>
  <c r="CO166" i="54"/>
  <c r="CK194" i="54"/>
  <c r="CL194" i="54" s="1"/>
  <c r="CC79" i="54"/>
  <c r="CK79" i="54" s="1"/>
  <c r="CC61" i="54"/>
  <c r="CK61" i="54" s="1"/>
  <c r="CC183" i="54"/>
  <c r="CK160" i="54"/>
  <c r="CK34" i="54"/>
  <c r="CK219" i="54"/>
  <c r="CK213" i="54"/>
  <c r="CK224" i="54"/>
  <c r="CL224" i="54" s="1"/>
  <c r="CK148" i="54"/>
  <c r="CK162" i="54"/>
  <c r="CH146" i="54"/>
  <c r="CH103" i="54"/>
  <c r="CH61" i="54"/>
  <c r="CO139" i="54"/>
  <c r="CP19" i="54"/>
  <c r="CH198" i="54"/>
  <c r="CP161" i="54"/>
  <c r="CQ94" i="54"/>
  <c r="CP215" i="54"/>
  <c r="CO36" i="54"/>
  <c r="CQ251" i="54"/>
  <c r="CP24" i="54"/>
  <c r="CI17" i="54"/>
  <c r="CO178" i="54"/>
  <c r="CO150" i="54"/>
  <c r="CH258" i="54"/>
  <c r="CI248" i="54"/>
  <c r="CO165" i="54"/>
  <c r="CP56" i="54"/>
  <c r="CJ188" i="54"/>
  <c r="CG79" i="54"/>
  <c r="CO183" i="54"/>
  <c r="CO249" i="54"/>
  <c r="CP249" i="54"/>
  <c r="CC139" i="54"/>
  <c r="CK139" i="54" s="1"/>
  <c r="CC56" i="54"/>
  <c r="CK52" i="54"/>
  <c r="CC36" i="54"/>
  <c r="CJ146" i="54"/>
  <c r="CJ103" i="54"/>
  <c r="CJ61" i="54"/>
  <c r="CH139" i="54"/>
  <c r="CH19" i="54"/>
  <c r="CJ198" i="54"/>
  <c r="CG161" i="54"/>
  <c r="CK182" i="54"/>
  <c r="CL182" i="54" s="1"/>
  <c r="CO94" i="54"/>
  <c r="CR94" i="54" s="1" a="1"/>
  <c r="CR94" i="54" s="1"/>
  <c r="CG215" i="54"/>
  <c r="CP36" i="54"/>
  <c r="CH251" i="54"/>
  <c r="CG24" i="54"/>
  <c r="CJ17" i="54"/>
  <c r="CG178" i="54"/>
  <c r="CP150" i="54"/>
  <c r="CJ258" i="54"/>
  <c r="CO248" i="54"/>
  <c r="CH165" i="54"/>
  <c r="CH56" i="54"/>
  <c r="CI188" i="54"/>
  <c r="CQ79" i="54"/>
  <c r="CH183" i="54"/>
  <c r="CG249" i="54"/>
  <c r="CC249" i="54"/>
  <c r="CK249" i="54" s="1"/>
  <c r="CC161" i="54"/>
  <c r="CK161" i="54" s="1"/>
  <c r="CC24" i="54"/>
  <c r="CK24" i="54" s="1"/>
  <c r="CC103" i="54"/>
  <c r="CC251" i="54"/>
  <c r="CC94" i="54"/>
  <c r="CO103" i="54"/>
  <c r="CP61" i="54"/>
  <c r="CO61" i="54"/>
  <c r="CP139" i="54"/>
  <c r="CJ139" i="54"/>
  <c r="CG19" i="54"/>
  <c r="CQ19" i="54"/>
  <c r="CO198" i="54"/>
  <c r="CI198" i="54"/>
  <c r="CH161" i="54"/>
  <c r="CQ161" i="54"/>
  <c r="CR161" i="54" s="1" a="1"/>
  <c r="CR161" i="54" s="1"/>
  <c r="CG94" i="54"/>
  <c r="CQ215" i="54"/>
  <c r="CG36" i="54"/>
  <c r="CI251" i="54"/>
  <c r="CQ24" i="54"/>
  <c r="CO17" i="54"/>
  <c r="CP178" i="54"/>
  <c r="CG150" i="54"/>
  <c r="CI258" i="54"/>
  <c r="CP248" i="54"/>
  <c r="CJ165" i="54"/>
  <c r="CQ56" i="54"/>
  <c r="CO188" i="54"/>
  <c r="CH79" i="54"/>
  <c r="CJ183" i="54"/>
  <c r="CQ249" i="54"/>
  <c r="CC258" i="54"/>
  <c r="CK258" i="54" s="1"/>
  <c r="CO146" i="54"/>
  <c r="CI146" i="54"/>
  <c r="CI103" i="54"/>
  <c r="CP146" i="54"/>
  <c r="CP103" i="54"/>
  <c r="CG61" i="54"/>
  <c r="CI139" i="54"/>
  <c r="CJ19" i="54"/>
  <c r="CP198" i="54"/>
  <c r="CI161" i="54"/>
  <c r="CH94" i="54"/>
  <c r="CP94" i="54"/>
  <c r="CI215" i="54"/>
  <c r="CH215" i="54"/>
  <c r="CH36" i="54"/>
  <c r="CQ36" i="54"/>
  <c r="CO251" i="54"/>
  <c r="CJ251" i="54"/>
  <c r="CJ24" i="54"/>
  <c r="CH24" i="54"/>
  <c r="CG17" i="54"/>
  <c r="CP17" i="54"/>
  <c r="CJ178" i="54"/>
  <c r="CH178" i="54"/>
  <c r="CQ150" i="54"/>
  <c r="CO258" i="54"/>
  <c r="CG248" i="54"/>
  <c r="CI165" i="54"/>
  <c r="CG56" i="54"/>
  <c r="CP188" i="54"/>
  <c r="CJ79" i="54"/>
  <c r="CI183" i="54"/>
  <c r="CH249" i="54"/>
  <c r="CC198" i="54"/>
  <c r="CC165" i="54"/>
  <c r="CC178" i="54"/>
  <c r="CK178" i="54" s="1"/>
  <c r="CG146" i="54"/>
  <c r="CJ215" i="54"/>
  <c r="CH17" i="54"/>
  <c r="CJ150" i="54"/>
  <c r="CH150" i="54"/>
  <c r="CQ248" i="54"/>
  <c r="CG188" i="54"/>
  <c r="CK173" i="54"/>
  <c r="CK95" i="54"/>
  <c r="CK134" i="54"/>
  <c r="CK230" i="54"/>
  <c r="CK107" i="54"/>
  <c r="CK259" i="54"/>
  <c r="CL259" i="54" s="1"/>
  <c r="CK100" i="54"/>
  <c r="CK150" i="54"/>
  <c r="CK188" i="54"/>
  <c r="CK113" i="54"/>
  <c r="CK261" i="54"/>
  <c r="CL261" i="54" s="1"/>
  <c r="CK229" i="54"/>
  <c r="CL57" i="54"/>
  <c r="CK203" i="54"/>
  <c r="CK124" i="54"/>
  <c r="CL124" i="54" s="1"/>
  <c r="CR95" i="54" a="1"/>
  <c r="CR95" i="54" s="1"/>
  <c r="CT95" i="54" s="1"/>
  <c r="CR68" i="54" a="1"/>
  <c r="CR68" i="54" s="1"/>
  <c r="CT68" i="54" s="1"/>
  <c r="CR244" i="54" a="1"/>
  <c r="CR244" i="54" s="1"/>
  <c r="CT244" i="54" s="1"/>
  <c r="CR243" i="54" a="1"/>
  <c r="CR243" i="54" s="1"/>
  <c r="CT243" i="54" s="1"/>
  <c r="CR93" i="54" a="1"/>
  <c r="CR93" i="54" s="1"/>
  <c r="CT93" i="54" s="1"/>
  <c r="CR92" i="54" a="1"/>
  <c r="CR92" i="54" s="1"/>
  <c r="CT92" i="54" s="1"/>
  <c r="CR65" i="54" a="1"/>
  <c r="CR65" i="54" s="1"/>
  <c r="CT65" i="54" s="1"/>
  <c r="CR199" i="54" a="1"/>
  <c r="CR199" i="54" s="1"/>
  <c r="CT199" i="54" s="1"/>
  <c r="CR46" i="54" a="1"/>
  <c r="CR46" i="54" s="1"/>
  <c r="CT46" i="54" s="1"/>
  <c r="CR177" i="54" a="1"/>
  <c r="CR177" i="54" s="1"/>
  <c r="CT177" i="54" s="1"/>
  <c r="CR24" i="54" a="1"/>
  <c r="CR24" i="54" s="1"/>
  <c r="CT24" i="54" s="1"/>
  <c r="CR107" i="54" a="1"/>
  <c r="CR107" i="54" s="1"/>
  <c r="CT107" i="54" s="1"/>
  <c r="CR62" i="54" a="1"/>
  <c r="CR62" i="54" s="1"/>
  <c r="CT62" i="54" s="1"/>
  <c r="CR130" i="54" a="1"/>
  <c r="CR130" i="54" s="1"/>
  <c r="CT130" i="54" s="1"/>
  <c r="CR87" i="54" a="1"/>
  <c r="CR87" i="54" s="1"/>
  <c r="CT87" i="54" s="1"/>
  <c r="CR248" i="54" a="1"/>
  <c r="CR248" i="54" s="1"/>
  <c r="CT248" i="54" s="1"/>
  <c r="CR235" i="54" a="1"/>
  <c r="CR235" i="54" s="1"/>
  <c r="CT235" i="54" s="1"/>
  <c r="CR40" i="54" a="1"/>
  <c r="CR40" i="54" s="1"/>
  <c r="CT40" i="54" s="1"/>
  <c r="CR147" i="54" a="1"/>
  <c r="CR147" i="54" s="1"/>
  <c r="CT147" i="54" s="1"/>
  <c r="CR38" i="54" a="1"/>
  <c r="CR38" i="54" s="1"/>
  <c r="CT38" i="54" s="1"/>
  <c r="CR26" i="54" a="1"/>
  <c r="CR26" i="54" s="1"/>
  <c r="CT26" i="54" s="1"/>
  <c r="CR100" i="54" a="1"/>
  <c r="CR100" i="54" s="1"/>
  <c r="CT100" i="54" s="1"/>
  <c r="CR165" i="54" a="1"/>
  <c r="CR165" i="54" s="1"/>
  <c r="CU95" i="54"/>
  <c r="CV95" i="54" s="1"/>
  <c r="CS95" i="54" s="1"/>
  <c r="CR86" i="54" a="1"/>
  <c r="CR86" i="54" s="1"/>
  <c r="CT86" i="54" s="1"/>
  <c r="CR139" i="54" a="1"/>
  <c r="CR139" i="54" s="1"/>
  <c r="CT139" i="54" s="1"/>
  <c r="CR183" i="54" a="1"/>
  <c r="CR183" i="54" s="1"/>
  <c r="CT183" i="54" s="1"/>
  <c r="CR266" i="54" a="1"/>
  <c r="CR266" i="54" s="1"/>
  <c r="CT266" i="54" s="1"/>
  <c r="CR214" i="54" a="1"/>
  <c r="CR214" i="54" s="1"/>
  <c r="CT214" i="54" s="1"/>
  <c r="CR84" i="54" a="1"/>
  <c r="CR84" i="54" s="1"/>
  <c r="CT84" i="54" s="1"/>
  <c r="EY235" i="54" a="1"/>
  <c r="EY235" i="54" s="1"/>
  <c r="EY190" i="54" a="1"/>
  <c r="EY190" i="54" s="1"/>
  <c r="EY163" i="54" a="1"/>
  <c r="EY163" i="54" s="1"/>
  <c r="EY32" i="54" a="1"/>
  <c r="EY32" i="54" s="1"/>
  <c r="EY65" i="54" a="1"/>
  <c r="EY65" i="54" s="1"/>
  <c r="EY24" i="54" a="1"/>
  <c r="EY24" i="54" s="1"/>
  <c r="EY214" i="54" a="1"/>
  <c r="EY214" i="54" s="1"/>
  <c r="EY63" i="54" a="1"/>
  <c r="EY63" i="54" s="1"/>
  <c r="EY184" i="54" a="1"/>
  <c r="EY184" i="54" s="1"/>
  <c r="EY134" i="54" a="1"/>
  <c r="EY134" i="54" s="1"/>
  <c r="EY38" i="54" a="1"/>
  <c r="EY38" i="54" s="1"/>
  <c r="EY102" i="54" a="1"/>
  <c r="EY102" i="54" s="1"/>
  <c r="EY250" i="54" a="1"/>
  <c r="EY250" i="54" s="1"/>
  <c r="EY201" i="54" a="1"/>
  <c r="EY201" i="54" s="1"/>
  <c r="EY127" i="54" a="1"/>
  <c r="EY127" i="54" s="1"/>
  <c r="EY101" i="54" a="1"/>
  <c r="EY101" i="54" s="1"/>
  <c r="EY20" i="54" a="1"/>
  <c r="EY20" i="54" s="1"/>
  <c r="EY120" i="54" a="1"/>
  <c r="EY120" i="54" s="1"/>
  <c r="EY71" i="54" a="1"/>
  <c r="EY71" i="54" s="1"/>
  <c r="EY263" i="54" a="1"/>
  <c r="EY263" i="54" s="1"/>
  <c r="EY37" i="54" a="1"/>
  <c r="EY37" i="54" s="1"/>
  <c r="EY175" i="54" a="1"/>
  <c r="EY175" i="54" s="1"/>
  <c r="EY146" i="54" a="1"/>
  <c r="EY146" i="54" s="1"/>
  <c r="EY36" i="54" a="1"/>
  <c r="EY36" i="54" s="1"/>
  <c r="EY216" i="54" a="1"/>
  <c r="EY216" i="54" s="1"/>
  <c r="EY141" i="54" a="1"/>
  <c r="EY141" i="54" s="1"/>
  <c r="EY52" i="54" a="1"/>
  <c r="EY52" i="54" s="1"/>
  <c r="EY199" i="54" a="1"/>
  <c r="EY199" i="54" s="1"/>
  <c r="EY173" i="54" a="1"/>
  <c r="EY173" i="54" s="1"/>
  <c r="EY237" i="54" a="1"/>
  <c r="EY237" i="54" s="1"/>
  <c r="EY84" i="54" a="1"/>
  <c r="EY84" i="54" s="1"/>
  <c r="EY189" i="54" a="1"/>
  <c r="EY189" i="54" s="1"/>
  <c r="EY22" i="54" a="1"/>
  <c r="EY22" i="54" s="1"/>
  <c r="EY160" i="54" a="1"/>
  <c r="EY160" i="54" s="1"/>
  <c r="EY131" i="54" a="1"/>
  <c r="EY131" i="54" s="1"/>
  <c r="EY79" i="54" a="1"/>
  <c r="EY79" i="54" s="1"/>
  <c r="EY186" i="54" a="1"/>
  <c r="EY186" i="54" s="1"/>
  <c r="EY111" i="54" a="1"/>
  <c r="EY111" i="54" s="1"/>
  <c r="EY70" i="54" a="1"/>
  <c r="EY70" i="54" s="1"/>
  <c r="EY208" i="54" a="1"/>
  <c r="EY208" i="54" s="1"/>
  <c r="EY179" i="54" a="1"/>
  <c r="EY179" i="54" s="1"/>
  <c r="EY243" i="54" a="1"/>
  <c r="EY243" i="54" s="1"/>
  <c r="EY112" i="54" a="1"/>
  <c r="EY112" i="54" s="1"/>
  <c r="EY220" i="54" a="1"/>
  <c r="EY220" i="54" s="1"/>
  <c r="EY170" i="54" a="1"/>
  <c r="EY170" i="54" s="1"/>
  <c r="EY45" i="54" a="1"/>
  <c r="EY45" i="54" s="1"/>
  <c r="EY174" i="54" a="1"/>
  <c r="EY174" i="54" s="1"/>
  <c r="EY85" i="54" a="1"/>
  <c r="EY85" i="54" s="1"/>
  <c r="EY248" i="54" a="1"/>
  <c r="EY248" i="54" s="1"/>
  <c r="EY34" i="54" a="1"/>
  <c r="EY34" i="54" s="1"/>
  <c r="EY172" i="54" a="1"/>
  <c r="EY172" i="54" s="1"/>
  <c r="EY143" i="54" a="1"/>
  <c r="EY143" i="54" s="1"/>
  <c r="EY27" i="54" a="1"/>
  <c r="EY27" i="54" s="1"/>
  <c r="EY204" i="54" a="1"/>
  <c r="EY204" i="54" s="1"/>
  <c r="EY135" i="54" a="1"/>
  <c r="EY135" i="54" s="1"/>
  <c r="EY88" i="54" a="1"/>
  <c r="EY88" i="54" s="1"/>
  <c r="EY217" i="54" a="1"/>
  <c r="EY217" i="54" s="1"/>
  <c r="EY191" i="54" a="1"/>
  <c r="EY191" i="54" s="1"/>
  <c r="EY255" i="54" a="1"/>
  <c r="EY255" i="54" s="1"/>
  <c r="EY241" i="54" a="1"/>
  <c r="EY241" i="54" s="1"/>
  <c r="EY224" i="54" a="1"/>
  <c r="EY224" i="54" s="1"/>
  <c r="EY115" i="54" a="1"/>
  <c r="EY115" i="54" s="1"/>
  <c r="EY86" i="54" a="1"/>
  <c r="EY86" i="54" s="1"/>
  <c r="EY215" i="54" a="1"/>
  <c r="EY215" i="54" s="1"/>
  <c r="EY90" i="54" a="1"/>
  <c r="EY90" i="54" s="1"/>
  <c r="EY265" i="54" a="1"/>
  <c r="EY265" i="54" s="1"/>
  <c r="EY251" i="54" a="1"/>
  <c r="EY251" i="54" s="1"/>
  <c r="EY56" i="54" a="1"/>
  <c r="EY56" i="54" s="1"/>
  <c r="EY205" i="54" a="1"/>
  <c r="EY205" i="54" s="1"/>
  <c r="EY176" i="54" a="1"/>
  <c r="EY176" i="54" s="1"/>
  <c r="EY240" i="54" a="1"/>
  <c r="EY240" i="54" s="1"/>
  <c r="EY226" i="54" a="1"/>
  <c r="EY226" i="54" s="1"/>
  <c r="EY195" i="54" a="1"/>
  <c r="EY195" i="54" s="1"/>
  <c r="EY121" i="54" a="1"/>
  <c r="EY121" i="54" s="1"/>
  <c r="EY92" i="54" a="1"/>
  <c r="EY92" i="54" s="1"/>
  <c r="EY221" i="54" a="1"/>
  <c r="EY221" i="54" s="1"/>
  <c r="EY108" i="54" a="1"/>
  <c r="EY108" i="54" s="1"/>
  <c r="EY41" i="54" a="1"/>
  <c r="EY41" i="54" s="1"/>
  <c r="EY257" i="54" a="1"/>
  <c r="EY257" i="54" s="1"/>
  <c r="EY74" i="54" a="1"/>
  <c r="EY74" i="54" s="1"/>
  <c r="EY211" i="54" a="1"/>
  <c r="EY211" i="54" s="1"/>
  <c r="EY13" i="54" a="1"/>
  <c r="EY13" i="54" s="1"/>
  <c r="EY130" i="54" a="1"/>
  <c r="EY130" i="54" s="1"/>
  <c r="EY75" i="54" a="1"/>
  <c r="EY75" i="54" s="1"/>
  <c r="EY188" i="54" a="1"/>
  <c r="EY188" i="54" s="1"/>
  <c r="EY231" i="54" a="1"/>
  <c r="EY231" i="54" s="1"/>
  <c r="EY210" i="54" a="1"/>
  <c r="EY210" i="54" s="1"/>
  <c r="EY93" i="54" a="1"/>
  <c r="EY93" i="54" s="1"/>
  <c r="EY266" i="54" a="1"/>
  <c r="EY266" i="54" s="1"/>
  <c r="EY21" i="54" a="1"/>
  <c r="EY21" i="54" s="1"/>
  <c r="EY193" i="54" a="1"/>
  <c r="EY193" i="54" s="1"/>
  <c r="EY164" i="54" a="1"/>
  <c r="EY164" i="54" s="1"/>
  <c r="EY228" i="54" a="1"/>
  <c r="EY228" i="54" s="1"/>
  <c r="EY55" i="54" a="1"/>
  <c r="EY55" i="54" s="1"/>
  <c r="EY177" i="54" a="1"/>
  <c r="EY177" i="54" s="1"/>
  <c r="CU93" i="54"/>
  <c r="CV93" i="54" s="1"/>
  <c r="CS93" i="54" s="1"/>
  <c r="EY109" i="54" a="1"/>
  <c r="EY109" i="54" s="1"/>
  <c r="EY82" i="54" a="1"/>
  <c r="EY82" i="54" s="1"/>
  <c r="EY212" i="54" a="1"/>
  <c r="EY212" i="54" s="1"/>
  <c r="EY76" i="54" a="1"/>
  <c r="EY76" i="54" s="1"/>
  <c r="EY262" i="54" a="1"/>
  <c r="EY262" i="54" s="1"/>
  <c r="EY245" i="54" a="1"/>
  <c r="EY245" i="54" s="1"/>
  <c r="EY136" i="54" a="1"/>
  <c r="EY136" i="54" s="1"/>
  <c r="EY107" i="54" a="1"/>
  <c r="EY107" i="54" s="1"/>
  <c r="EY29" i="54" a="1"/>
  <c r="EY29" i="54" s="1"/>
  <c r="EY132" i="54" a="1"/>
  <c r="EY132" i="54" s="1"/>
  <c r="EY23" i="54" a="1"/>
  <c r="EY23" i="54" s="1"/>
  <c r="EY73" i="54" a="1"/>
  <c r="EY73" i="54" s="1"/>
  <c r="CU248" i="54"/>
  <c r="CV248" i="54" s="1"/>
  <c r="CS248" i="54" s="1"/>
  <c r="EY97" i="54" a="1"/>
  <c r="EY97" i="54" s="1"/>
  <c r="EY50" i="54" a="1"/>
  <c r="EY50" i="54" s="1"/>
  <c r="EY197" i="54" a="1"/>
  <c r="EY197" i="54" s="1"/>
  <c r="EY261" i="54" a="1"/>
  <c r="EY261" i="54" s="1"/>
  <c r="EY247" i="54" a="1"/>
  <c r="EY247" i="54" s="1"/>
  <c r="EY233" i="54" a="1"/>
  <c r="EY233" i="54" s="1"/>
  <c r="CU100" i="54"/>
  <c r="CV100" i="54" s="1"/>
  <c r="CS100" i="54" s="1"/>
  <c r="EY142" i="54" a="1"/>
  <c r="EY142" i="54" s="1"/>
  <c r="EY113" i="54" a="1"/>
  <c r="EY113" i="54" s="1"/>
  <c r="EY42" i="54" a="1"/>
  <c r="EY42" i="54" s="1"/>
  <c r="EY150" i="54" a="1"/>
  <c r="EY150" i="54" s="1"/>
  <c r="EY58" i="54" a="1"/>
  <c r="EY58" i="54" s="1"/>
  <c r="EY44" i="54" a="1"/>
  <c r="EY44" i="54" s="1"/>
  <c r="CU266" i="54"/>
  <c r="CV266" i="54" s="1"/>
  <c r="CS266" i="54" s="1"/>
  <c r="EY103" i="54" a="1"/>
  <c r="EY103" i="54" s="1"/>
  <c r="EY166" i="54" a="1"/>
  <c r="EY166" i="54" s="1"/>
  <c r="EY11" i="54" a="1"/>
  <c r="EY11" i="54" s="1"/>
  <c r="EY232" i="54" a="1"/>
  <c r="EY232" i="54" s="1"/>
  <c r="EY68" i="54" a="1"/>
  <c r="EY68" i="54" s="1"/>
  <c r="EY69" i="54" a="1"/>
  <c r="EY69" i="54" s="1"/>
  <c r="EY242" i="54" a="1"/>
  <c r="EY242" i="54" s="1"/>
  <c r="EY154" i="54" a="1"/>
  <c r="EY154" i="54" s="1"/>
  <c r="EY61" i="54" a="1"/>
  <c r="EY61" i="54" s="1"/>
  <c r="EY99" i="54" a="1"/>
  <c r="EY99" i="54" s="1"/>
  <c r="CU26" i="54"/>
  <c r="CV26" i="54" s="1"/>
  <c r="CS26" i="54" s="1"/>
  <c r="CU243" i="54"/>
  <c r="CV243" i="54" s="1"/>
  <c r="CS243" i="54" s="1"/>
  <c r="EY178" i="54" a="1"/>
  <c r="EY178" i="54" s="1"/>
  <c r="EY53" i="54" a="1"/>
  <c r="EY53" i="54" s="1"/>
  <c r="EY147" i="54" a="1"/>
  <c r="EY147" i="54" s="1"/>
  <c r="EY139" i="54" a="1"/>
  <c r="EY139" i="54" s="1"/>
  <c r="EY33" i="54" a="1"/>
  <c r="EY33" i="54" s="1"/>
  <c r="EY51" i="54" a="1"/>
  <c r="EY51" i="54" s="1"/>
  <c r="CU219" i="54"/>
  <c r="CV219" i="54" s="1"/>
  <c r="CS219" i="54" s="1"/>
  <c r="EY187" i="54" a="1"/>
  <c r="EY187" i="54" s="1"/>
  <c r="EY67" i="54" a="1"/>
  <c r="EY67" i="54" s="1"/>
  <c r="EY117" i="54" a="1"/>
  <c r="EY117" i="54" s="1"/>
  <c r="EY28" i="54" a="1"/>
  <c r="EY28" i="54" s="1"/>
  <c r="EY64" i="54" a="1"/>
  <c r="EY64" i="54" s="1"/>
  <c r="EY203" i="54" a="1"/>
  <c r="EY203" i="54" s="1"/>
  <c r="EY62" i="54" a="1"/>
  <c r="EY62" i="54" s="1"/>
  <c r="EY256" i="54" a="1"/>
  <c r="EY256" i="54" s="1"/>
  <c r="EY239" i="54" a="1"/>
  <c r="EY239" i="54" s="1"/>
  <c r="CU65" i="54"/>
  <c r="CV65" i="54" s="1"/>
  <c r="CS65" i="54" s="1"/>
  <c r="EY202" i="54" a="1"/>
  <c r="EY202" i="54" s="1"/>
  <c r="EY72" i="54" a="1"/>
  <c r="EY72" i="54" s="1"/>
  <c r="EY268" i="54" a="1"/>
  <c r="EY268" i="54" s="1"/>
  <c r="FB268" i="54" s="1"/>
  <c r="FC268" i="54" s="1"/>
  <c r="EY10" i="54" a="1"/>
  <c r="EY10" i="54" s="1"/>
  <c r="EY122" i="54" a="1"/>
  <c r="EY122" i="54" s="1"/>
  <c r="EY162" i="54" a="1"/>
  <c r="EY162" i="54" s="1"/>
  <c r="EY196" i="54" a="1"/>
  <c r="EY196" i="54" s="1"/>
  <c r="EY234" i="54" a="1"/>
  <c r="EY234" i="54" s="1"/>
  <c r="EY183" i="54" a="1"/>
  <c r="EY183" i="54" s="1"/>
  <c r="EY223" i="54" a="1"/>
  <c r="EY223" i="54" s="1"/>
  <c r="EY258" i="54" a="1"/>
  <c r="EY258" i="54" s="1"/>
  <c r="EY227" i="54" a="1"/>
  <c r="EY227" i="54" s="1"/>
  <c r="EY181" i="54" a="1"/>
  <c r="EY181" i="54" s="1"/>
  <c r="EY60" i="54" a="1"/>
  <c r="EY60" i="54" s="1"/>
  <c r="EY153" i="54" a="1"/>
  <c r="EY153" i="54" s="1"/>
  <c r="EY57" i="54" a="1"/>
  <c r="EY57" i="54" s="1"/>
  <c r="EY264" i="54" a="1"/>
  <c r="EY264" i="54" s="1"/>
  <c r="EY159" i="54" a="1"/>
  <c r="EY159" i="54" s="1"/>
  <c r="EY17" i="54" a="1"/>
  <c r="EY17" i="54" s="1"/>
  <c r="EY95" i="54" a="1"/>
  <c r="EY95" i="54" s="1"/>
  <c r="EY15" i="54" a="1"/>
  <c r="EY15" i="54" s="1"/>
  <c r="EY114" i="54" a="1"/>
  <c r="EY114" i="54" s="1"/>
  <c r="EY49" i="54" a="1"/>
  <c r="EY49" i="54" s="1"/>
  <c r="EY260" i="54" a="1"/>
  <c r="EY260" i="54" s="1"/>
  <c r="CR102" i="54" a="1"/>
  <c r="CR102" i="54" s="1"/>
  <c r="CT102" i="54" s="1"/>
  <c r="CR210" i="54" a="1"/>
  <c r="CR210" i="54" s="1"/>
  <c r="CT210" i="54" s="1"/>
  <c r="CR16" i="54" a="1"/>
  <c r="CR16" i="54" s="1"/>
  <c r="CT16" i="54" s="1"/>
  <c r="CR124" i="54" a="1"/>
  <c r="CR124" i="54" s="1"/>
  <c r="CT124" i="54" s="1"/>
  <c r="CR232" i="54" a="1"/>
  <c r="CR232" i="54" s="1"/>
  <c r="CR11" i="54" a="1"/>
  <c r="CR11" i="54" s="1"/>
  <c r="CT11" i="54" s="1"/>
  <c r="CR71" i="54" a="1"/>
  <c r="CR71" i="54" s="1"/>
  <c r="CT71" i="54" s="1"/>
  <c r="CR59" i="54" a="1"/>
  <c r="CR59" i="54" s="1"/>
  <c r="CT59" i="54" s="1"/>
  <c r="CR75" i="54" a="1"/>
  <c r="CR75" i="54" s="1"/>
  <c r="CT75" i="54" s="1"/>
  <c r="CR204" i="54" a="1"/>
  <c r="CR204" i="54" s="1"/>
  <c r="CT204" i="54" s="1"/>
  <c r="CR31" i="54" a="1"/>
  <c r="CR31" i="54" s="1"/>
  <c r="CT31" i="54" s="1"/>
  <c r="CR163" i="54" a="1"/>
  <c r="CR163" i="54" s="1"/>
  <c r="CT163" i="54" s="1"/>
  <c r="CR212" i="54" a="1"/>
  <c r="CR212" i="54" s="1"/>
  <c r="CR149" i="54" a="1"/>
  <c r="CR149" i="54" s="1"/>
  <c r="CT149" i="54" s="1"/>
  <c r="CR57" i="54" a="1"/>
  <c r="CR57" i="54" s="1"/>
  <c r="CT57" i="54" s="1"/>
  <c r="CR186" i="54" a="1"/>
  <c r="CR186" i="54" s="1"/>
  <c r="CT186" i="54" s="1"/>
  <c r="CR13" i="54" a="1"/>
  <c r="CR13" i="54" s="1"/>
  <c r="CT13" i="54" s="1"/>
  <c r="CR145" i="54" a="1"/>
  <c r="CR145" i="54" s="1"/>
  <c r="CT145" i="54" s="1"/>
  <c r="CR104" i="54" a="1"/>
  <c r="CR104" i="54" s="1"/>
  <c r="CT104" i="54" s="1"/>
  <c r="CR221" i="54" a="1"/>
  <c r="CR221" i="54" s="1"/>
  <c r="CR60" i="54" a="1"/>
  <c r="CR60" i="54" s="1"/>
  <c r="CT60" i="54" s="1"/>
  <c r="CR189" i="54" a="1"/>
  <c r="CR189" i="54" s="1"/>
  <c r="CR19" i="54" a="1"/>
  <c r="CR19" i="54" s="1"/>
  <c r="CT19" i="54" s="1"/>
  <c r="CR148" i="54" a="1"/>
  <c r="CR148" i="54" s="1"/>
  <c r="CU114" i="54"/>
  <c r="CV114" i="54" s="1"/>
  <c r="CS114" i="54" s="1"/>
  <c r="CR122" i="54" a="1"/>
  <c r="CR122" i="54" s="1"/>
  <c r="CT122" i="54" s="1"/>
  <c r="CR63" i="54" a="1"/>
  <c r="CR63" i="54" s="1"/>
  <c r="CT63" i="54" s="1"/>
  <c r="CR195" i="54" a="1"/>
  <c r="CR195" i="54" s="1"/>
  <c r="CR22" i="54" a="1"/>
  <c r="CR22" i="54" s="1"/>
  <c r="CT22" i="54" s="1"/>
  <c r="CR151" i="54" a="1"/>
  <c r="CR151" i="54" s="1"/>
  <c r="CR140" i="54" a="1"/>
  <c r="CR140" i="54" s="1"/>
  <c r="CR131" i="54" a="1"/>
  <c r="CR131" i="54" s="1"/>
  <c r="CT131" i="54" s="1"/>
  <c r="CR69" i="54" a="1"/>
  <c r="CR69" i="54" s="1"/>
  <c r="CT69" i="54" s="1"/>
  <c r="CR198" i="54" a="1"/>
  <c r="CR198" i="54" s="1"/>
  <c r="CT198" i="54" s="1"/>
  <c r="CR25" i="54" a="1"/>
  <c r="CR25" i="54" s="1"/>
  <c r="CT25" i="54" s="1"/>
  <c r="CR154" i="54" a="1"/>
  <c r="CR154" i="54" s="1"/>
  <c r="CR176" i="54" a="1"/>
  <c r="CR176" i="54" s="1"/>
  <c r="CT176" i="54" s="1"/>
  <c r="CR239" i="54" a="1"/>
  <c r="CR239" i="54" s="1"/>
  <c r="CR72" i="54" a="1"/>
  <c r="CR72" i="54" s="1"/>
  <c r="CT72" i="54" s="1"/>
  <c r="CR201" i="54" a="1"/>
  <c r="CR201" i="54" s="1"/>
  <c r="CR28" i="54" a="1"/>
  <c r="CR28" i="54" s="1"/>
  <c r="CT28" i="54" s="1"/>
  <c r="CR157" i="54" a="1"/>
  <c r="CR157" i="54" s="1"/>
  <c r="CR194" i="54" a="1"/>
  <c r="CR194" i="54" s="1"/>
  <c r="CR41" i="54" a="1"/>
  <c r="CR41" i="54" s="1"/>
  <c r="CT41" i="54" s="1"/>
  <c r="EY31" i="54" a="1"/>
  <c r="EY31" i="54" s="1"/>
  <c r="EY98" i="54" a="1"/>
  <c r="EY98" i="54" s="1"/>
  <c r="EY249" i="54" a="1"/>
  <c r="EY249" i="54" s="1"/>
  <c r="EY129" i="54" a="1"/>
  <c r="EY129" i="54" s="1"/>
  <c r="EY81" i="54" a="1"/>
  <c r="EY81" i="54" s="1"/>
  <c r="EY185" i="54" a="1"/>
  <c r="EY185" i="54" s="1"/>
  <c r="EY238" i="54" a="1"/>
  <c r="EY238" i="54" s="1"/>
  <c r="EY104" i="54" a="1"/>
  <c r="EY104" i="54" s="1"/>
  <c r="EY126" i="54" a="1"/>
  <c r="EY126" i="54" s="1"/>
  <c r="EY66" i="54" a="1"/>
  <c r="EY66" i="54" s="1"/>
  <c r="EY19" i="54" a="1"/>
  <c r="EY19" i="54" s="1"/>
  <c r="EY128" i="54" a="1"/>
  <c r="EY128" i="54" s="1"/>
  <c r="EY180" i="54" a="1"/>
  <c r="EY180" i="54" s="1"/>
  <c r="EY89" i="54" a="1"/>
  <c r="EY89" i="54" s="1"/>
  <c r="EY96" i="54" a="1"/>
  <c r="EY96" i="54" s="1"/>
  <c r="EY254" i="54" a="1"/>
  <c r="EY254" i="54" s="1"/>
  <c r="EY25" i="54" a="1"/>
  <c r="EY25" i="54" s="1"/>
  <c r="EY137" i="54" a="1"/>
  <c r="EY137" i="54" s="1"/>
  <c r="EY192" i="54" a="1"/>
  <c r="EY192" i="54" s="1"/>
  <c r="EY207" i="54" a="1"/>
  <c r="EY207" i="54" s="1"/>
  <c r="EY124" i="54" a="1"/>
  <c r="EY124" i="54" s="1"/>
  <c r="EY119" i="54" a="1"/>
  <c r="EY119" i="54" s="1"/>
  <c r="EY47" i="54" a="1"/>
  <c r="EY47" i="54" s="1"/>
  <c r="EY156" i="54" a="1"/>
  <c r="EY156" i="54" s="1"/>
  <c r="EY80" i="54" a="1"/>
  <c r="EY80" i="54" s="1"/>
  <c r="EY59" i="54" a="1"/>
  <c r="EY59" i="54" s="1"/>
  <c r="CR12" i="54" a="1"/>
  <c r="CR12" i="54" s="1"/>
  <c r="CT12" i="54" s="1"/>
  <c r="CR120" i="54" a="1"/>
  <c r="CR120" i="54" s="1"/>
  <c r="CT120" i="54" s="1"/>
  <c r="CR228" i="54" a="1"/>
  <c r="CR228" i="54" s="1"/>
  <c r="CT228" i="54" s="1"/>
  <c r="CR34" i="54" a="1"/>
  <c r="CR34" i="54" s="1"/>
  <c r="CT34" i="54" s="1"/>
  <c r="CR142" i="54" a="1"/>
  <c r="CR142" i="54" s="1"/>
  <c r="CT142" i="54" s="1"/>
  <c r="CR250" i="54" a="1"/>
  <c r="CR250" i="54" s="1"/>
  <c r="CT250" i="54" s="1"/>
  <c r="CR119" i="54" a="1"/>
  <c r="CR119" i="54" s="1"/>
  <c r="CT119" i="54" s="1"/>
  <c r="CR179" i="54" a="1"/>
  <c r="CR179" i="54" s="1"/>
  <c r="CR96" i="54" a="1"/>
  <c r="CR96" i="54" s="1"/>
  <c r="CT96" i="54" s="1"/>
  <c r="CR225" i="54" a="1"/>
  <c r="CR225" i="54" s="1"/>
  <c r="CR55" i="54" a="1"/>
  <c r="CR55" i="54" s="1"/>
  <c r="CT55" i="54" s="1"/>
  <c r="CR184" i="54" a="1"/>
  <c r="CR184" i="54" s="1"/>
  <c r="CR134" i="54" a="1"/>
  <c r="CR134" i="54" s="1"/>
  <c r="CT134" i="54" s="1"/>
  <c r="CR35" i="54" a="1"/>
  <c r="CR35" i="54" s="1"/>
  <c r="CT35" i="54" s="1"/>
  <c r="CR203" i="54" a="1"/>
  <c r="CR203" i="54" s="1"/>
  <c r="CT203" i="54" s="1"/>
  <c r="CR78" i="54" a="1"/>
  <c r="CR78" i="54" s="1"/>
  <c r="CT78" i="54" s="1"/>
  <c r="CR207" i="54" a="1"/>
  <c r="CR207" i="54" s="1"/>
  <c r="EY94" i="54" a="1"/>
  <c r="EY94" i="54" s="1"/>
  <c r="EY152" i="54" a="1"/>
  <c r="EY152" i="54" s="1"/>
  <c r="EY138" i="54" a="1"/>
  <c r="EY138" i="54" s="1"/>
  <c r="EY230" i="54" a="1"/>
  <c r="EY230" i="54" s="1"/>
  <c r="EY151" i="54" a="1"/>
  <c r="EY151" i="54" s="1"/>
  <c r="EY54" i="54" a="1"/>
  <c r="EY54" i="54" s="1"/>
  <c r="EY87" i="54" a="1"/>
  <c r="EY87" i="54" s="1"/>
  <c r="EY26" i="54" a="1"/>
  <c r="EY26" i="54" s="1"/>
  <c r="EY167" i="54" a="1"/>
  <c r="EY167" i="54" s="1"/>
  <c r="EY77" i="54" a="1"/>
  <c r="EY77" i="54" s="1"/>
  <c r="EY91" i="54" a="1"/>
  <c r="EY91" i="54" s="1"/>
  <c r="EY194" i="54" a="1"/>
  <c r="EY194" i="54" s="1"/>
  <c r="EY244" i="54" a="1"/>
  <c r="EY244" i="54" s="1"/>
  <c r="EY43" i="54" a="1"/>
  <c r="EY43" i="54" s="1"/>
  <c r="EY155" i="54" a="1"/>
  <c r="EY155" i="54" s="1"/>
  <c r="EY18" i="54" a="1"/>
  <c r="EY18" i="54" s="1"/>
  <c r="CU75" i="54"/>
  <c r="CV75" i="54" s="1"/>
  <c r="CS75" i="54" s="1"/>
  <c r="EY100" i="54" a="1"/>
  <c r="EY100" i="54" s="1"/>
  <c r="EY200" i="54" a="1"/>
  <c r="EY200" i="54" s="1"/>
  <c r="EY229" i="54" a="1"/>
  <c r="EY229" i="54" s="1"/>
  <c r="EY169" i="54" a="1"/>
  <c r="EY169" i="54" s="1"/>
  <c r="EY161" i="54" a="1"/>
  <c r="EY161" i="54" s="1"/>
  <c r="EY225" i="54" a="1"/>
  <c r="EY225" i="54" s="1"/>
  <c r="EY39" i="54" a="1"/>
  <c r="EY39" i="54" s="1"/>
  <c r="EY171" i="54" a="1"/>
  <c r="EY171" i="54" s="1"/>
  <c r="CU87" i="54"/>
  <c r="CV87" i="54" s="1"/>
  <c r="CS87" i="54" s="1"/>
  <c r="CU40" i="54"/>
  <c r="CV40" i="54" s="1"/>
  <c r="CS40" i="54" s="1"/>
  <c r="CR48" i="54" a="1"/>
  <c r="CR48" i="54" s="1"/>
  <c r="CT48" i="54" s="1"/>
  <c r="CR156" i="54" a="1"/>
  <c r="CR156" i="54" s="1"/>
  <c r="CT156" i="54" s="1"/>
  <c r="CR264" i="54" a="1"/>
  <c r="CR264" i="54" s="1"/>
  <c r="CR70" i="54" a="1"/>
  <c r="CR70" i="54" s="1"/>
  <c r="CT70" i="54" s="1"/>
  <c r="CR178" i="54" a="1"/>
  <c r="CR178" i="54" s="1"/>
  <c r="CT178" i="54" s="1"/>
  <c r="CR50" i="54" a="1"/>
  <c r="CR50" i="54" s="1"/>
  <c r="CT50" i="54" s="1"/>
  <c r="CR110" i="54" a="1"/>
  <c r="CR110" i="54" s="1"/>
  <c r="CT110" i="54" s="1"/>
  <c r="CR141" i="54" a="1"/>
  <c r="CR141" i="54" s="1"/>
  <c r="CR97" i="54" a="1"/>
  <c r="CR97" i="54" s="1"/>
  <c r="CT97" i="54" s="1"/>
  <c r="CR226" i="54" a="1"/>
  <c r="CR226" i="54" s="1"/>
  <c r="CR101" i="54" a="1"/>
  <c r="CR101" i="54" s="1"/>
  <c r="CT101" i="54" s="1"/>
  <c r="CR20" i="54" a="1"/>
  <c r="CR20" i="54" s="1"/>
  <c r="CT20" i="54" s="1"/>
  <c r="CU214" i="54"/>
  <c r="CV214" i="54" s="1"/>
  <c r="CS214" i="54" s="1"/>
  <c r="CU24" i="54"/>
  <c r="CV24" i="54" s="1"/>
  <c r="CS24" i="54" s="1"/>
  <c r="CR123" i="54" a="1"/>
  <c r="CR123" i="54" s="1"/>
  <c r="CT123" i="54" s="1"/>
  <c r="CR252" i="54" a="1"/>
  <c r="CR252" i="54" s="1"/>
  <c r="CT252" i="54" s="1"/>
  <c r="CR79" i="54" a="1"/>
  <c r="CR79" i="54" s="1"/>
  <c r="CT79" i="54" s="1"/>
  <c r="CR208" i="54" a="1"/>
  <c r="CR208" i="54" s="1"/>
  <c r="CT208" i="54" s="1"/>
  <c r="CR197" i="54" a="1"/>
  <c r="CR197" i="54" s="1"/>
  <c r="CU244" i="54"/>
  <c r="CV244" i="54" s="1"/>
  <c r="CS244" i="54" s="1"/>
  <c r="CR126" i="54" a="1"/>
  <c r="CR126" i="54" s="1"/>
  <c r="CT126" i="54" s="1"/>
  <c r="CR255" i="54" a="1"/>
  <c r="CR255" i="54" s="1"/>
  <c r="CR82" i="54" a="1"/>
  <c r="CR82" i="54" s="1"/>
  <c r="CT82" i="54" s="1"/>
  <c r="CR211" i="54" a="1"/>
  <c r="CR211" i="54" s="1"/>
  <c r="CT211" i="54" s="1"/>
  <c r="CR29" i="54" a="1"/>
  <c r="CR29" i="54" s="1"/>
  <c r="CT29" i="54" s="1"/>
  <c r="CR215" i="54" a="1"/>
  <c r="CR215" i="54" s="1"/>
  <c r="CU250" i="54"/>
  <c r="CV250" i="54" s="1"/>
  <c r="CS250" i="54" s="1"/>
  <c r="CR129" i="54" a="1"/>
  <c r="CR129" i="54" s="1"/>
  <c r="CT129" i="54" s="1"/>
  <c r="CR258" i="54" a="1"/>
  <c r="CR258" i="54" s="1"/>
  <c r="CM93" i="54"/>
  <c r="CR254" i="54" a="1"/>
  <c r="CR254" i="54" s="1"/>
  <c r="CT254" i="54" s="1"/>
  <c r="CR209" i="54" a="1"/>
  <c r="CR209" i="54" s="1"/>
  <c r="CR223" i="54" a="1"/>
  <c r="CR223" i="54" s="1"/>
  <c r="CR73" i="54" a="1"/>
  <c r="CR73" i="54" s="1"/>
  <c r="CT73" i="54" s="1"/>
  <c r="CR222" i="54" a="1"/>
  <c r="CR222" i="54" s="1"/>
  <c r="CR51" i="54" a="1"/>
  <c r="CR51" i="54" s="1"/>
  <c r="CR251" i="54" a="1"/>
  <c r="CR251" i="54" s="1"/>
  <c r="CR224" i="54" a="1"/>
  <c r="CR224" i="54" s="1"/>
  <c r="CR175" i="54" a="1"/>
  <c r="CR175" i="54" s="1"/>
  <c r="CR153" i="54" a="1"/>
  <c r="CR153" i="54" s="1"/>
  <c r="CT153" i="54" s="1"/>
  <c r="CU12" i="54"/>
  <c r="CV12" i="54" s="1"/>
  <c r="CS12" i="54" s="1"/>
  <c r="CR259" i="54" a="1"/>
  <c r="CR259" i="54" s="1"/>
  <c r="CR109" i="54" a="1"/>
  <c r="CR109" i="54" s="1"/>
  <c r="CT109" i="54" s="1"/>
  <c r="CR237" i="54" a="1"/>
  <c r="CR237" i="54" s="1"/>
  <c r="CR42" i="54" a="1"/>
  <c r="CR42" i="54" s="1"/>
  <c r="CT42" i="54" s="1"/>
  <c r="CU142" i="54"/>
  <c r="CV142" i="54" s="1"/>
  <c r="CS142" i="54" s="1"/>
  <c r="CR190" i="54" a="1"/>
  <c r="CR190" i="54" s="1"/>
  <c r="CR105" i="54" a="1"/>
  <c r="CR105" i="54" s="1"/>
  <c r="CT105" i="54" s="1"/>
  <c r="CU107" i="54"/>
  <c r="CV107" i="54" s="1"/>
  <c r="CS107" i="54" s="1"/>
  <c r="CR53" i="54" a="1"/>
  <c r="CR53" i="54" s="1"/>
  <c r="CT53" i="54" s="1"/>
  <c r="CR253" i="54" a="1"/>
  <c r="CR253" i="54" s="1"/>
  <c r="CR58" i="54" a="1"/>
  <c r="CR58" i="54" s="1"/>
  <c r="CT58" i="54" s="1"/>
  <c r="CR144" i="54" a="1"/>
  <c r="CR144" i="54" s="1"/>
  <c r="CR245" i="54" a="1"/>
  <c r="CR245" i="54" s="1"/>
  <c r="CT245" i="54" s="1"/>
  <c r="CR118" i="54" a="1"/>
  <c r="CR118" i="54" s="1"/>
  <c r="CT118" i="54" s="1"/>
  <c r="CR162" i="54" a="1"/>
  <c r="CR162" i="54" s="1"/>
  <c r="CR158" i="54" a="1"/>
  <c r="CR158" i="54" s="1"/>
  <c r="CR196" i="54" a="1"/>
  <c r="CR196" i="54" s="1"/>
  <c r="CR66" i="54" a="1"/>
  <c r="CR66" i="54" s="1"/>
  <c r="CT66" i="54" s="1"/>
  <c r="EY198" i="54" a="1"/>
  <c r="EY198" i="54" s="1"/>
  <c r="EY145" i="54" a="1"/>
  <c r="EY145" i="54" s="1"/>
  <c r="EY236" i="54" a="1"/>
  <c r="EY236" i="54" s="1"/>
  <c r="EY46" i="54" a="1"/>
  <c r="EY46" i="54" s="1"/>
  <c r="EY144" i="54" a="1"/>
  <c r="EY144" i="54" s="1"/>
  <c r="CU69" i="54"/>
  <c r="CV69" i="54" s="1"/>
  <c r="CS69" i="54" s="1"/>
  <c r="EY149" i="54" a="1"/>
  <c r="EY149" i="54" s="1"/>
  <c r="EY125" i="54" a="1"/>
  <c r="EY125" i="54" s="1"/>
  <c r="EY106" i="54" a="1"/>
  <c r="EY106" i="54" s="1"/>
  <c r="EY267" i="54" a="1"/>
  <c r="EY267" i="54" s="1"/>
  <c r="CR128" i="54" a="1"/>
  <c r="CR128" i="54" s="1"/>
  <c r="CT128" i="54" s="1"/>
  <c r="CR83" i="54" a="1"/>
  <c r="CR83" i="54" s="1"/>
  <c r="CT83" i="54" s="1"/>
  <c r="CR202" i="54" a="1"/>
  <c r="CR202" i="54" s="1"/>
  <c r="CR49" i="54" a="1"/>
  <c r="CR49" i="54" s="1"/>
  <c r="CT49" i="54" s="1"/>
  <c r="CR180" i="54" a="1"/>
  <c r="CR180" i="54" s="1"/>
  <c r="CR27" i="54" a="1"/>
  <c r="CR27" i="54" s="1"/>
  <c r="CT27" i="54" s="1"/>
  <c r="CR125" i="54" a="1"/>
  <c r="CR125" i="54" s="1"/>
  <c r="CT125" i="54" s="1"/>
  <c r="CR98" i="54" a="1"/>
  <c r="CR98" i="54" s="1"/>
  <c r="CT98" i="54" s="1"/>
  <c r="CR133" i="54" a="1"/>
  <c r="CR133" i="54" s="1"/>
  <c r="CT133" i="54" s="1"/>
  <c r="CU210" i="54"/>
  <c r="CV210" i="54" s="1"/>
  <c r="CS210" i="54" s="1"/>
  <c r="CR132" i="54" a="1"/>
  <c r="CR132" i="54" s="1"/>
  <c r="CT132" i="54" s="1"/>
  <c r="CU126" i="54"/>
  <c r="CV126" i="54" s="1"/>
  <c r="CS126" i="54" s="1"/>
  <c r="CR77" i="54" a="1"/>
  <c r="CR77" i="54" s="1"/>
  <c r="CT77" i="54" s="1"/>
  <c r="CR14" i="54" a="1"/>
  <c r="CR14" i="54" s="1"/>
  <c r="CT14" i="54" s="1"/>
  <c r="CR238" i="54" a="1"/>
  <c r="CR238" i="54" s="1"/>
  <c r="CR85" i="54" a="1"/>
  <c r="CR85" i="54" s="1"/>
  <c r="CT85" i="54" s="1"/>
  <c r="CR216" i="54" a="1"/>
  <c r="CR216" i="54" s="1"/>
  <c r="CR21" i="54" a="1"/>
  <c r="CR21" i="54" s="1"/>
  <c r="CT21" i="54" s="1"/>
  <c r="CR167" i="54" a="1"/>
  <c r="CR167" i="54" s="1"/>
  <c r="CR155" i="54" a="1"/>
  <c r="CR155" i="54" s="1"/>
  <c r="CR169" i="54" a="1"/>
  <c r="CR169" i="54" s="1"/>
  <c r="CU102" i="54"/>
  <c r="CV102" i="54" s="1"/>
  <c r="CS102" i="54" s="1"/>
  <c r="CR81" i="54" a="1"/>
  <c r="CR81" i="54" s="1"/>
  <c r="CT81" i="54" s="1"/>
  <c r="CU53" i="54"/>
  <c r="CV53" i="54" s="1"/>
  <c r="CS53" i="54" s="1"/>
  <c r="CR230" i="54" a="1"/>
  <c r="CR230" i="54" s="1"/>
  <c r="CR229" i="54" a="1"/>
  <c r="CR229" i="54" s="1"/>
  <c r="CR37" i="54" a="1"/>
  <c r="CR37" i="54" s="1"/>
  <c r="CT37" i="54" s="1"/>
  <c r="CR99" i="54" a="1"/>
  <c r="CR99" i="54" s="1"/>
  <c r="CT99" i="54" s="1"/>
  <c r="CR260" i="54" a="1"/>
  <c r="CR260" i="54" s="1"/>
  <c r="CR76" i="54" a="1"/>
  <c r="CR76" i="54" s="1"/>
  <c r="CT76" i="54" s="1"/>
  <c r="CR117" i="54" a="1"/>
  <c r="CR117" i="54" s="1"/>
  <c r="CT117" i="54" s="1"/>
  <c r="CU208" i="54"/>
  <c r="CV208" i="54" s="1"/>
  <c r="CS208" i="54" s="1"/>
  <c r="CR227" i="54" a="1"/>
  <c r="CR227" i="54" s="1"/>
  <c r="CT227" i="54" s="1"/>
  <c r="CR160" i="54" a="1"/>
  <c r="CR160" i="54" s="1"/>
  <c r="CR246" i="54" a="1"/>
  <c r="CR246" i="54" s="1"/>
  <c r="CT246" i="54" s="1"/>
  <c r="CR30" i="54" a="1"/>
  <c r="CR30" i="54" s="1"/>
  <c r="CT30" i="54" s="1"/>
  <c r="CU139" i="54"/>
  <c r="CV139" i="54" s="1"/>
  <c r="CS139" i="54" s="1"/>
  <c r="EY246" i="54" a="1"/>
  <c r="EY246" i="54" s="1"/>
  <c r="CU34" i="54"/>
  <c r="CV34" i="54" s="1"/>
  <c r="CS34" i="54" s="1"/>
  <c r="EY253" i="54" a="1"/>
  <c r="EY253" i="54" s="1"/>
  <c r="CU183" i="54"/>
  <c r="CV183" i="54" s="1"/>
  <c r="CS183" i="54" s="1"/>
  <c r="EY218" i="54" a="1"/>
  <c r="EY218" i="54" s="1"/>
  <c r="EY157" i="54" a="1"/>
  <c r="EY157" i="54" s="1"/>
  <c r="EY133" i="54" a="1"/>
  <c r="EY133" i="54" s="1"/>
  <c r="EY219" i="54" a="1"/>
  <c r="EY219" i="54" s="1"/>
  <c r="EY206" i="54" a="1"/>
  <c r="EY206" i="54" s="1"/>
  <c r="CK105" i="54"/>
  <c r="CM105" i="54" s="1"/>
  <c r="CR242" i="54" a="1"/>
  <c r="CR242" i="54" s="1"/>
  <c r="CR181" i="54" a="1"/>
  <c r="CR181" i="54" s="1"/>
  <c r="CU252" i="54"/>
  <c r="CV252" i="54" s="1"/>
  <c r="CS252" i="54" s="1"/>
  <c r="CR159" i="54" a="1"/>
  <c r="CR159" i="54" s="1"/>
  <c r="CR262" i="54" a="1"/>
  <c r="CR262" i="54" s="1"/>
  <c r="CR112" i="54" a="1"/>
  <c r="CR112" i="54" s="1"/>
  <c r="CT112" i="54" s="1"/>
  <c r="CR261" i="54" a="1"/>
  <c r="CR261" i="54" s="1"/>
  <c r="CR111" i="54" a="1"/>
  <c r="CR111" i="54" s="1"/>
  <c r="CT111" i="54" s="1"/>
  <c r="CR200" i="54" a="1"/>
  <c r="CR200" i="54" s="1"/>
  <c r="CR173" i="54" a="1"/>
  <c r="CR173" i="54" s="1"/>
  <c r="CR217" i="54" a="1"/>
  <c r="CR217" i="54" s="1"/>
  <c r="CR64" i="54" a="1"/>
  <c r="CR64" i="54" s="1"/>
  <c r="CT64" i="54" s="1"/>
  <c r="CR171" i="54" a="1"/>
  <c r="CR171" i="54" s="1"/>
  <c r="CR182" i="54" a="1"/>
  <c r="CR182" i="54" s="1"/>
  <c r="CR170" i="54" a="1"/>
  <c r="CR170" i="54" s="1"/>
  <c r="CR127" i="54" a="1"/>
  <c r="CR127" i="54" s="1"/>
  <c r="CT127" i="54" s="1"/>
  <c r="CR234" i="54" a="1"/>
  <c r="CR234" i="54" s="1"/>
  <c r="CR39" i="54" a="1"/>
  <c r="CR39" i="54" s="1"/>
  <c r="CT39" i="54" s="1"/>
  <c r="CR263" i="54" a="1"/>
  <c r="CR263" i="54" s="1"/>
  <c r="CR187" i="54" a="1"/>
  <c r="CR187" i="54" s="1"/>
  <c r="CR36" i="54" a="1"/>
  <c r="CR36" i="54" s="1"/>
  <c r="CT36" i="54" s="1"/>
  <c r="CR113" i="54" a="1"/>
  <c r="CR113" i="54" s="1"/>
  <c r="CT113" i="54" s="1"/>
  <c r="CU42" i="54"/>
  <c r="CV42" i="54" s="1"/>
  <c r="CS42" i="54" s="1"/>
  <c r="CR10" i="54" a="1"/>
  <c r="CR10" i="54" s="1"/>
  <c r="CT10" i="54" s="1"/>
  <c r="CR54" i="54" a="1"/>
  <c r="CR54" i="54" s="1"/>
  <c r="CT54" i="54" s="1"/>
  <c r="CR23" i="54" a="1"/>
  <c r="CR23" i="54" s="1"/>
  <c r="CT23" i="54" s="1"/>
  <c r="CR188" i="54" a="1"/>
  <c r="CR188" i="54" s="1"/>
  <c r="CR106" i="54" a="1"/>
  <c r="CR106" i="54" s="1"/>
  <c r="CT106" i="54" s="1"/>
  <c r="CR192" i="54" a="1"/>
  <c r="CR192" i="54" s="1"/>
  <c r="CU55" i="54"/>
  <c r="CV55" i="54" s="1"/>
  <c r="CS55" i="54" s="1"/>
  <c r="EY14" i="54" a="1"/>
  <c r="EY14" i="54" s="1"/>
  <c r="CU153" i="54"/>
  <c r="CV153" i="54" s="1"/>
  <c r="CS153" i="54" s="1"/>
  <c r="EY30" i="54" a="1"/>
  <c r="EY30" i="54" s="1"/>
  <c r="EY110" i="54" a="1"/>
  <c r="EY110" i="54" s="1"/>
  <c r="CU73" i="54"/>
  <c r="CV73" i="54" s="1"/>
  <c r="CS73" i="54" s="1"/>
  <c r="EY40" i="54" a="1"/>
  <c r="EY40" i="54" s="1"/>
  <c r="CU25" i="54"/>
  <c r="CV25" i="54" s="1"/>
  <c r="CS25" i="54" s="1"/>
  <c r="EY16" i="54" a="1"/>
  <c r="EY16" i="54" s="1"/>
  <c r="EY259" i="54" a="1"/>
  <c r="EY259" i="54" s="1"/>
  <c r="EY116" i="54" a="1"/>
  <c r="EY116" i="54" s="1"/>
  <c r="CR143" i="54" a="1"/>
  <c r="CR143" i="54" s="1"/>
  <c r="CR116" i="54" a="1"/>
  <c r="CR116" i="54" s="1"/>
  <c r="CT116" i="54" s="1"/>
  <c r="CR136" i="54" a="1"/>
  <c r="CR136" i="54" s="1"/>
  <c r="CT136" i="54" s="1"/>
  <c r="CU246" i="54"/>
  <c r="CV246" i="54" s="1"/>
  <c r="CS246" i="54" s="1"/>
  <c r="CR135" i="54" a="1"/>
  <c r="CR135" i="54" s="1"/>
  <c r="CT135" i="54" s="1"/>
  <c r="CU198" i="54"/>
  <c r="CV198" i="54" s="1"/>
  <c r="CS198" i="54" s="1"/>
  <c r="CR185" i="54" a="1"/>
  <c r="CR185" i="54" s="1"/>
  <c r="CR32" i="54" a="1"/>
  <c r="CR32" i="54" s="1"/>
  <c r="CT32" i="54" s="1"/>
  <c r="CR241" i="54" a="1"/>
  <c r="CR241" i="54" s="1"/>
  <c r="CR91" i="54" a="1"/>
  <c r="CR91" i="54" s="1"/>
  <c r="CT91" i="54" s="1"/>
  <c r="CR240" i="54" a="1"/>
  <c r="CR240" i="54" s="1"/>
  <c r="CR90" i="54" a="1"/>
  <c r="CR90" i="54" s="1"/>
  <c r="CT90" i="54" s="1"/>
  <c r="CU125" i="54"/>
  <c r="CV125" i="54" s="1"/>
  <c r="CS125" i="54" s="1"/>
  <c r="CR74" i="54" a="1"/>
  <c r="CR74" i="54" s="1"/>
  <c r="CT74" i="54" s="1"/>
  <c r="CR47" i="54" a="1"/>
  <c r="CR47" i="54" s="1"/>
  <c r="CT47" i="54" s="1"/>
  <c r="CR193" i="54" a="1"/>
  <c r="CR193" i="54" s="1"/>
  <c r="CR43" i="54" a="1"/>
  <c r="CR43" i="54" s="1"/>
  <c r="CT43" i="54" s="1"/>
  <c r="CR150" i="54" a="1"/>
  <c r="CR150" i="54" s="1"/>
  <c r="CR56" i="54" a="1"/>
  <c r="CR56" i="54" s="1"/>
  <c r="CT56" i="54" s="1"/>
  <c r="CR44" i="54" a="1"/>
  <c r="CR44" i="54" s="1"/>
  <c r="CT44" i="54" s="1"/>
  <c r="CR103" i="54" a="1"/>
  <c r="CR103" i="54" s="1"/>
  <c r="CT103" i="54" s="1"/>
  <c r="CR213" i="54" a="1"/>
  <c r="CR213" i="54" s="1"/>
  <c r="CR18" i="54" a="1"/>
  <c r="CR18" i="54" s="1"/>
  <c r="CT18" i="54" s="1"/>
  <c r="CR257" i="54" a="1"/>
  <c r="CR257" i="54" s="1"/>
  <c r="CR137" i="54" a="1"/>
  <c r="CR137" i="54" s="1"/>
  <c r="CT137" i="54" s="1"/>
  <c r="CR166" i="54" a="1"/>
  <c r="CR166" i="54" s="1"/>
  <c r="CR15" i="54" a="1"/>
  <c r="CR15" i="54" s="1"/>
  <c r="CT15" i="54" s="1"/>
  <c r="CR146" i="54" a="1"/>
  <c r="CR146" i="54" s="1"/>
  <c r="CR247" i="54" a="1"/>
  <c r="CR247" i="54" s="1"/>
  <c r="CR33" i="54" a="1"/>
  <c r="CR33" i="54" s="1"/>
  <c r="CT33" i="54" s="1"/>
  <c r="CR218" i="54" a="1"/>
  <c r="CR218" i="54" s="1"/>
  <c r="CR80" i="54" a="1"/>
  <c r="CR80" i="54" s="1"/>
  <c r="CT80" i="54" s="1"/>
  <c r="CR88" i="54" a="1"/>
  <c r="CR88" i="54" s="1"/>
  <c r="CT88" i="54" s="1"/>
  <c r="CR174" i="54" a="1"/>
  <c r="CR174" i="54" s="1"/>
  <c r="CU245" i="54"/>
  <c r="CV245" i="54" s="1"/>
  <c r="CS245" i="54" s="1"/>
  <c r="CU123" i="54"/>
  <c r="CV123" i="54" s="1"/>
  <c r="CS123" i="54" s="1"/>
  <c r="EY213" i="54" a="1"/>
  <c r="EY213" i="54" s="1"/>
  <c r="EY182" i="54" a="1"/>
  <c r="EY182" i="54" s="1"/>
  <c r="CU176" i="54"/>
  <c r="CV176" i="54" s="1"/>
  <c r="CS176" i="54" s="1"/>
  <c r="EY83" i="54" a="1"/>
  <c r="EY83" i="54" s="1"/>
  <c r="CU211" i="54"/>
  <c r="CV211" i="54" s="1"/>
  <c r="CS211" i="54" s="1"/>
  <c r="EY118" i="54" a="1"/>
  <c r="EY118" i="54" s="1"/>
  <c r="EY105" i="54" a="1"/>
  <c r="EY105" i="54" s="1"/>
  <c r="EY78" i="54" a="1"/>
  <c r="EY78" i="54" s="1"/>
  <c r="CU82" i="54"/>
  <c r="CV82" i="54" s="1"/>
  <c r="CS82" i="54" s="1"/>
  <c r="EY252" i="54" a="1"/>
  <c r="EY252" i="54" s="1"/>
  <c r="CU13" i="54"/>
  <c r="CV13" i="54" s="1"/>
  <c r="CS13" i="54" s="1"/>
  <c r="EY148" i="54" a="1"/>
  <c r="EY148" i="54" s="1"/>
  <c r="CK155" i="54"/>
  <c r="CM155" i="54" s="1"/>
  <c r="CL64" i="54"/>
  <c r="CN4" i="54"/>
  <c r="CO4" i="54"/>
  <c r="CP4" i="54" s="1"/>
  <c r="CV3" i="54"/>
  <c r="CN2" i="54"/>
  <c r="CO2" i="54"/>
  <c r="CP2" i="54" s="1"/>
  <c r="FK4" i="54" a="1"/>
  <c r="FK4" i="54" s="1"/>
  <c r="FL5" i="54" a="1"/>
  <c r="FL5" i="54" s="1"/>
  <c r="FK5" i="54" a="1"/>
  <c r="FK5" i="54" s="1"/>
  <c r="FL4" i="54" a="1"/>
  <c r="FL4" i="54" s="1"/>
  <c r="FO5"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CW33" i="54" a="1"/>
  <c r="CW33" i="54" s="1"/>
  <c r="CW67" i="54" a="1"/>
  <c r="CW67" i="54" s="1"/>
  <c r="CW185" i="54" a="1"/>
  <c r="CW185" i="54" s="1"/>
  <c r="CW16" i="54" a="1"/>
  <c r="CW16" i="54" s="1"/>
  <c r="CW110" i="54" a="1"/>
  <c r="CW110" i="54" s="1"/>
  <c r="CW198" i="54" a="1"/>
  <c r="CW198" i="54" s="1"/>
  <c r="CW23" i="54" a="1"/>
  <c r="CW23" i="54" s="1"/>
  <c r="CW165" i="54" a="1"/>
  <c r="CW165" i="54" s="1"/>
  <c r="CW211" i="54" a="1"/>
  <c r="CW211" i="54" s="1"/>
  <c r="CW48" i="54" a="1"/>
  <c r="CW48" i="54" s="1"/>
  <c r="CW245" i="54" a="1"/>
  <c r="CW245" i="54" s="1"/>
  <c r="CW148" i="54" a="1"/>
  <c r="CW148" i="54" s="1"/>
  <c r="CW76" i="54" a="1"/>
  <c r="CW76" i="54" s="1"/>
  <c r="CW242" i="54" a="1"/>
  <c r="CW242" i="54" s="1"/>
  <c r="CW170" i="54" a="1"/>
  <c r="CW170" i="54" s="1"/>
  <c r="CW49" i="54" a="1"/>
  <c r="CW49" i="54" s="1"/>
  <c r="CW258" i="54" a="1"/>
  <c r="CW258" i="54" s="1"/>
  <c r="CW155" i="54" a="1"/>
  <c r="CW155" i="54" s="1"/>
  <c r="CW83" i="54" a="1"/>
  <c r="CW83" i="54" s="1"/>
  <c r="CW2" i="54" a="1"/>
  <c r="CW2" i="54" s="1"/>
  <c r="CW225" i="54" a="1"/>
  <c r="CW225" i="54" s="1"/>
  <c r="CW116" i="54" a="1"/>
  <c r="CW116" i="54" s="1"/>
  <c r="CW44" i="54" a="1"/>
  <c r="CW44" i="54" s="1"/>
  <c r="CW180" i="54" a="1"/>
  <c r="CW180" i="54" s="1"/>
  <c r="CW108" i="54" a="1"/>
  <c r="CW108" i="54" s="1"/>
  <c r="CW17" i="54" a="1"/>
  <c r="CW17" i="54" s="1"/>
  <c r="CW208" i="54" a="1"/>
  <c r="CW208" i="54" s="1"/>
  <c r="CW111" i="54" a="1"/>
  <c r="CW111" i="54" s="1"/>
  <c r="CW39" i="54" a="1"/>
  <c r="CW39" i="54" s="1"/>
  <c r="CW205" i="54" a="1"/>
  <c r="CW205" i="54" s="1"/>
  <c r="CW121" i="54" a="1"/>
  <c r="CW121" i="54" s="1"/>
  <c r="CW30" i="54" a="1"/>
  <c r="CW30" i="54" s="1"/>
  <c r="CW215" i="54" a="1"/>
  <c r="CW215" i="54" s="1"/>
  <c r="CW118" i="54" a="1"/>
  <c r="CW118" i="54" s="1"/>
  <c r="CW46" i="54" a="1"/>
  <c r="CW46" i="54" s="1"/>
  <c r="CW176" i="54" a="1"/>
  <c r="CW176" i="54" s="1"/>
  <c r="CW104" i="54" a="1"/>
  <c r="CW104" i="54" s="1"/>
  <c r="CW240" i="54" a="1"/>
  <c r="CW240" i="54" s="1"/>
  <c r="CW168" i="54" a="1"/>
  <c r="CW168" i="54" s="1"/>
  <c r="CW77" i="54" a="1"/>
  <c r="CW77" i="54" s="1"/>
  <c r="CW268" i="54" a="1"/>
  <c r="CW268" i="54" s="1"/>
  <c r="CW171" i="54" a="1"/>
  <c r="CW171" i="54" s="1"/>
  <c r="CW99" i="54" a="1"/>
  <c r="CW99" i="54" s="1"/>
  <c r="CW265" i="54" a="1"/>
  <c r="CW265" i="54" s="1"/>
  <c r="CW193" i="54" a="1"/>
  <c r="CW193" i="54" s="1"/>
  <c r="CW90" i="54" a="1"/>
  <c r="CW90" i="54" s="1"/>
  <c r="CW18" i="54" a="1"/>
  <c r="CW18" i="54" s="1"/>
  <c r="CW178" i="54" a="1"/>
  <c r="CW178" i="54" s="1"/>
  <c r="CW106" i="54" a="1"/>
  <c r="CW106" i="54" s="1"/>
  <c r="CW236" i="54" a="1"/>
  <c r="CW236" i="54" s="1"/>
  <c r="CW164" i="54" a="1"/>
  <c r="CW164" i="54" s="1"/>
  <c r="CW19" i="54" a="1"/>
  <c r="CW19" i="54" s="1"/>
  <c r="CW228" i="54" a="1"/>
  <c r="CW228" i="54" s="1"/>
  <c r="CW137" i="54" a="1"/>
  <c r="CW137" i="54" s="1"/>
  <c r="CW65" i="54" a="1"/>
  <c r="CW65" i="54" s="1"/>
  <c r="CW231" i="54" a="1"/>
  <c r="CW231" i="54" s="1"/>
  <c r="CW159" i="54" a="1"/>
  <c r="CW159" i="54" s="1"/>
  <c r="CW62" i="54" a="1"/>
  <c r="CW62" i="54" s="1"/>
  <c r="CW253" i="54" a="1"/>
  <c r="CW253" i="54" s="1"/>
  <c r="CW150" i="54" a="1"/>
  <c r="CW150" i="54" s="1"/>
  <c r="CW78" i="54" a="1"/>
  <c r="CW78" i="54" s="1"/>
  <c r="CW238" i="54" a="1"/>
  <c r="CW238" i="54" s="1"/>
  <c r="CW166" i="54" a="1"/>
  <c r="CW166" i="54" s="1"/>
  <c r="CW117" i="54" a="1"/>
  <c r="CW117" i="54" s="1"/>
  <c r="CW45" i="54" a="1"/>
  <c r="CW45" i="54" s="1"/>
  <c r="CW163" i="54" a="1"/>
  <c r="CW163" i="54" s="1"/>
  <c r="CW79" i="54" a="1"/>
  <c r="CW79" i="54" s="1"/>
  <c r="CW223" i="54" a="1"/>
  <c r="CW223" i="54" s="1"/>
  <c r="CW197" i="54" a="1"/>
  <c r="CW197" i="54" s="1"/>
  <c r="CW100" i="54" a="1"/>
  <c r="CW100" i="54" s="1"/>
  <c r="CW28" i="54" a="1"/>
  <c r="CW28" i="54" s="1"/>
  <c r="CW194" i="54" a="1"/>
  <c r="CW194" i="54" s="1"/>
  <c r="CW122" i="54" a="1"/>
  <c r="CW122" i="54" s="1"/>
  <c r="CW169" i="54" a="1"/>
  <c r="CW169" i="54" s="1"/>
  <c r="CW210" i="54" a="1"/>
  <c r="CW210" i="54" s="1"/>
  <c r="CW107" i="54" a="1"/>
  <c r="CW107" i="54" s="1"/>
  <c r="CW35" i="54" a="1"/>
  <c r="CW35" i="54" s="1"/>
  <c r="CV4" i="54"/>
  <c r="CW4" i="54" a="1"/>
  <c r="CW4" i="54" s="1"/>
  <c r="FS4" i="54" a="1"/>
  <c r="FS4" i="54" s="1"/>
  <c r="FV5" i="54" s="1"/>
  <c r="FR4" i="54" a="1"/>
  <c r="FR4" i="54" s="1"/>
  <c r="FS5" i="54" a="1"/>
  <c r="FS5" i="54" s="1"/>
  <c r="FR5" i="54" a="1"/>
  <c r="FR5" i="54" s="1"/>
  <c r="DC36" i="54"/>
  <c r="DA36" i="54"/>
  <c r="DB37" i="54" s="1"/>
  <c r="AN32" i="56"/>
  <c r="AF2" i="56"/>
  <c r="AF4" i="56"/>
  <c r="Q19" i="56"/>
  <c r="R19" i="56" s="1"/>
  <c r="AN19" i="56" s="1"/>
  <c r="CW10" i="54" l="1" a="1"/>
  <c r="CW10" i="54" s="1"/>
  <c r="CW179" i="54" a="1"/>
  <c r="CW179" i="54" s="1"/>
  <c r="CW85" i="54" a="1"/>
  <c r="CW85" i="54" s="1"/>
  <c r="CW266" i="54" a="1"/>
  <c r="CW266" i="54" s="1"/>
  <c r="CW172" i="54" a="1"/>
  <c r="CW172" i="54" s="1"/>
  <c r="CW72" i="54" a="1"/>
  <c r="CW72" i="54" s="1"/>
  <c r="CW247" i="54" a="1"/>
  <c r="CW247" i="54" s="1"/>
  <c r="CW189" i="54" a="1"/>
  <c r="CW189" i="54" s="1"/>
  <c r="CW47" i="54" a="1"/>
  <c r="CW47" i="54" s="1"/>
  <c r="CW222" i="54" a="1"/>
  <c r="CW222" i="54" s="1"/>
  <c r="CW134" i="54" a="1"/>
  <c r="CW134" i="54" s="1"/>
  <c r="CW40" i="54" a="1"/>
  <c r="CW40" i="54" s="1"/>
  <c r="CW209" i="54" a="1"/>
  <c r="CW209" i="54" s="1"/>
  <c r="CW91" i="54" a="1"/>
  <c r="CW91" i="54" s="1"/>
  <c r="CW57" i="54" a="1"/>
  <c r="CW57" i="54" s="1"/>
  <c r="CW250" i="54" a="1"/>
  <c r="CW250" i="54" s="1"/>
  <c r="CW162" i="54" a="1"/>
  <c r="CW162" i="54" s="1"/>
  <c r="CW74" i="54" a="1"/>
  <c r="CW74" i="54" s="1"/>
  <c r="CW243" i="54" a="1"/>
  <c r="CW243" i="54" s="1"/>
  <c r="CW149" i="54" a="1"/>
  <c r="CW149" i="54" s="1"/>
  <c r="CW31" i="54" a="1"/>
  <c r="CW31" i="54" s="1"/>
  <c r="CW248" i="54" a="1"/>
  <c r="CW248" i="54" s="1"/>
  <c r="CW190" i="54" a="1"/>
  <c r="CW190" i="54" s="1"/>
  <c r="CW102" i="54" a="1"/>
  <c r="CW102" i="54" s="1"/>
  <c r="CW14" i="54" a="1"/>
  <c r="CW14" i="54" s="1"/>
  <c r="CW183" i="54" a="1"/>
  <c r="CW183" i="54" s="1"/>
  <c r="CW89" i="54" a="1"/>
  <c r="CW89" i="54" s="1"/>
  <c r="CW252" i="54" a="1"/>
  <c r="CW252" i="54" s="1"/>
  <c r="CW188" i="54" a="1"/>
  <c r="CW188" i="54" s="1"/>
  <c r="CW58" i="54" a="1"/>
  <c r="CW58" i="54" s="1"/>
  <c r="CW227" i="54" a="1"/>
  <c r="CW227" i="54" s="1"/>
  <c r="CW133" i="54" a="1"/>
  <c r="CW133" i="54" s="1"/>
  <c r="CW51" i="54" a="1"/>
  <c r="CW51" i="54" s="1"/>
  <c r="CW220" i="54" a="1"/>
  <c r="CW220" i="54" s="1"/>
  <c r="CW120" i="54" a="1"/>
  <c r="CW120" i="54" s="1"/>
  <c r="CW56" i="54" a="1"/>
  <c r="CW56" i="54" s="1"/>
  <c r="CW237" i="54" a="1"/>
  <c r="CW237" i="54" s="1"/>
  <c r="CW95" i="54" a="1"/>
  <c r="CW95" i="54" s="1"/>
  <c r="CW61" i="54" a="1"/>
  <c r="CW61" i="54" s="1"/>
  <c r="CW182" i="54" a="1"/>
  <c r="CW182" i="54" s="1"/>
  <c r="CW88" i="54" a="1"/>
  <c r="CW88" i="54" s="1"/>
  <c r="CW257" i="54" a="1"/>
  <c r="CW257" i="54" s="1"/>
  <c r="CW151" i="54" a="1"/>
  <c r="CW151" i="54" s="1"/>
  <c r="CW105" i="54" a="1"/>
  <c r="CW105" i="54" s="1"/>
  <c r="CK227" i="54"/>
  <c r="CK244" i="54"/>
  <c r="CK177" i="54"/>
  <c r="CW82" i="54" a="1"/>
  <c r="CW82" i="54" s="1"/>
  <c r="CW251" i="54" a="1"/>
  <c r="CW251" i="54" s="1"/>
  <c r="CW157" i="54" a="1"/>
  <c r="CW157" i="54" s="1"/>
  <c r="CW75" i="54" a="1"/>
  <c r="CW75" i="54" s="1"/>
  <c r="CW244" i="54" a="1"/>
  <c r="CW244" i="54" s="1"/>
  <c r="CW144" i="54" a="1"/>
  <c r="CW144" i="54" s="1"/>
  <c r="CW80" i="54" a="1"/>
  <c r="CW80" i="54" s="1"/>
  <c r="CW261" i="54" a="1"/>
  <c r="CW261" i="54" s="1"/>
  <c r="CW119" i="54" a="1"/>
  <c r="CW119" i="54" s="1"/>
  <c r="CW13" i="54" a="1"/>
  <c r="CW13" i="54" s="1"/>
  <c r="CW206" i="54" a="1"/>
  <c r="CW206" i="54" s="1"/>
  <c r="CW112" i="54" a="1"/>
  <c r="CW112" i="54" s="1"/>
  <c r="CW12" i="54" a="1"/>
  <c r="CW12" i="54" s="1"/>
  <c r="CW175" i="54" a="1"/>
  <c r="CW175" i="54" s="1"/>
  <c r="CW129" i="54" a="1"/>
  <c r="CW129" i="54" s="1"/>
  <c r="CW59" i="54" a="1"/>
  <c r="CW59" i="54" s="1"/>
  <c r="CW234" i="54" a="1"/>
  <c r="CW234" i="54" s="1"/>
  <c r="CW146" i="54" a="1"/>
  <c r="CW146" i="54" s="1"/>
  <c r="CW52" i="54" a="1"/>
  <c r="CW52" i="54" s="1"/>
  <c r="CW221" i="54" a="1"/>
  <c r="CW221" i="54" s="1"/>
  <c r="CW103" i="54" a="1"/>
  <c r="CW103" i="54" s="1"/>
  <c r="CW69" i="54" a="1"/>
  <c r="CW69" i="54" s="1"/>
  <c r="CW262" i="54" a="1"/>
  <c r="CW262" i="54" s="1"/>
  <c r="CW174" i="54" a="1"/>
  <c r="CW174" i="54" s="1"/>
  <c r="CW86" i="54" a="1"/>
  <c r="CW86" i="54" s="1"/>
  <c r="CW255" i="54" a="1"/>
  <c r="CW255" i="54" s="1"/>
  <c r="CW161" i="54" a="1"/>
  <c r="CW161" i="54" s="1"/>
  <c r="CW43" i="54" a="1"/>
  <c r="CW43" i="54" s="1"/>
  <c r="CW260" i="54" a="1"/>
  <c r="CW260" i="54" s="1"/>
  <c r="CW130" i="54" a="1"/>
  <c r="CW130" i="54" s="1"/>
  <c r="CW42" i="54" a="1"/>
  <c r="CW42" i="54" s="1"/>
  <c r="CW217" i="54" a="1"/>
  <c r="CW217" i="54" s="1"/>
  <c r="CW123" i="54" a="1"/>
  <c r="CW123" i="54" s="1"/>
  <c r="CW29" i="54" a="1"/>
  <c r="CW29" i="54" s="1"/>
  <c r="CW192" i="54" a="1"/>
  <c r="CW192" i="54" s="1"/>
  <c r="CW128" i="54" a="1"/>
  <c r="CW128" i="54" s="1"/>
  <c r="CV2" i="54"/>
  <c r="CW167" i="54" a="1"/>
  <c r="CW167" i="54" s="1"/>
  <c r="CW73" i="54" a="1"/>
  <c r="CW73" i="54" s="1"/>
  <c r="CW254" i="54" a="1"/>
  <c r="CW254" i="54" s="1"/>
  <c r="CW160" i="54" a="1"/>
  <c r="CW160" i="54" s="1"/>
  <c r="CW60" i="54" a="1"/>
  <c r="CW60" i="54" s="1"/>
  <c r="CW235" i="54" a="1"/>
  <c r="CW235" i="54" s="1"/>
  <c r="CW177" i="54" a="1"/>
  <c r="CW177" i="54" s="1"/>
  <c r="CW154" i="54" a="1"/>
  <c r="CW154" i="54" s="1"/>
  <c r="CW241" i="54" a="1"/>
  <c r="CW241" i="54" s="1"/>
  <c r="CW53" i="54" a="1"/>
  <c r="CW53" i="54" s="1"/>
  <c r="CW22" i="54" a="1"/>
  <c r="CW22" i="54" s="1"/>
  <c r="CW97" i="54" a="1"/>
  <c r="CW97" i="54" s="1"/>
  <c r="CW84" i="54" a="1"/>
  <c r="CW84" i="54" s="1"/>
  <c r="CW131" i="54" a="1"/>
  <c r="CW131" i="54" s="1"/>
  <c r="CW124" i="54" a="1"/>
  <c r="CW124" i="54" s="1"/>
  <c r="CW141" i="54" a="1"/>
  <c r="CW141" i="54" s="1"/>
  <c r="CW158" i="54" a="1"/>
  <c r="CW158" i="54" s="1"/>
  <c r="CW233" i="54" a="1"/>
  <c r="CW233" i="54" s="1"/>
  <c r="CW202" i="54" a="1"/>
  <c r="CW202" i="54" s="1"/>
  <c r="CW195" i="54" a="1"/>
  <c r="CW195" i="54" s="1"/>
  <c r="CW200" i="54" a="1"/>
  <c r="CW200" i="54" s="1"/>
  <c r="CW145" i="54" a="1"/>
  <c r="CW145" i="54" s="1"/>
  <c r="CW132" i="54" a="1"/>
  <c r="CW132" i="54" s="1"/>
  <c r="CW249" i="54" a="1"/>
  <c r="CW249" i="54" s="1"/>
  <c r="CK145" i="54"/>
  <c r="CK83" i="54"/>
  <c r="CK25" i="54"/>
  <c r="CW66" i="54" a="1"/>
  <c r="CW66" i="54" s="1"/>
  <c r="CW147" i="54" a="1"/>
  <c r="CW147" i="54" s="1"/>
  <c r="CW216" i="54" a="1"/>
  <c r="CW216" i="54" s="1"/>
  <c r="CW152" i="54" a="1"/>
  <c r="CW152" i="54" s="1"/>
  <c r="CW191" i="54" a="1"/>
  <c r="CW191" i="54" s="1"/>
  <c r="CW15" i="54" a="1"/>
  <c r="CW15" i="54" s="1"/>
  <c r="CW184" i="54" a="1"/>
  <c r="CW184" i="54" s="1"/>
  <c r="CW259" i="54" a="1"/>
  <c r="CW259" i="54" s="1"/>
  <c r="CW201" i="54" a="1"/>
  <c r="CW201" i="54" s="1"/>
  <c r="CW25" i="54" a="1"/>
  <c r="CW25" i="54" s="1"/>
  <c r="CW218" i="54" a="1"/>
  <c r="CW218" i="54" s="1"/>
  <c r="CW24" i="54" a="1"/>
  <c r="CW24" i="54" s="1"/>
  <c r="CW187" i="54" a="1"/>
  <c r="CW187" i="54" s="1"/>
  <c r="CW71" i="54" a="1"/>
  <c r="CW71" i="54" s="1"/>
  <c r="CW246" i="54" a="1"/>
  <c r="CW246" i="54" s="1"/>
  <c r="CW64" i="54" a="1"/>
  <c r="CW64" i="54" s="1"/>
  <c r="CW127" i="54" a="1"/>
  <c r="CW127" i="54" s="1"/>
  <c r="CW81" i="54" a="1"/>
  <c r="CW81" i="54" s="1"/>
  <c r="CW114" i="54" a="1"/>
  <c r="CW114" i="54" s="1"/>
  <c r="CW26" i="54" a="1"/>
  <c r="CW26" i="54" s="1"/>
  <c r="CW101" i="54" a="1"/>
  <c r="CW101" i="54" s="1"/>
  <c r="CW264" i="54" a="1"/>
  <c r="CW264" i="54" s="1"/>
  <c r="CW70" i="54" a="1"/>
  <c r="CW70" i="54" s="1"/>
  <c r="CW239" i="54" a="1"/>
  <c r="CW239" i="54" s="1"/>
  <c r="CW63" i="54" a="1"/>
  <c r="CW63" i="54" s="1"/>
  <c r="CW232" i="54" a="1"/>
  <c r="CW232" i="54" s="1"/>
  <c r="CW68" i="54" a="1"/>
  <c r="CW68" i="54" s="1"/>
  <c r="CW226" i="54" a="1"/>
  <c r="CW226" i="54" s="1"/>
  <c r="CW138" i="54" a="1"/>
  <c r="CW138" i="54" s="1"/>
  <c r="CW50" i="54" a="1"/>
  <c r="CW50" i="54" s="1"/>
  <c r="CW219" i="54" a="1"/>
  <c r="CW219" i="54" s="1"/>
  <c r="CW125" i="54" a="1"/>
  <c r="CW125" i="54" s="1"/>
  <c r="CW32" i="54" a="1"/>
  <c r="CW32" i="54" s="1"/>
  <c r="CW224" i="54" a="1"/>
  <c r="CW224" i="54" s="1"/>
  <c r="CW94" i="54" a="1"/>
  <c r="CW94" i="54" s="1"/>
  <c r="CW263" i="54" a="1"/>
  <c r="CW263" i="54" s="1"/>
  <c r="CW181" i="54" a="1"/>
  <c r="CW181" i="54" s="1"/>
  <c r="CW87" i="54" a="1"/>
  <c r="CW87" i="54" s="1"/>
  <c r="CW256" i="54" a="1"/>
  <c r="CW256" i="54" s="1"/>
  <c r="CW156" i="54" a="1"/>
  <c r="CW156" i="54" s="1"/>
  <c r="CW92" i="54" a="1"/>
  <c r="CW92" i="54" s="1"/>
  <c r="CW34" i="54" a="1"/>
  <c r="CW34" i="54" s="1"/>
  <c r="CW203" i="54" a="1"/>
  <c r="CW203" i="54" s="1"/>
  <c r="CW109" i="54" a="1"/>
  <c r="CW109" i="54" s="1"/>
  <c r="CW27" i="54" a="1"/>
  <c r="CW27" i="54" s="1"/>
  <c r="CW196" i="54" a="1"/>
  <c r="CW196" i="54" s="1"/>
  <c r="CW96" i="54" a="1"/>
  <c r="CW96" i="54" s="1"/>
  <c r="CW20" i="54" a="1"/>
  <c r="CW20" i="54" s="1"/>
  <c r="CW213" i="54" a="1"/>
  <c r="CW213" i="54" s="1"/>
  <c r="CW143" i="54" a="1"/>
  <c r="CW143" i="54" s="1"/>
  <c r="CW37" i="54" a="1"/>
  <c r="CW37" i="54" s="1"/>
  <c r="CW230" i="54" a="1"/>
  <c r="CW230" i="54" s="1"/>
  <c r="CW136" i="54" a="1"/>
  <c r="CW136" i="54" s="1"/>
  <c r="CW36" i="54" a="1"/>
  <c r="CW36" i="54" s="1"/>
  <c r="CW199" i="54" a="1"/>
  <c r="CW199" i="54" s="1"/>
  <c r="CW153" i="54" a="1"/>
  <c r="CW153" i="54" s="1"/>
  <c r="CW11" i="54" a="1"/>
  <c r="CW11" i="54" s="1"/>
  <c r="CW186" i="54" a="1"/>
  <c r="CW186" i="54" s="1"/>
  <c r="CW98" i="54" a="1"/>
  <c r="CW98" i="54" s="1"/>
  <c r="CW267" i="54" a="1"/>
  <c r="CW267" i="54" s="1"/>
  <c r="CW173" i="54" a="1"/>
  <c r="CW173" i="54" s="1"/>
  <c r="CW55" i="54" a="1"/>
  <c r="CW55" i="54" s="1"/>
  <c r="CW21" i="54" a="1"/>
  <c r="CW21" i="54" s="1"/>
  <c r="CW142" i="54" a="1"/>
  <c r="CW142" i="54" s="1"/>
  <c r="CW54" i="54" a="1"/>
  <c r="CW54" i="54" s="1"/>
  <c r="CW229" i="54" a="1"/>
  <c r="CW229" i="54" s="1"/>
  <c r="CW135" i="54" a="1"/>
  <c r="CW135" i="54" s="1"/>
  <c r="CW41" i="54" a="1"/>
  <c r="CW41" i="54" s="1"/>
  <c r="CW204" i="54" a="1"/>
  <c r="CW204" i="54" s="1"/>
  <c r="CW140" i="54" a="1"/>
  <c r="CW140" i="54" s="1"/>
  <c r="CW139" i="54" a="1"/>
  <c r="CW139" i="54" s="1"/>
  <c r="CW93" i="54" a="1"/>
  <c r="CW93" i="54" s="1"/>
  <c r="CW214" i="54" a="1"/>
  <c r="CW214" i="54" s="1"/>
  <c r="CW126" i="54" a="1"/>
  <c r="CW126" i="54" s="1"/>
  <c r="CW38" i="54" a="1"/>
  <c r="CW38" i="54" s="1"/>
  <c r="CW207" i="54" a="1"/>
  <c r="CW207" i="54" s="1"/>
  <c r="CW113" i="54" a="1"/>
  <c r="CW113" i="54" s="1"/>
  <c r="CW115" i="54" a="1"/>
  <c r="CW115" i="54" s="1"/>
  <c r="CK109" i="54"/>
  <c r="CM109" i="54" s="1"/>
  <c r="CM134" i="54"/>
  <c r="CM229" i="54"/>
  <c r="CM97" i="54"/>
  <c r="CL154" i="54"/>
  <c r="CK14" i="54"/>
  <c r="CL14" i="54" s="1"/>
  <c r="CK80" i="54"/>
  <c r="CM80" i="54" s="1"/>
  <c r="CK195" i="54"/>
  <c r="CL195" i="54" s="1"/>
  <c r="CK103" i="54"/>
  <c r="CM103" i="54" s="1"/>
  <c r="CQ3" i="54"/>
  <c r="CK183" i="54"/>
  <c r="CK49" i="54"/>
  <c r="CL49" i="54" s="1"/>
  <c r="CK175" i="54"/>
  <c r="CM175" i="54" s="1"/>
  <c r="CK117" i="54"/>
  <c r="CM117" i="54" s="1"/>
  <c r="CL231" i="54"/>
  <c r="CK176" i="54"/>
  <c r="CK196" i="54"/>
  <c r="CK186" i="54"/>
  <c r="CM186" i="54" s="1"/>
  <c r="CM213" i="54"/>
  <c r="CK123" i="54"/>
  <c r="CM123" i="54" s="1"/>
  <c r="CM116" i="54"/>
  <c r="CL22" i="54"/>
  <c r="CL240" i="54"/>
  <c r="CM113" i="54"/>
  <c r="CK62" i="54"/>
  <c r="CM62" i="54" s="1"/>
  <c r="CK147" i="54"/>
  <c r="CK190" i="54"/>
  <c r="CM190" i="54" s="1"/>
  <c r="CM200" i="54"/>
  <c r="CK172" i="54"/>
  <c r="CL243" i="54"/>
  <c r="CK201" i="54"/>
  <c r="CM201" i="54" s="1"/>
  <c r="CM107" i="54"/>
  <c r="CK13" i="54"/>
  <c r="CL13" i="54" s="1"/>
  <c r="CM81" i="54"/>
  <c r="CK156" i="54"/>
  <c r="CL40" i="54"/>
  <c r="CK36" i="54"/>
  <c r="CL36" i="54" s="1"/>
  <c r="CL29" i="54"/>
  <c r="CK242" i="54"/>
  <c r="CL242" i="54" s="1"/>
  <c r="CM111" i="54"/>
  <c r="CK165" i="54"/>
  <c r="CL162" i="54"/>
  <c r="CK241" i="54"/>
  <c r="CL241" i="54" s="1"/>
  <c r="CL73" i="54"/>
  <c r="CK225" i="54"/>
  <c r="CL225" i="54" s="1"/>
  <c r="CL31" i="54"/>
  <c r="CK254" i="54"/>
  <c r="CK126" i="54"/>
  <c r="CM126" i="54" s="1"/>
  <c r="CK114" i="54"/>
  <c r="CM114" i="54" s="1"/>
  <c r="CK193" i="54"/>
  <c r="FA259" i="54"/>
  <c r="FB259" i="54"/>
  <c r="FC259" i="54" s="1"/>
  <c r="FA30" i="54"/>
  <c r="FB30" i="54"/>
  <c r="FC30" i="54" s="1"/>
  <c r="FA133" i="54"/>
  <c r="FB133" i="54"/>
  <c r="FC133" i="54" s="1"/>
  <c r="FA246" i="54"/>
  <c r="FB246" i="54"/>
  <c r="FC246" i="54" s="1"/>
  <c r="FA229" i="54"/>
  <c r="FB229" i="54"/>
  <c r="FC229" i="54" s="1"/>
  <c r="FA43" i="54"/>
  <c r="FB43" i="54"/>
  <c r="FC43" i="54" s="1"/>
  <c r="FA26" i="54"/>
  <c r="FB26" i="54"/>
  <c r="FC26" i="54" s="1"/>
  <c r="FA152" i="54"/>
  <c r="FB152" i="54"/>
  <c r="FC152" i="54" s="1"/>
  <c r="FA124" i="54"/>
  <c r="FB124" i="54"/>
  <c r="FC124" i="54" s="1"/>
  <c r="FA96" i="54"/>
  <c r="FB96" i="54"/>
  <c r="FC96" i="54" s="1"/>
  <c r="FA126" i="54"/>
  <c r="FB126" i="54"/>
  <c r="FC126" i="54" s="1"/>
  <c r="FA249" i="54"/>
  <c r="FB249" i="54"/>
  <c r="FC249" i="54" s="1"/>
  <c r="FA49" i="54"/>
  <c r="FB49" i="54"/>
  <c r="FC49" i="54" s="1"/>
  <c r="FA264" i="54"/>
  <c r="FB264" i="54"/>
  <c r="FC264" i="54" s="1"/>
  <c r="FA258" i="54"/>
  <c r="FB258" i="54"/>
  <c r="FC258" i="54" s="1"/>
  <c r="FA122" i="54"/>
  <c r="FB122" i="54"/>
  <c r="FC122" i="54" s="1"/>
  <c r="FA239" i="54"/>
  <c r="FB239" i="54"/>
  <c r="FC239" i="54" s="1"/>
  <c r="FA117" i="54"/>
  <c r="FB117" i="54"/>
  <c r="FC117" i="54" s="1"/>
  <c r="FA139" i="54"/>
  <c r="FB139" i="54"/>
  <c r="FC139" i="54" s="1"/>
  <c r="FA99" i="54"/>
  <c r="FB99" i="54"/>
  <c r="FC99" i="54" s="1"/>
  <c r="FA232" i="54"/>
  <c r="FB232" i="54"/>
  <c r="FC232" i="54" s="1"/>
  <c r="FA58" i="54"/>
  <c r="FB58" i="54"/>
  <c r="FC58" i="54" s="1"/>
  <c r="FA233" i="54"/>
  <c r="FB233" i="54"/>
  <c r="FC233" i="54" s="1"/>
  <c r="FA136" i="54"/>
  <c r="FB136" i="54"/>
  <c r="FC136" i="54" s="1"/>
  <c r="FA109" i="54"/>
  <c r="FB109" i="54"/>
  <c r="FC109" i="54" s="1"/>
  <c r="FA193" i="54"/>
  <c r="FB193" i="54"/>
  <c r="FC193" i="54" s="1"/>
  <c r="FA188" i="54"/>
  <c r="FB188" i="54"/>
  <c r="FC188" i="54" s="1"/>
  <c r="FA257" i="54"/>
  <c r="FB257" i="54"/>
  <c r="FC257" i="54" s="1"/>
  <c r="FA195" i="54"/>
  <c r="FB195" i="54"/>
  <c r="FC195" i="54" s="1"/>
  <c r="FA251" i="54"/>
  <c r="FB251" i="54"/>
  <c r="FC251" i="54" s="1"/>
  <c r="FA224" i="54"/>
  <c r="FB224" i="54"/>
  <c r="FC224" i="54" s="1"/>
  <c r="FA135" i="54"/>
  <c r="FB135" i="54"/>
  <c r="FC135" i="54" s="1"/>
  <c r="FA248" i="54"/>
  <c r="FB248" i="54"/>
  <c r="FC248" i="54" s="1"/>
  <c r="FA112" i="54"/>
  <c r="FB112" i="54"/>
  <c r="FC112" i="54" s="1"/>
  <c r="FA186" i="54"/>
  <c r="FB186" i="54"/>
  <c r="FC186" i="54" s="1"/>
  <c r="FA84" i="54"/>
  <c r="FB84" i="54"/>
  <c r="FC84" i="54" s="1"/>
  <c r="FA216" i="54"/>
  <c r="FB216" i="54"/>
  <c r="FC216" i="54" s="1"/>
  <c r="FA71" i="54"/>
  <c r="FB71" i="54"/>
  <c r="FC71" i="54" s="1"/>
  <c r="FA250" i="54"/>
  <c r="FB250" i="54"/>
  <c r="FC250" i="54" s="1"/>
  <c r="FA214" i="54"/>
  <c r="FB214" i="54"/>
  <c r="FC214" i="54" s="1"/>
  <c r="FA235" i="54"/>
  <c r="FB235" i="54"/>
  <c r="FC235" i="54" s="1"/>
  <c r="FA209" i="54"/>
  <c r="FB209" i="54"/>
  <c r="FC209" i="54" s="1"/>
  <c r="FA168" i="54"/>
  <c r="FB168" i="54"/>
  <c r="FC168" i="54" s="1"/>
  <c r="FA252" i="54"/>
  <c r="FB252" i="54"/>
  <c r="FC252" i="54" s="1"/>
  <c r="FA83" i="54"/>
  <c r="FB83" i="54"/>
  <c r="FC83" i="54" s="1"/>
  <c r="FA16" i="54"/>
  <c r="FB16" i="54"/>
  <c r="FC16" i="54" s="1"/>
  <c r="FA157" i="54"/>
  <c r="FB157" i="54"/>
  <c r="FC157" i="54" s="1"/>
  <c r="FA144" i="54"/>
  <c r="FB144" i="54"/>
  <c r="FC144" i="54" s="1"/>
  <c r="FA171" i="54"/>
  <c r="FB171" i="54"/>
  <c r="FC171" i="54" s="1"/>
  <c r="FA200" i="54"/>
  <c r="FB200" i="54"/>
  <c r="FC200" i="54" s="1"/>
  <c r="FA244" i="54"/>
  <c r="FB244" i="54"/>
  <c r="FC244" i="54" s="1"/>
  <c r="FA87" i="54"/>
  <c r="FB87" i="54"/>
  <c r="FC87" i="54" s="1"/>
  <c r="FA94" i="54"/>
  <c r="FB94" i="54"/>
  <c r="FC94" i="54" s="1"/>
  <c r="FA59" i="54"/>
  <c r="FB59" i="54"/>
  <c r="FC59" i="54" s="1"/>
  <c r="FA207" i="54"/>
  <c r="FB207" i="54"/>
  <c r="FC207" i="54" s="1"/>
  <c r="FA89" i="54"/>
  <c r="FB89" i="54"/>
  <c r="FC89" i="54" s="1"/>
  <c r="FA104" i="54"/>
  <c r="FB104" i="54"/>
  <c r="FC104" i="54" s="1"/>
  <c r="FA98" i="54"/>
  <c r="FB98" i="54"/>
  <c r="FC98" i="54" s="1"/>
  <c r="FA114" i="54"/>
  <c r="FB114" i="54"/>
  <c r="FC114" i="54" s="1"/>
  <c r="FA57" i="54"/>
  <c r="FB57" i="54"/>
  <c r="FC57" i="54" s="1"/>
  <c r="FA223" i="54"/>
  <c r="FB223" i="54"/>
  <c r="FC223" i="54" s="1"/>
  <c r="FA10" i="54"/>
  <c r="FB10" i="54"/>
  <c r="FC10" i="54" s="1"/>
  <c r="FA256" i="54"/>
  <c r="FB256" i="54"/>
  <c r="FC256" i="54" s="1"/>
  <c r="FA67" i="54"/>
  <c r="FB67" i="54"/>
  <c r="FC67" i="54" s="1"/>
  <c r="FA147" i="54"/>
  <c r="FB147" i="54"/>
  <c r="FC147" i="54" s="1"/>
  <c r="FA61" i="54"/>
  <c r="FB61" i="54"/>
  <c r="FC61" i="54" s="1"/>
  <c r="FA11" i="54"/>
  <c r="FB11" i="54"/>
  <c r="FC11" i="54" s="1"/>
  <c r="FA150" i="54"/>
  <c r="FB150" i="54"/>
  <c r="FC150" i="54" s="1"/>
  <c r="FA247" i="54"/>
  <c r="FB247" i="54"/>
  <c r="FC247" i="54" s="1"/>
  <c r="FA73" i="54"/>
  <c r="FB73" i="54"/>
  <c r="FC73" i="54" s="1"/>
  <c r="FA245" i="54"/>
  <c r="FB245" i="54"/>
  <c r="FC245" i="54" s="1"/>
  <c r="FA21" i="54"/>
  <c r="FB21" i="54"/>
  <c r="FC21" i="54" s="1"/>
  <c r="FA75" i="54"/>
  <c r="FB75" i="54"/>
  <c r="FC75" i="54" s="1"/>
  <c r="FA41" i="54"/>
  <c r="FB41" i="54"/>
  <c r="FC41" i="54" s="1"/>
  <c r="FA226" i="54"/>
  <c r="FB226" i="54"/>
  <c r="FC226" i="54" s="1"/>
  <c r="FA265" i="54"/>
  <c r="FB265" i="54"/>
  <c r="FC265" i="54" s="1"/>
  <c r="FA241" i="54"/>
  <c r="FB241" i="54"/>
  <c r="FC241" i="54" s="1"/>
  <c r="FA204" i="54"/>
  <c r="FB204" i="54"/>
  <c r="FC204" i="54" s="1"/>
  <c r="FA85" i="54"/>
  <c r="FB85" i="54"/>
  <c r="FC85" i="54" s="1"/>
  <c r="FA243" i="54"/>
  <c r="FB243" i="54"/>
  <c r="FC243" i="54" s="1"/>
  <c r="FA79" i="54"/>
  <c r="FB79" i="54"/>
  <c r="FC79" i="54" s="1"/>
  <c r="FA237" i="54"/>
  <c r="FB237" i="54"/>
  <c r="FC237" i="54" s="1"/>
  <c r="FA36" i="54"/>
  <c r="FB36" i="54"/>
  <c r="FC36" i="54" s="1"/>
  <c r="FA120" i="54"/>
  <c r="FB120" i="54"/>
  <c r="FC120" i="54" s="1"/>
  <c r="FA102" i="54"/>
  <c r="FB102" i="54"/>
  <c r="FC102" i="54" s="1"/>
  <c r="FA24" i="54"/>
  <c r="FB24" i="54"/>
  <c r="FC24" i="54" s="1"/>
  <c r="FA35" i="54"/>
  <c r="FB35" i="54"/>
  <c r="FC35" i="54" s="1"/>
  <c r="FA14" i="54"/>
  <c r="FB14" i="54"/>
  <c r="FC14" i="54" s="1"/>
  <c r="FA218" i="54"/>
  <c r="FB218" i="54"/>
  <c r="FC218" i="54" s="1"/>
  <c r="FA267" i="54"/>
  <c r="FB267" i="54"/>
  <c r="FC267" i="54" s="1"/>
  <c r="FA46" i="54"/>
  <c r="FB46" i="54"/>
  <c r="FC46" i="54" s="1"/>
  <c r="FA39" i="54"/>
  <c r="FB39" i="54"/>
  <c r="FC39" i="54" s="1"/>
  <c r="FA100" i="54"/>
  <c r="FB100" i="54"/>
  <c r="FC100" i="54" s="1"/>
  <c r="FA194" i="54"/>
  <c r="FB194" i="54"/>
  <c r="FC194" i="54" s="1"/>
  <c r="FA54" i="54"/>
  <c r="FB54" i="54"/>
  <c r="FC54" i="54" s="1"/>
  <c r="FA80" i="54"/>
  <c r="FB80" i="54"/>
  <c r="FC80" i="54" s="1"/>
  <c r="FA192" i="54"/>
  <c r="FB192" i="54"/>
  <c r="FC192" i="54" s="1"/>
  <c r="FA180" i="54"/>
  <c r="FB180" i="54"/>
  <c r="FC180" i="54" s="1"/>
  <c r="FA238" i="54"/>
  <c r="FB238" i="54"/>
  <c r="FC238" i="54" s="1"/>
  <c r="FA31" i="54"/>
  <c r="FB31" i="54"/>
  <c r="FC31" i="54" s="1"/>
  <c r="FA15" i="54"/>
  <c r="FB15" i="54"/>
  <c r="FC15" i="54" s="1"/>
  <c r="FA153" i="54"/>
  <c r="FB153" i="54"/>
  <c r="FC153" i="54" s="1"/>
  <c r="FA183" i="54"/>
  <c r="FB183" i="54"/>
  <c r="FC183" i="54" s="1"/>
  <c r="FA62" i="54"/>
  <c r="FB62" i="54"/>
  <c r="FC62" i="54" s="1"/>
  <c r="FA187" i="54"/>
  <c r="FB187" i="54"/>
  <c r="FC187" i="54" s="1"/>
  <c r="FA53" i="54"/>
  <c r="FB53" i="54"/>
  <c r="FC53" i="54" s="1"/>
  <c r="FA154" i="54"/>
  <c r="FB154" i="54"/>
  <c r="FC154" i="54" s="1"/>
  <c r="FA166" i="54"/>
  <c r="FB166" i="54"/>
  <c r="FC166" i="54" s="1"/>
  <c r="FA42" i="54"/>
  <c r="FB42" i="54"/>
  <c r="FC42" i="54" s="1"/>
  <c r="FA261" i="54"/>
  <c r="FB261" i="54"/>
  <c r="FC261" i="54" s="1"/>
  <c r="FA23" i="54"/>
  <c r="FB23" i="54"/>
  <c r="FC23" i="54" s="1"/>
  <c r="FA262" i="54"/>
  <c r="FB262" i="54"/>
  <c r="FC262" i="54" s="1"/>
  <c r="FA177" i="54"/>
  <c r="FB177" i="54"/>
  <c r="FC177" i="54" s="1"/>
  <c r="FA266" i="54"/>
  <c r="FB266" i="54"/>
  <c r="FC266" i="54" s="1"/>
  <c r="FA130" i="54"/>
  <c r="FB130" i="54"/>
  <c r="FC130" i="54" s="1"/>
  <c r="FA108" i="54"/>
  <c r="FB108" i="54"/>
  <c r="FC108" i="54" s="1"/>
  <c r="FA240" i="54"/>
  <c r="FB240" i="54"/>
  <c r="FC240" i="54" s="1"/>
  <c r="FA90" i="54"/>
  <c r="FB90" i="54"/>
  <c r="FC90" i="54" s="1"/>
  <c r="FA255" i="54"/>
  <c r="FB255" i="54"/>
  <c r="FC255" i="54" s="1"/>
  <c r="FA27" i="54"/>
  <c r="FB27" i="54"/>
  <c r="FC27" i="54" s="1"/>
  <c r="FA174" i="54"/>
  <c r="FB174" i="54"/>
  <c r="FC174" i="54" s="1"/>
  <c r="FA179" i="54"/>
  <c r="FB179" i="54"/>
  <c r="FC179" i="54" s="1"/>
  <c r="FA131" i="54"/>
  <c r="FB131" i="54"/>
  <c r="FC131" i="54" s="1"/>
  <c r="FA173" i="54"/>
  <c r="FB173" i="54"/>
  <c r="FC173" i="54" s="1"/>
  <c r="FA146" i="54"/>
  <c r="FB146" i="54"/>
  <c r="FC146" i="54" s="1"/>
  <c r="FA20" i="54"/>
  <c r="FB20" i="54"/>
  <c r="FC20" i="54" s="1"/>
  <c r="FA38" i="54"/>
  <c r="FB38" i="54"/>
  <c r="FC38" i="54" s="1"/>
  <c r="FA65" i="54"/>
  <c r="FB65" i="54"/>
  <c r="FC65" i="54" s="1"/>
  <c r="FA12" i="54"/>
  <c r="FB12" i="54"/>
  <c r="FC12" i="54" s="1"/>
  <c r="FA78" i="54"/>
  <c r="FB78" i="54"/>
  <c r="FC78" i="54" s="1"/>
  <c r="FA182" i="54"/>
  <c r="FB182" i="54"/>
  <c r="FC182" i="54" s="1"/>
  <c r="FA40" i="54"/>
  <c r="FB40" i="54"/>
  <c r="FC40" i="54" s="1"/>
  <c r="FA106" i="54"/>
  <c r="FB106" i="54"/>
  <c r="FC106" i="54" s="1"/>
  <c r="FA236" i="54"/>
  <c r="FB236" i="54"/>
  <c r="FC236" i="54" s="1"/>
  <c r="FA225" i="54"/>
  <c r="FB225" i="54"/>
  <c r="FC225" i="54" s="1"/>
  <c r="FA91" i="54"/>
  <c r="FB91" i="54"/>
  <c r="FC91" i="54" s="1"/>
  <c r="FA151" i="54"/>
  <c r="FB151" i="54"/>
  <c r="FC151" i="54" s="1"/>
  <c r="FA156" i="54"/>
  <c r="FB156" i="54"/>
  <c r="FC156" i="54" s="1"/>
  <c r="FA137" i="54"/>
  <c r="FB137" i="54"/>
  <c r="FC137" i="54" s="1"/>
  <c r="FA128" i="54"/>
  <c r="FB128" i="54"/>
  <c r="FC128" i="54" s="1"/>
  <c r="FA185" i="54"/>
  <c r="FB185" i="54"/>
  <c r="FC185" i="54" s="1"/>
  <c r="FA95" i="54"/>
  <c r="FB95" i="54"/>
  <c r="FC95" i="54" s="1"/>
  <c r="FA60" i="54"/>
  <c r="FB60" i="54"/>
  <c r="FC60" i="54" s="1"/>
  <c r="FA234" i="54"/>
  <c r="FB234" i="54"/>
  <c r="FC234" i="54" s="1"/>
  <c r="FA72" i="54"/>
  <c r="FB72" i="54"/>
  <c r="FC72" i="54" s="1"/>
  <c r="FA203" i="54"/>
  <c r="FB203" i="54"/>
  <c r="FC203" i="54" s="1"/>
  <c r="FA178" i="54"/>
  <c r="FB178" i="54"/>
  <c r="FC178" i="54" s="1"/>
  <c r="FA242" i="54"/>
  <c r="FB242" i="54"/>
  <c r="FC242" i="54" s="1"/>
  <c r="FA103" i="54"/>
  <c r="FB103" i="54"/>
  <c r="FC103" i="54" s="1"/>
  <c r="FA113" i="54"/>
  <c r="FB113" i="54"/>
  <c r="FC113" i="54" s="1"/>
  <c r="FA197" i="54"/>
  <c r="FB197" i="54"/>
  <c r="FC197" i="54" s="1"/>
  <c r="FA132" i="54"/>
  <c r="FB132" i="54"/>
  <c r="FC132" i="54" s="1"/>
  <c r="FA76" i="54"/>
  <c r="FB76" i="54"/>
  <c r="FC76" i="54" s="1"/>
  <c r="FA55" i="54"/>
  <c r="FB55" i="54"/>
  <c r="FC55" i="54" s="1"/>
  <c r="FA93" i="54"/>
  <c r="FB93" i="54"/>
  <c r="FC93" i="54" s="1"/>
  <c r="FA13" i="54"/>
  <c r="FB13" i="54"/>
  <c r="FC13" i="54" s="1"/>
  <c r="FA221" i="54"/>
  <c r="FB221" i="54"/>
  <c r="FC221" i="54" s="1"/>
  <c r="FA176" i="54"/>
  <c r="FB176" i="54"/>
  <c r="FC176" i="54" s="1"/>
  <c r="FA215" i="54"/>
  <c r="FB215" i="54"/>
  <c r="FC215" i="54" s="1"/>
  <c r="FA191" i="54"/>
  <c r="FB191" i="54"/>
  <c r="FC191" i="54" s="1"/>
  <c r="FA143" i="54"/>
  <c r="FB143" i="54"/>
  <c r="FC143" i="54" s="1"/>
  <c r="FA45" i="54"/>
  <c r="FB45" i="54"/>
  <c r="FC45" i="54" s="1"/>
  <c r="FA208" i="54"/>
  <c r="FB208" i="54"/>
  <c r="FC208" i="54" s="1"/>
  <c r="FA160" i="54"/>
  <c r="FB160" i="54"/>
  <c r="FC160" i="54" s="1"/>
  <c r="FA199" i="54"/>
  <c r="FB199" i="54"/>
  <c r="FC199" i="54" s="1"/>
  <c r="FA175" i="54"/>
  <c r="FB175" i="54"/>
  <c r="FC175" i="54" s="1"/>
  <c r="FA101" i="54"/>
  <c r="FB101" i="54"/>
  <c r="FC101" i="54" s="1"/>
  <c r="FA134" i="54"/>
  <c r="FB134" i="54"/>
  <c r="FC134" i="54" s="1"/>
  <c r="FA32" i="54"/>
  <c r="FB32" i="54"/>
  <c r="FC32" i="54" s="1"/>
  <c r="FA158" i="54"/>
  <c r="FB158" i="54"/>
  <c r="FC158" i="54" s="1"/>
  <c r="FA222" i="54"/>
  <c r="FB222" i="54"/>
  <c r="FC222" i="54" s="1"/>
  <c r="FA140" i="54"/>
  <c r="FB140" i="54"/>
  <c r="FC140" i="54" s="1"/>
  <c r="FA165" i="54"/>
  <c r="FB165" i="54"/>
  <c r="FC165" i="54" s="1"/>
  <c r="FA105" i="54"/>
  <c r="FB105" i="54"/>
  <c r="FC105" i="54" s="1"/>
  <c r="FA213" i="54"/>
  <c r="FB213" i="54"/>
  <c r="FC213" i="54" s="1"/>
  <c r="FA206" i="54"/>
  <c r="FB206" i="54"/>
  <c r="FC206" i="54" s="1"/>
  <c r="FA253" i="54"/>
  <c r="FB253" i="54"/>
  <c r="FC253" i="54" s="1"/>
  <c r="FA125" i="54"/>
  <c r="FB125" i="54"/>
  <c r="FC125" i="54" s="1"/>
  <c r="FA145" i="54"/>
  <c r="FB145" i="54"/>
  <c r="FC145" i="54" s="1"/>
  <c r="FA161" i="54"/>
  <c r="FB161" i="54"/>
  <c r="FC161" i="54" s="1"/>
  <c r="FA18" i="54"/>
  <c r="FB18" i="54"/>
  <c r="FC18" i="54" s="1"/>
  <c r="FA77" i="54"/>
  <c r="FB77" i="54"/>
  <c r="FC77" i="54" s="1"/>
  <c r="FA230" i="54"/>
  <c r="FB230" i="54"/>
  <c r="FC230" i="54" s="1"/>
  <c r="FA47" i="54"/>
  <c r="FB47" i="54"/>
  <c r="FC47" i="54" s="1"/>
  <c r="FA25" i="54"/>
  <c r="FB25" i="54"/>
  <c r="FC25" i="54" s="1"/>
  <c r="FA19" i="54"/>
  <c r="FB19" i="54"/>
  <c r="FC19" i="54" s="1"/>
  <c r="FA81" i="54"/>
  <c r="FB81" i="54"/>
  <c r="FC81" i="54" s="1"/>
  <c r="FA17" i="54"/>
  <c r="FB17" i="54"/>
  <c r="FC17" i="54" s="1"/>
  <c r="FA181" i="54"/>
  <c r="FB181" i="54"/>
  <c r="FC181" i="54" s="1"/>
  <c r="FA196" i="54"/>
  <c r="FB196" i="54"/>
  <c r="FC196" i="54" s="1"/>
  <c r="FA202" i="54"/>
  <c r="FB202" i="54"/>
  <c r="FC202" i="54" s="1"/>
  <c r="FA64" i="54"/>
  <c r="FB64" i="54"/>
  <c r="FC64" i="54" s="1"/>
  <c r="FA51" i="54"/>
  <c r="FB51" i="54"/>
  <c r="FC51" i="54" s="1"/>
  <c r="FA69" i="54"/>
  <c r="FB69" i="54"/>
  <c r="FC69" i="54" s="1"/>
  <c r="FA142" i="54"/>
  <c r="FB142" i="54"/>
  <c r="FC142" i="54" s="1"/>
  <c r="FA50" i="54"/>
  <c r="FB50" i="54"/>
  <c r="FC50" i="54" s="1"/>
  <c r="FA29" i="54"/>
  <c r="FB29" i="54"/>
  <c r="FC29" i="54" s="1"/>
  <c r="FA212" i="54"/>
  <c r="FB212" i="54"/>
  <c r="FC212" i="54" s="1"/>
  <c r="FA228" i="54"/>
  <c r="FB228" i="54"/>
  <c r="FC228" i="54" s="1"/>
  <c r="FA210" i="54"/>
  <c r="FB210" i="54"/>
  <c r="FC210" i="54" s="1"/>
  <c r="FA211" i="54"/>
  <c r="FB211" i="54"/>
  <c r="FC211" i="54" s="1"/>
  <c r="FA92" i="54"/>
  <c r="FB92" i="54"/>
  <c r="FC92" i="54" s="1"/>
  <c r="FA205" i="54"/>
  <c r="FB205" i="54"/>
  <c r="FC205" i="54" s="1"/>
  <c r="FA86" i="54"/>
  <c r="FB86" i="54"/>
  <c r="FC86" i="54" s="1"/>
  <c r="FA217" i="54"/>
  <c r="FB217" i="54"/>
  <c r="FC217" i="54" s="1"/>
  <c r="FA172" i="54"/>
  <c r="FB172" i="54"/>
  <c r="FC172" i="54" s="1"/>
  <c r="FA170" i="54"/>
  <c r="FB170" i="54"/>
  <c r="FC170" i="54" s="1"/>
  <c r="FA70" i="54"/>
  <c r="FB70" i="54"/>
  <c r="FC70" i="54" s="1"/>
  <c r="FA22" i="54"/>
  <c r="FB22" i="54"/>
  <c r="FC22" i="54" s="1"/>
  <c r="FA52" i="54"/>
  <c r="FB52" i="54"/>
  <c r="FC52" i="54" s="1"/>
  <c r="FA37" i="54"/>
  <c r="FB37" i="54"/>
  <c r="FC37" i="54" s="1"/>
  <c r="FA127" i="54"/>
  <c r="FB127" i="54"/>
  <c r="FC127" i="54" s="1"/>
  <c r="FA184" i="54"/>
  <c r="FB184" i="54"/>
  <c r="FC184" i="54" s="1"/>
  <c r="FA163" i="54"/>
  <c r="FB163" i="54"/>
  <c r="FC163" i="54" s="1"/>
  <c r="FA123" i="54"/>
  <c r="FB123" i="54"/>
  <c r="FC123" i="54" s="1"/>
  <c r="FA148" i="54"/>
  <c r="FB148" i="54"/>
  <c r="FC148" i="54" s="1"/>
  <c r="FA118" i="54"/>
  <c r="FB118" i="54"/>
  <c r="FC118" i="54" s="1"/>
  <c r="FA116" i="54"/>
  <c r="FB116" i="54"/>
  <c r="FC116" i="54" s="1"/>
  <c r="FA110" i="54"/>
  <c r="FB110" i="54"/>
  <c r="FC110" i="54" s="1"/>
  <c r="FA219" i="54"/>
  <c r="FB219" i="54"/>
  <c r="FC219" i="54" s="1"/>
  <c r="FA149" i="54"/>
  <c r="FB149" i="54"/>
  <c r="FC149" i="54" s="1"/>
  <c r="FA198" i="54"/>
  <c r="FB198" i="54"/>
  <c r="FC198" i="54" s="1"/>
  <c r="FA169" i="54"/>
  <c r="FB169" i="54"/>
  <c r="FC169" i="54" s="1"/>
  <c r="FA155" i="54"/>
  <c r="FB155" i="54"/>
  <c r="FC155" i="54" s="1"/>
  <c r="FA167" i="54"/>
  <c r="FB167" i="54"/>
  <c r="FC167" i="54" s="1"/>
  <c r="FA138" i="54"/>
  <c r="FB138" i="54"/>
  <c r="FC138" i="54" s="1"/>
  <c r="FA119" i="54"/>
  <c r="FB119" i="54"/>
  <c r="FC119" i="54" s="1"/>
  <c r="FA254" i="54"/>
  <c r="FB254" i="54"/>
  <c r="FC254" i="54" s="1"/>
  <c r="FA66" i="54"/>
  <c r="FB66" i="54"/>
  <c r="FC66" i="54" s="1"/>
  <c r="FA129" i="54"/>
  <c r="FB129" i="54"/>
  <c r="FC129" i="54" s="1"/>
  <c r="FA260" i="54"/>
  <c r="FB260" i="54"/>
  <c r="FC260" i="54" s="1"/>
  <c r="FA159" i="54"/>
  <c r="FB159" i="54"/>
  <c r="FC159" i="54" s="1"/>
  <c r="FA227" i="54"/>
  <c r="FB227" i="54"/>
  <c r="FC227" i="54" s="1"/>
  <c r="FA162" i="54"/>
  <c r="FB162" i="54"/>
  <c r="FC162" i="54" s="1"/>
  <c r="FA28" i="54"/>
  <c r="FB28" i="54"/>
  <c r="FC28" i="54" s="1"/>
  <c r="FA33" i="54"/>
  <c r="FB33" i="54"/>
  <c r="FC33" i="54" s="1"/>
  <c r="FA68" i="54"/>
  <c r="FB68" i="54"/>
  <c r="FC68" i="54" s="1"/>
  <c r="FA44" i="54"/>
  <c r="FB44" i="54"/>
  <c r="FC44" i="54" s="1"/>
  <c r="FA97" i="54"/>
  <c r="FB97" i="54"/>
  <c r="FC97" i="54" s="1"/>
  <c r="FA107" i="54"/>
  <c r="FB107" i="54"/>
  <c r="FC107" i="54" s="1"/>
  <c r="FA82" i="54"/>
  <c r="FB82" i="54"/>
  <c r="FC82" i="54" s="1"/>
  <c r="FA164" i="54"/>
  <c r="FB164" i="54"/>
  <c r="FC164" i="54" s="1"/>
  <c r="FA231" i="54"/>
  <c r="FB231" i="54"/>
  <c r="FC231" i="54" s="1"/>
  <c r="FA74" i="54"/>
  <c r="FB74" i="54"/>
  <c r="FC74" i="54" s="1"/>
  <c r="FA121" i="54"/>
  <c r="FB121" i="54"/>
  <c r="FC121" i="54" s="1"/>
  <c r="FA56" i="54"/>
  <c r="FB56" i="54"/>
  <c r="FC56" i="54" s="1"/>
  <c r="FA115" i="54"/>
  <c r="FB115" i="54"/>
  <c r="FC115" i="54" s="1"/>
  <c r="FA88" i="54"/>
  <c r="FB88" i="54"/>
  <c r="FC88" i="54" s="1"/>
  <c r="FA34" i="54"/>
  <c r="FB34" i="54"/>
  <c r="FC34" i="54" s="1"/>
  <c r="FA220" i="54"/>
  <c r="FB220" i="54"/>
  <c r="FC220" i="54" s="1"/>
  <c r="FA111" i="54"/>
  <c r="FB111" i="54"/>
  <c r="FC111" i="54" s="1"/>
  <c r="FA189" i="54"/>
  <c r="FB189" i="54"/>
  <c r="FC189" i="54" s="1"/>
  <c r="FA141" i="54"/>
  <c r="FB141" i="54"/>
  <c r="FC141" i="54" s="1"/>
  <c r="FA263" i="54"/>
  <c r="FB263" i="54"/>
  <c r="FC263" i="54" s="1"/>
  <c r="FA201" i="54"/>
  <c r="FB201" i="54"/>
  <c r="FC201" i="54" s="1"/>
  <c r="FA63" i="54"/>
  <c r="FB63" i="54"/>
  <c r="FC63" i="54" s="1"/>
  <c r="FA190" i="54"/>
  <c r="FB190" i="54"/>
  <c r="FC190" i="54" s="1"/>
  <c r="CM239" i="54"/>
  <c r="GM3" i="54"/>
  <c r="GF3" i="54" s="1"/>
  <c r="GG4" i="54" s="1" a="1"/>
  <c r="GG4" i="54" s="1"/>
  <c r="GJ5" i="54" s="1"/>
  <c r="FA268"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L256" i="54"/>
  <c r="CM66" i="54"/>
  <c r="CM86" i="54"/>
  <c r="CM95" i="54"/>
  <c r="CK223" i="54"/>
  <c r="CM71" i="54"/>
  <c r="CM82" i="54"/>
  <c r="CK138" i="54"/>
  <c r="CM138" i="54" s="1"/>
  <c r="CK65" i="54"/>
  <c r="CM65" i="54" s="1"/>
  <c r="CK99" i="54"/>
  <c r="CM99" i="54" s="1"/>
  <c r="CK19" i="54"/>
  <c r="CL19" i="54" s="1"/>
  <c r="BG10" i="54" a="1"/>
  <c r="BG10" i="54" s="1"/>
  <c r="CU145" i="54"/>
  <c r="CV145" i="54" s="1"/>
  <c r="CS145" i="54" s="1"/>
  <c r="CU177" i="54"/>
  <c r="CV177" i="54" s="1"/>
  <c r="CS177" i="54" s="1"/>
  <c r="CL174" i="54"/>
  <c r="CT94" i="54"/>
  <c r="CU94" i="54"/>
  <c r="CV94" i="54" s="1"/>
  <c r="CS94" i="54" s="1"/>
  <c r="CM19" i="54"/>
  <c r="CU48" i="54"/>
  <c r="CV48" i="54" s="1"/>
  <c r="CS48" i="54" s="1"/>
  <c r="CU178" i="54"/>
  <c r="CV178" i="54" s="1"/>
  <c r="CS178" i="54" s="1"/>
  <c r="CU199" i="54"/>
  <c r="CV199" i="54" s="1"/>
  <c r="CS199" i="54" s="1"/>
  <c r="CU130" i="54"/>
  <c r="CV130" i="54" s="1"/>
  <c r="CS130" i="54" s="1"/>
  <c r="CR205" i="54" a="1"/>
  <c r="CR205" i="54" s="1"/>
  <c r="CM263" i="54"/>
  <c r="CR61" i="54" a="1"/>
  <c r="CR61" i="54" s="1"/>
  <c r="CL81" i="54"/>
  <c r="CM56" i="54"/>
  <c r="CL53" i="54"/>
  <c r="CL215" i="54"/>
  <c r="CU228" i="54"/>
  <c r="CV228" i="54" s="1"/>
  <c r="CS228" i="54" s="1"/>
  <c r="CU84" i="54"/>
  <c r="CV84" i="54" s="1"/>
  <c r="CS84" i="54" s="1"/>
  <c r="CU72" i="54"/>
  <c r="CV72" i="54" s="1"/>
  <c r="CS72" i="54" s="1"/>
  <c r="CR256" i="54" a="1"/>
  <c r="CR256" i="54" s="1"/>
  <c r="CR164" i="54" a="1"/>
  <c r="CR164" i="54" s="1"/>
  <c r="CR267" i="54" a="1"/>
  <c r="CR267" i="54" s="1"/>
  <c r="CM260" i="54"/>
  <c r="CR233" i="54" a="1"/>
  <c r="CR233" i="54" s="1"/>
  <c r="CU66" i="54"/>
  <c r="CV66" i="54" s="1"/>
  <c r="CS66" i="54" s="1"/>
  <c r="CU204" i="54"/>
  <c r="CV204" i="54" s="1"/>
  <c r="CS204" i="54" s="1"/>
  <c r="CU235" i="54"/>
  <c r="CV235" i="54" s="1"/>
  <c r="CS235" i="54" s="1"/>
  <c r="CL166" i="54"/>
  <c r="CU31" i="54"/>
  <c r="CV31" i="54" s="1"/>
  <c r="CS31" i="54" s="1"/>
  <c r="CU60" i="54"/>
  <c r="CV60" i="54" s="1"/>
  <c r="CS60" i="54" s="1"/>
  <c r="CR249" i="54" a="1"/>
  <c r="CR249" i="54" s="1"/>
  <c r="CU249" i="54" s="1"/>
  <c r="CV249" i="54" s="1"/>
  <c r="CS249" i="54" s="1"/>
  <c r="CR168" i="54" a="1"/>
  <c r="CR168" i="54" s="1"/>
  <c r="CL116" i="54"/>
  <c r="CR67" i="54" a="1"/>
  <c r="CR67" i="54" s="1"/>
  <c r="CL112" i="54"/>
  <c r="CL169" i="54"/>
  <c r="CR45" i="54" a="1"/>
  <c r="CR45" i="54" s="1"/>
  <c r="CU45" i="54" s="1"/>
  <c r="CV45" i="54" s="1"/>
  <c r="CS45" i="54" s="1"/>
  <c r="CM249" i="54"/>
  <c r="CM238" i="54"/>
  <c r="CL244" i="54"/>
  <c r="CL86" i="54"/>
  <c r="CL83" i="54"/>
  <c r="CM36" i="54"/>
  <c r="CM264" i="54"/>
  <c r="CU36" i="54"/>
  <c r="CV36" i="54" s="1"/>
  <c r="CS36" i="54" s="1"/>
  <c r="CU227" i="54"/>
  <c r="CV227" i="54" s="1"/>
  <c r="CS227" i="54" s="1"/>
  <c r="CU62" i="54"/>
  <c r="CV62" i="54" s="1"/>
  <c r="CS62" i="54" s="1"/>
  <c r="CU68" i="54"/>
  <c r="CV68" i="54" s="1"/>
  <c r="CS68" i="54" s="1"/>
  <c r="CU90" i="54"/>
  <c r="CV90" i="54" s="1"/>
  <c r="CS90" i="54" s="1"/>
  <c r="CU54" i="54"/>
  <c r="CV54" i="54" s="1"/>
  <c r="CS54" i="54" s="1"/>
  <c r="CU163" i="54"/>
  <c r="CV163" i="54" s="1"/>
  <c r="CS163" i="54" s="1"/>
  <c r="CL75" i="54"/>
  <c r="CU113" i="54"/>
  <c r="CV113" i="54" s="1"/>
  <c r="CS113" i="54" s="1"/>
  <c r="CU254" i="54"/>
  <c r="CV254" i="54" s="1"/>
  <c r="CS254" i="54" s="1"/>
  <c r="CU186" i="54"/>
  <c r="CV186" i="54" s="1"/>
  <c r="CS186" i="54" s="1"/>
  <c r="CU86" i="54"/>
  <c r="CV86" i="54" s="1"/>
  <c r="CS86" i="54" s="1"/>
  <c r="CU147" i="54"/>
  <c r="CV147" i="54" s="1"/>
  <c r="CS147" i="54" s="1"/>
  <c r="CL183" i="54"/>
  <c r="CL80" i="54"/>
  <c r="CT152" i="54"/>
  <c r="CU152" i="54"/>
  <c r="CV152" i="54" s="1"/>
  <c r="CS152" i="54" s="1"/>
  <c r="CT61" i="54"/>
  <c r="CU61" i="54"/>
  <c r="CV61" i="54" s="1"/>
  <c r="CS61" i="54" s="1"/>
  <c r="CT267" i="54"/>
  <c r="CU267" i="54"/>
  <c r="CV267" i="54" s="1"/>
  <c r="CS267" i="54" s="1"/>
  <c r="CT231" i="54"/>
  <c r="CU231" i="54"/>
  <c r="CV231" i="54" s="1"/>
  <c r="CS231" i="54" s="1"/>
  <c r="CT108" i="54"/>
  <c r="CU108" i="54"/>
  <c r="CV108" i="54" s="1"/>
  <c r="CS108" i="54" s="1"/>
  <c r="CT89" i="54"/>
  <c r="CU89" i="54"/>
  <c r="CV89" i="54" s="1"/>
  <c r="CS89" i="54" s="1"/>
  <c r="CU203" i="54"/>
  <c r="CV203" i="54" s="1"/>
  <c r="CS203" i="54" s="1"/>
  <c r="CL139" i="54"/>
  <c r="CM20" i="54"/>
  <c r="CM257" i="54"/>
  <c r="CM37" i="54"/>
  <c r="CL186" i="54"/>
  <c r="CM42" i="54"/>
  <c r="CM130" i="54"/>
  <c r="CR220" i="54" a="1"/>
  <c r="CR220" i="54" s="1"/>
  <c r="CM254" i="54"/>
  <c r="CL136" i="54"/>
  <c r="CM29" i="54"/>
  <c r="CR172" i="54" a="1"/>
  <c r="CR172" i="54" s="1"/>
  <c r="CU172" i="54" s="1"/>
  <c r="CV172" i="54" s="1"/>
  <c r="CS172" i="54" s="1"/>
  <c r="CR268" i="54" a="1"/>
  <c r="CR268" i="54" s="1"/>
  <c r="CU156" i="54"/>
  <c r="CV156" i="54" s="1"/>
  <c r="CS156" i="54" s="1"/>
  <c r="CR265" i="54" a="1"/>
  <c r="CR265" i="54" s="1"/>
  <c r="CM23" i="54"/>
  <c r="CL161" i="54"/>
  <c r="CM46" i="54"/>
  <c r="CR191" i="54" a="1"/>
  <c r="CR191" i="54" s="1"/>
  <c r="CM32" i="54"/>
  <c r="CR115" i="54" a="1"/>
  <c r="CR115" i="54" s="1"/>
  <c r="CU38" i="54"/>
  <c r="CV38" i="54" s="1"/>
  <c r="CS38" i="54" s="1"/>
  <c r="CL103" i="54"/>
  <c r="CL70" i="54"/>
  <c r="CL217" i="54"/>
  <c r="CM228" i="54"/>
  <c r="CR17" i="54" a="1"/>
  <c r="CR17" i="54" s="1"/>
  <c r="CM68" i="54"/>
  <c r="CM22" i="54"/>
  <c r="CU76" i="54"/>
  <c r="CV76" i="54" s="1"/>
  <c r="CS76" i="54" s="1"/>
  <c r="CU96" i="54"/>
  <c r="CV96" i="54" s="1"/>
  <c r="CS96" i="54" s="1"/>
  <c r="CU134" i="54"/>
  <c r="CV134" i="54" s="1"/>
  <c r="CS134" i="54" s="1"/>
  <c r="CU50" i="54"/>
  <c r="CV50" i="54" s="1"/>
  <c r="CS50" i="54" s="1"/>
  <c r="CU149" i="54"/>
  <c r="CV149" i="54" s="1"/>
  <c r="CS149" i="54" s="1"/>
  <c r="CU46" i="54"/>
  <c r="CV46" i="54" s="1"/>
  <c r="CS46" i="54" s="1"/>
  <c r="CR52" i="54" a="1"/>
  <c r="CR52" i="54" s="1"/>
  <c r="CR236" i="54" a="1"/>
  <c r="CR236" i="54" s="1"/>
  <c r="CR138" i="54" a="1"/>
  <c r="CR138" i="54" s="1"/>
  <c r="CW3" i="54" s="1" a="1"/>
  <c r="CW3" i="54" s="1"/>
  <c r="CR206" i="54" a="1"/>
  <c r="CR206" i="54" s="1"/>
  <c r="CR121" i="54" a="1"/>
  <c r="CR121" i="54" s="1"/>
  <c r="CM75" i="54"/>
  <c r="CM57" i="54"/>
  <c r="CU166" i="54"/>
  <c r="CV166" i="54" s="1"/>
  <c r="CS166" i="54" s="1"/>
  <c r="CT166" i="54"/>
  <c r="CU241" i="54"/>
  <c r="CV241" i="54" s="1"/>
  <c r="CS241" i="54" s="1"/>
  <c r="CT241" i="54"/>
  <c r="CU234" i="54"/>
  <c r="CV234" i="54" s="1"/>
  <c r="CS234" i="54" s="1"/>
  <c r="CT234" i="54"/>
  <c r="CU160" i="54"/>
  <c r="CV160" i="54" s="1"/>
  <c r="CS160" i="54" s="1"/>
  <c r="CT160" i="54"/>
  <c r="CU253" i="54"/>
  <c r="CV253" i="54" s="1"/>
  <c r="CS253" i="54" s="1"/>
  <c r="CT253" i="54"/>
  <c r="CU222" i="54"/>
  <c r="CV222" i="54" s="1"/>
  <c r="CS222" i="54" s="1"/>
  <c r="CT222" i="54"/>
  <c r="CU258" i="54"/>
  <c r="CV258" i="54" s="1"/>
  <c r="CS258" i="54" s="1"/>
  <c r="CT258" i="54"/>
  <c r="CU179" i="54"/>
  <c r="CV179" i="54" s="1"/>
  <c r="CS179" i="54" s="1"/>
  <c r="CT179" i="54"/>
  <c r="CU201" i="54"/>
  <c r="CV201" i="54" s="1"/>
  <c r="CS201" i="54" s="1"/>
  <c r="CT201" i="54"/>
  <c r="CU148" i="54"/>
  <c r="CV148" i="54" s="1"/>
  <c r="CS148" i="54" s="1"/>
  <c r="CT148"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U188" i="54"/>
  <c r="CV188" i="54" s="1"/>
  <c r="CS188" i="54" s="1"/>
  <c r="CT188" i="54"/>
  <c r="CU217" i="54"/>
  <c r="CV217" i="54" s="1"/>
  <c r="CS217" i="54" s="1"/>
  <c r="CT217" i="54"/>
  <c r="CU262" i="54"/>
  <c r="CV262" i="54" s="1"/>
  <c r="CS262" i="54" s="1"/>
  <c r="CT262" i="54"/>
  <c r="CU181" i="54"/>
  <c r="CV181" i="54" s="1"/>
  <c r="CS181" i="54" s="1"/>
  <c r="CT181" i="54"/>
  <c r="CU169" i="54"/>
  <c r="CV169" i="54" s="1"/>
  <c r="CS169" i="54" s="1"/>
  <c r="CT169" i="54"/>
  <c r="CU238" i="54"/>
  <c r="CV238" i="54" s="1"/>
  <c r="CS238" i="54" s="1"/>
  <c r="CT238" i="54"/>
  <c r="CU202" i="54"/>
  <c r="CV202" i="54" s="1"/>
  <c r="CS202" i="54" s="1"/>
  <c r="CT202" i="54"/>
  <c r="CU162" i="54"/>
  <c r="CV162" i="54" s="1"/>
  <c r="CS162" i="54" s="1"/>
  <c r="CT162" i="54"/>
  <c r="CU255" i="54"/>
  <c r="CV255" i="54" s="1"/>
  <c r="CS255" i="54" s="1"/>
  <c r="CT255" i="54"/>
  <c r="CU195" i="54"/>
  <c r="CV195" i="54" s="1"/>
  <c r="CS195" i="54" s="1"/>
  <c r="CT195" i="54"/>
  <c r="CU232" i="54"/>
  <c r="CV232" i="54" s="1"/>
  <c r="CS232" i="54" s="1"/>
  <c r="CT232" i="54"/>
  <c r="CL137" i="54"/>
  <c r="CM39" i="54"/>
  <c r="CL12" i="54"/>
  <c r="CL11" i="54"/>
  <c r="CM259" i="54"/>
  <c r="CM197" i="54"/>
  <c r="CU236" i="54"/>
  <c r="CV236" i="54" s="1"/>
  <c r="CS236" i="54" s="1"/>
  <c r="CT236" i="54"/>
  <c r="CM230" i="54"/>
  <c r="CM26" i="54"/>
  <c r="CM241" i="54"/>
  <c r="CU174" i="54"/>
  <c r="CV174" i="54" s="1"/>
  <c r="CS174" i="54" s="1"/>
  <c r="CT174" i="54"/>
  <c r="CU247" i="54"/>
  <c r="CV247" i="54" s="1"/>
  <c r="CS247" i="54" s="1"/>
  <c r="CT247" i="54"/>
  <c r="CU257" i="54"/>
  <c r="CV257" i="54" s="1"/>
  <c r="CS257" i="54" s="1"/>
  <c r="CT257" i="54"/>
  <c r="CU185" i="54"/>
  <c r="CV185" i="54" s="1"/>
  <c r="CS185" i="54" s="1"/>
  <c r="CT185" i="54"/>
  <c r="CU143" i="54"/>
  <c r="CV143" i="54" s="1"/>
  <c r="CS143" i="54" s="1"/>
  <c r="CT143" i="54"/>
  <c r="CU170" i="54"/>
  <c r="CV170" i="54" s="1"/>
  <c r="CS170" i="54" s="1"/>
  <c r="CT170" i="54"/>
  <c r="CU173" i="54"/>
  <c r="CV173" i="54" s="1"/>
  <c r="CS173" i="54" s="1"/>
  <c r="CT173" i="54"/>
  <c r="CU242" i="54"/>
  <c r="CV242" i="54" s="1"/>
  <c r="CS242" i="54" s="1"/>
  <c r="CT242" i="54"/>
  <c r="CU229" i="54"/>
  <c r="CV229" i="54" s="1"/>
  <c r="CS229" i="54" s="1"/>
  <c r="CT229" i="54"/>
  <c r="CU155" i="54"/>
  <c r="CV155" i="54" s="1"/>
  <c r="CS155" i="54" s="1"/>
  <c r="CT155" i="54"/>
  <c r="CU237" i="54"/>
  <c r="CV237" i="54" s="1"/>
  <c r="CS237" i="54" s="1"/>
  <c r="CT237" i="54"/>
  <c r="CU175" i="54"/>
  <c r="CV175" i="54" s="1"/>
  <c r="CS175" i="54" s="1"/>
  <c r="CT175" i="54"/>
  <c r="CU223" i="54"/>
  <c r="CV223" i="54" s="1"/>
  <c r="CS223" i="54" s="1"/>
  <c r="CT223" i="54"/>
  <c r="CU207" i="54"/>
  <c r="CV207" i="54" s="1"/>
  <c r="CS207" i="54" s="1"/>
  <c r="CT207" i="54"/>
  <c r="CU184" i="54"/>
  <c r="CV184" i="54" s="1"/>
  <c r="CS184" i="54" s="1"/>
  <c r="CT184" i="54"/>
  <c r="CU239" i="54"/>
  <c r="CV239" i="54" s="1"/>
  <c r="CS239" i="54" s="1"/>
  <c r="CT239" i="54"/>
  <c r="CU189" i="54"/>
  <c r="CV189" i="54" s="1"/>
  <c r="CS189" i="54" s="1"/>
  <c r="CT189" i="54"/>
  <c r="CM248" i="54"/>
  <c r="CL79" i="54"/>
  <c r="CM137" i="54"/>
  <c r="CM247" i="54"/>
  <c r="CL234" i="54"/>
  <c r="CL228" i="54"/>
  <c r="CL110" i="54"/>
  <c r="CL122" i="54"/>
  <c r="CM255" i="54"/>
  <c r="CM266" i="54"/>
  <c r="CM240" i="54"/>
  <c r="CM267" i="54"/>
  <c r="CL152" i="54"/>
  <c r="CM131" i="54"/>
  <c r="CU146" i="54"/>
  <c r="CV146" i="54" s="1"/>
  <c r="CS146" i="54" s="1"/>
  <c r="CT146" i="54"/>
  <c r="CU150" i="54"/>
  <c r="CV150" i="54" s="1"/>
  <c r="CS150" i="54" s="1"/>
  <c r="CT150" i="54"/>
  <c r="CU187" i="54"/>
  <c r="CV187" i="54" s="1"/>
  <c r="CS187" i="54" s="1"/>
  <c r="CT187" i="54"/>
  <c r="CU182" i="54"/>
  <c r="CV182" i="54" s="1"/>
  <c r="CS182" i="54" s="1"/>
  <c r="CT182" i="54"/>
  <c r="CU200" i="54"/>
  <c r="CV200" i="54" s="1"/>
  <c r="CS200" i="54" s="1"/>
  <c r="CT200" i="54"/>
  <c r="CU230" i="54"/>
  <c r="CV230" i="54" s="1"/>
  <c r="CS230" i="54" s="1"/>
  <c r="CT230" i="54"/>
  <c r="CU167" i="54"/>
  <c r="CV167" i="54" s="1"/>
  <c r="CS167" i="54" s="1"/>
  <c r="CT167" i="54"/>
  <c r="CU224" i="54"/>
  <c r="CV224" i="54" s="1"/>
  <c r="CS224" i="54" s="1"/>
  <c r="CT224" i="54"/>
  <c r="CU209" i="54"/>
  <c r="CV209" i="54" s="1"/>
  <c r="CS209" i="54" s="1"/>
  <c r="CT209" i="54"/>
  <c r="CU215" i="54"/>
  <c r="CV215" i="54" s="1"/>
  <c r="CS215" i="54" s="1"/>
  <c r="CT215" i="54"/>
  <c r="CU226" i="54"/>
  <c r="CV226" i="54" s="1"/>
  <c r="CS226" i="54" s="1"/>
  <c r="CT226" i="54"/>
  <c r="CU194" i="54"/>
  <c r="CV194" i="54" s="1"/>
  <c r="CS194" i="54" s="1"/>
  <c r="CT194" i="54"/>
  <c r="CU165" i="54"/>
  <c r="CV165" i="54" s="1"/>
  <c r="CS165" i="54" s="1"/>
  <c r="CT165" i="54"/>
  <c r="CM224" i="54"/>
  <c r="CM222" i="54"/>
  <c r="CM226" i="54"/>
  <c r="CM233" i="54"/>
  <c r="CU213" i="54"/>
  <c r="CV213" i="54" s="1"/>
  <c r="CS213" i="54" s="1"/>
  <c r="CT213" i="54"/>
  <c r="CU240" i="54"/>
  <c r="CV240" i="54" s="1"/>
  <c r="CS240" i="54" s="1"/>
  <c r="CT240" i="54"/>
  <c r="CU263" i="54"/>
  <c r="CV263" i="54" s="1"/>
  <c r="CS263" i="54" s="1"/>
  <c r="CT263" i="54"/>
  <c r="CU196" i="54"/>
  <c r="CV196" i="54" s="1"/>
  <c r="CS196" i="54" s="1"/>
  <c r="CT196" i="54"/>
  <c r="CU144" i="54"/>
  <c r="CV144" i="54" s="1"/>
  <c r="CS144" i="54" s="1"/>
  <c r="CT144" i="54"/>
  <c r="CU259" i="54"/>
  <c r="CV259" i="54" s="1"/>
  <c r="CS259" i="54" s="1"/>
  <c r="CT259" i="54"/>
  <c r="CU251" i="54"/>
  <c r="CV251" i="54" s="1"/>
  <c r="CS251" i="54" s="1"/>
  <c r="CT251" i="54"/>
  <c r="CU264" i="54"/>
  <c r="CV264" i="54" s="1"/>
  <c r="CS264" i="54" s="1"/>
  <c r="CT264" i="54"/>
  <c r="CU225" i="54"/>
  <c r="CV225" i="54" s="1"/>
  <c r="CS225" i="54" s="1"/>
  <c r="CT225" i="54"/>
  <c r="CU157" i="54"/>
  <c r="CV157" i="54" s="1"/>
  <c r="CS157" i="54" s="1"/>
  <c r="CT157" i="54"/>
  <c r="CU140" i="54"/>
  <c r="CV140" i="54" s="1"/>
  <c r="CS140" i="54" s="1"/>
  <c r="CT140" i="54"/>
  <c r="CU221" i="54"/>
  <c r="CV221" i="54" s="1"/>
  <c r="CS221" i="54" s="1"/>
  <c r="CT221" i="54"/>
  <c r="CM24" i="54"/>
  <c r="CU161" i="54"/>
  <c r="CV161" i="54" s="1"/>
  <c r="CS161" i="54" s="1"/>
  <c r="CT161" i="54"/>
  <c r="CM258" i="54"/>
  <c r="CM187" i="54"/>
  <c r="CM231" i="54"/>
  <c r="CU205" i="54"/>
  <c r="CV205" i="54" s="1"/>
  <c r="CS205" i="54" s="1"/>
  <c r="CT205" i="54"/>
  <c r="CM234" i="54"/>
  <c r="CL197" i="54"/>
  <c r="CU265" i="54"/>
  <c r="CV265" i="54" s="1"/>
  <c r="CS265" i="54" s="1"/>
  <c r="CT265" i="54"/>
  <c r="CL25" i="54"/>
  <c r="CM256" i="54"/>
  <c r="CM88" i="54"/>
  <c r="CL66" i="54"/>
  <c r="CM156" i="54"/>
  <c r="CM253" i="54"/>
  <c r="CM40" i="54"/>
  <c r="CU218" i="54"/>
  <c r="CV218" i="54" s="1"/>
  <c r="CS218" i="54" s="1"/>
  <c r="CT218" i="54"/>
  <c r="CU193" i="54"/>
  <c r="CV193" i="54" s="1"/>
  <c r="CS193" i="54" s="1"/>
  <c r="CT193" i="54"/>
  <c r="CU192" i="54"/>
  <c r="CV192" i="54" s="1"/>
  <c r="CS192" i="54" s="1"/>
  <c r="CT192" i="54"/>
  <c r="CU171" i="54"/>
  <c r="CV171" i="54" s="1"/>
  <c r="CS171" i="54" s="1"/>
  <c r="CT171" i="54"/>
  <c r="CU261" i="54"/>
  <c r="CV261" i="54" s="1"/>
  <c r="CS261" i="54" s="1"/>
  <c r="CT261" i="54"/>
  <c r="CU159" i="54"/>
  <c r="CV159" i="54" s="1"/>
  <c r="CS159" i="54" s="1"/>
  <c r="CT159" i="54"/>
  <c r="CU260" i="54"/>
  <c r="CV260" i="54" s="1"/>
  <c r="CS260" i="54" s="1"/>
  <c r="CT260" i="54"/>
  <c r="CU216" i="54"/>
  <c r="CV216" i="54" s="1"/>
  <c r="CS216" i="54" s="1"/>
  <c r="CT216" i="54"/>
  <c r="CU180" i="54"/>
  <c r="CV180" i="54" s="1"/>
  <c r="CS180" i="54" s="1"/>
  <c r="CT180" i="54"/>
  <c r="CU158" i="54"/>
  <c r="CV158" i="54" s="1"/>
  <c r="CS158" i="54" s="1"/>
  <c r="CT158" i="54"/>
  <c r="CU190" i="54"/>
  <c r="CV190" i="54" s="1"/>
  <c r="CS190" i="54" s="1"/>
  <c r="CT190" i="54"/>
  <c r="CU197" i="54"/>
  <c r="CV197" i="54" s="1"/>
  <c r="CS197" i="54" s="1"/>
  <c r="CT197" i="54"/>
  <c r="CU141" i="54"/>
  <c r="CV141" i="54" s="1"/>
  <c r="CS141" i="54" s="1"/>
  <c r="CT141" i="54"/>
  <c r="CU154" i="54"/>
  <c r="CV154" i="54" s="1"/>
  <c r="CS154" i="54" s="1"/>
  <c r="CT154" i="54"/>
  <c r="CU151" i="54"/>
  <c r="CV151" i="54" s="1"/>
  <c r="CS151" i="54" s="1"/>
  <c r="CT151" i="54"/>
  <c r="CU212" i="54"/>
  <c r="CV212" i="54" s="1"/>
  <c r="CS212" i="54" s="1"/>
  <c r="CT212" i="54"/>
  <c r="CM251" i="54"/>
  <c r="CL148" i="54"/>
  <c r="CM246" i="54"/>
  <c r="CM227" i="54"/>
  <c r="CM244" i="54"/>
  <c r="CL142" i="54"/>
  <c r="CM223" i="54"/>
  <c r="CM33" i="54"/>
  <c r="CU191" i="54"/>
  <c r="CV191" i="54" s="1"/>
  <c r="CS191" i="54" s="1"/>
  <c r="CT191" i="54"/>
  <c r="CU164" i="54"/>
  <c r="CV164" i="54" s="1"/>
  <c r="CS164" i="54" s="1"/>
  <c r="CT164" i="54"/>
  <c r="CM252" i="54"/>
  <c r="CU233" i="54"/>
  <c r="CV233" i="54" s="1"/>
  <c r="CS233" i="54" s="1"/>
  <c r="CT233" i="54"/>
  <c r="CT52" i="54"/>
  <c r="CU52" i="54"/>
  <c r="CV52" i="54" s="1"/>
  <c r="CS52" i="54" s="1"/>
  <c r="CT138" i="54"/>
  <c r="CU138" i="54"/>
  <c r="CV138" i="54" s="1"/>
  <c r="CS138" i="54" s="1"/>
  <c r="CT67" i="54"/>
  <c r="CU67" i="54"/>
  <c r="CV67" i="54" s="1"/>
  <c r="CS67" i="54" s="1"/>
  <c r="CT45" i="54"/>
  <c r="CT17" i="54"/>
  <c r="CU17" i="54"/>
  <c r="CV17" i="54" s="1"/>
  <c r="CS17" i="54" s="1"/>
  <c r="CU132" i="54"/>
  <c r="CV132" i="54" s="1"/>
  <c r="CS132" i="54" s="1"/>
  <c r="CU80" i="54"/>
  <c r="CV80" i="54" s="1"/>
  <c r="CS80" i="54" s="1"/>
  <c r="CU117" i="54"/>
  <c r="CV117" i="54" s="1"/>
  <c r="CS117" i="54" s="1"/>
  <c r="CU78" i="54"/>
  <c r="CV78" i="54" s="1"/>
  <c r="CS78" i="54" s="1"/>
  <c r="CU112" i="54"/>
  <c r="CV112" i="54" s="1"/>
  <c r="CS112" i="54" s="1"/>
  <c r="CU77" i="54"/>
  <c r="CV77" i="54" s="1"/>
  <c r="CS77" i="54" s="1"/>
  <c r="CU135" i="54"/>
  <c r="CV135" i="54" s="1"/>
  <c r="CS135" i="54" s="1"/>
  <c r="CU37" i="54"/>
  <c r="CV37" i="54" s="1"/>
  <c r="CS37" i="54" s="1"/>
  <c r="CU32" i="54"/>
  <c r="CV32" i="54" s="1"/>
  <c r="CS32" i="54" s="1"/>
  <c r="CU23" i="54"/>
  <c r="CV23" i="54" s="1"/>
  <c r="CS23" i="54" s="1"/>
  <c r="CU137" i="54"/>
  <c r="CV137" i="54" s="1"/>
  <c r="CS137" i="54" s="1"/>
  <c r="CU118" i="54"/>
  <c r="CV118" i="54" s="1"/>
  <c r="CS118" i="54" s="1"/>
  <c r="CU49" i="54"/>
  <c r="CV49" i="54" s="1"/>
  <c r="CS49" i="54" s="1"/>
  <c r="CU124" i="54"/>
  <c r="CV124" i="54" s="1"/>
  <c r="CS124" i="54" s="1"/>
  <c r="CU64" i="54"/>
  <c r="CV64" i="54" s="1"/>
  <c r="CS64" i="54" s="1"/>
  <c r="CU58" i="54"/>
  <c r="CV58" i="54" s="1"/>
  <c r="CS58" i="54" s="1"/>
  <c r="CU16" i="54"/>
  <c r="CV16" i="54" s="1"/>
  <c r="CS16" i="54" s="1"/>
  <c r="CU29" i="54"/>
  <c r="CV29" i="54" s="1"/>
  <c r="CS29" i="54" s="1"/>
  <c r="CU18" i="54"/>
  <c r="CV18" i="54" s="1"/>
  <c r="CS18" i="54" s="1"/>
  <c r="CU83" i="54"/>
  <c r="CV83" i="54" s="1"/>
  <c r="CS83" i="54" s="1"/>
  <c r="CU98" i="54"/>
  <c r="CV98" i="54" s="1"/>
  <c r="CS98" i="54" s="1"/>
  <c r="CU99" i="54"/>
  <c r="CV99" i="54" s="1"/>
  <c r="CS99" i="54" s="1"/>
  <c r="CU20" i="54"/>
  <c r="CV20" i="54" s="1"/>
  <c r="CS20" i="54" s="1"/>
  <c r="CU120" i="54"/>
  <c r="CV120" i="54" s="1"/>
  <c r="CS120" i="54" s="1"/>
  <c r="CU21" i="54"/>
  <c r="CV21" i="54" s="1"/>
  <c r="CS21" i="54" s="1"/>
  <c r="CU22" i="54"/>
  <c r="CV22" i="54" s="1"/>
  <c r="CS22" i="54" s="1"/>
  <c r="CU104" i="54"/>
  <c r="CV104" i="54" s="1"/>
  <c r="CS104" i="54" s="1"/>
  <c r="CU111" i="54"/>
  <c r="CV111" i="54" s="1"/>
  <c r="CS111" i="54" s="1"/>
  <c r="CU116" i="54"/>
  <c r="CV116" i="54" s="1"/>
  <c r="CS116" i="54" s="1"/>
  <c r="CU105" i="54"/>
  <c r="CV105" i="54" s="1"/>
  <c r="CS105" i="54" s="1"/>
  <c r="CU63" i="54"/>
  <c r="CV63" i="54" s="1"/>
  <c r="CS63" i="54" s="1"/>
  <c r="CU59" i="54"/>
  <c r="CV59" i="54" s="1"/>
  <c r="CS59" i="54" s="1"/>
  <c r="CU11" i="54"/>
  <c r="CV11" i="54" s="1"/>
  <c r="CS11" i="54" s="1"/>
  <c r="CL69" i="54"/>
  <c r="CU27" i="54"/>
  <c r="CV27" i="54" s="1"/>
  <c r="CS27" i="54" s="1"/>
  <c r="CU47" i="54"/>
  <c r="CV47" i="54" s="1"/>
  <c r="CS47" i="54" s="1"/>
  <c r="CT51" i="54"/>
  <c r="CU51" i="54"/>
  <c r="CV51" i="54" s="1"/>
  <c r="CS51" i="54" s="1"/>
  <c r="CU97" i="54"/>
  <c r="CV97" i="54" s="1"/>
  <c r="CS97" i="54" s="1"/>
  <c r="CU109" i="54"/>
  <c r="CV109" i="54" s="1"/>
  <c r="CS109" i="54" s="1"/>
  <c r="CU35" i="54"/>
  <c r="CV35" i="54" s="1"/>
  <c r="CS35" i="54" s="1"/>
  <c r="CU28" i="54"/>
  <c r="CV28" i="54" s="1"/>
  <c r="CS28" i="54" s="1"/>
  <c r="CU110" i="54"/>
  <c r="CV110" i="54" s="1"/>
  <c r="CS110" i="54" s="1"/>
  <c r="CU19" i="54"/>
  <c r="CV19" i="54" s="1"/>
  <c r="CS19" i="54" s="1"/>
  <c r="CU74" i="54"/>
  <c r="CV74" i="54" s="1"/>
  <c r="CS74" i="54" s="1"/>
  <c r="CU103" i="54"/>
  <c r="CV103" i="54" s="1"/>
  <c r="CS103" i="54" s="1"/>
  <c r="CU128" i="54"/>
  <c r="CV128" i="54" s="1"/>
  <c r="CS128" i="54" s="1"/>
  <c r="CU122" i="54"/>
  <c r="CV122" i="54" s="1"/>
  <c r="CS122" i="54" s="1"/>
  <c r="CU91" i="54"/>
  <c r="CV91" i="54" s="1"/>
  <c r="CS91" i="54" s="1"/>
  <c r="CU131" i="54"/>
  <c r="CV131" i="54" s="1"/>
  <c r="CS131" i="54" s="1"/>
  <c r="CU119" i="54"/>
  <c r="CV119" i="54" s="1"/>
  <c r="CS119" i="54" s="1"/>
  <c r="CU30" i="54"/>
  <c r="CV30" i="54" s="1"/>
  <c r="CS30" i="54" s="1"/>
  <c r="CU79" i="54"/>
  <c r="CV79" i="54" s="1"/>
  <c r="CS79" i="54" s="1"/>
  <c r="CU70" i="54"/>
  <c r="CV70" i="54" s="1"/>
  <c r="CS70" i="54" s="1"/>
  <c r="CU15" i="54"/>
  <c r="CV15" i="54" s="1"/>
  <c r="CS15" i="54" s="1"/>
  <c r="CU129" i="54"/>
  <c r="CV129" i="54" s="1"/>
  <c r="CS129" i="54" s="1"/>
  <c r="CU81" i="54"/>
  <c r="CV81" i="54" s="1"/>
  <c r="CS81" i="54" s="1"/>
  <c r="CU127" i="54"/>
  <c r="CV127" i="54" s="1"/>
  <c r="CS127" i="54" s="1"/>
  <c r="CU41" i="54"/>
  <c r="CV41" i="54" s="1"/>
  <c r="CS41" i="54" s="1"/>
  <c r="CU10" i="54"/>
  <c r="CV10" i="54" s="1"/>
  <c r="CS10" i="54" s="1"/>
  <c r="CU39" i="54"/>
  <c r="CV39" i="54" s="1"/>
  <c r="CS39" i="54" s="1"/>
  <c r="CU44" i="54"/>
  <c r="CV44" i="54" s="1"/>
  <c r="CS44" i="54" s="1"/>
  <c r="CU71" i="54"/>
  <c r="CV71" i="54" s="1"/>
  <c r="CS71" i="54" s="1"/>
  <c r="CU92" i="54"/>
  <c r="CV92" i="54" s="1"/>
  <c r="CS92" i="54" s="1"/>
  <c r="CU136" i="54"/>
  <c r="CV136" i="54" s="1"/>
  <c r="CS136" i="54" s="1"/>
  <c r="CU106" i="54"/>
  <c r="CV106" i="54" s="1"/>
  <c r="CS106" i="54" s="1"/>
  <c r="CU56" i="54"/>
  <c r="CV56" i="54" s="1"/>
  <c r="CS56" i="54" s="1"/>
  <c r="CU43" i="54"/>
  <c r="CV43" i="54" s="1"/>
  <c r="CS43" i="54" s="1"/>
  <c r="CU14" i="54"/>
  <c r="CV14" i="54" s="1"/>
  <c r="CS14" i="54" s="1"/>
  <c r="CU33" i="54"/>
  <c r="CV33" i="54" s="1"/>
  <c r="CS33" i="54" s="1"/>
  <c r="CU101" i="54"/>
  <c r="CV101" i="54" s="1"/>
  <c r="CS101" i="54" s="1"/>
  <c r="CU133" i="54"/>
  <c r="CV133" i="54" s="1"/>
  <c r="CS133" i="54" s="1"/>
  <c r="CU88" i="54"/>
  <c r="CV88" i="54" s="1"/>
  <c r="CS88" i="54" s="1"/>
  <c r="CU57" i="54"/>
  <c r="CV57" i="54" s="1"/>
  <c r="CS57" i="54" s="1"/>
  <c r="CU85" i="54"/>
  <c r="CV85" i="54" s="1"/>
  <c r="CS85" i="54" s="1"/>
  <c r="CL164" i="54"/>
  <c r="CL202" i="54"/>
  <c r="CL63" i="54"/>
  <c r="CL89" i="54"/>
  <c r="CL95" i="54"/>
  <c r="CL100" i="54"/>
  <c r="CL85" i="54"/>
  <c r="CL58" i="54"/>
  <c r="CL200" i="54"/>
  <c r="CL178" i="54"/>
  <c r="CL62" i="54"/>
  <c r="CL87" i="54"/>
  <c r="CL220" i="54"/>
  <c r="CL82" i="54"/>
  <c r="CL219" i="54"/>
  <c r="CL201" i="54"/>
  <c r="CL212" i="54"/>
  <c r="CL192" i="54"/>
  <c r="CL7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M158" i="54"/>
  <c r="CL239" i="54"/>
  <c r="CM98" i="54"/>
  <c r="CL229" i="54"/>
  <c r="CM219" i="54"/>
  <c r="CL235" i="54"/>
  <c r="CM193" i="54"/>
  <c r="CL26" i="54"/>
  <c r="CM43" i="54"/>
  <c r="CL51" i="54"/>
  <c r="CL208" i="54"/>
  <c r="CM136" i="54"/>
  <c r="CM157" i="54"/>
  <c r="CL27" i="54"/>
  <c r="CL267" i="54"/>
  <c r="CL10" i="54"/>
  <c r="CM192" i="54"/>
  <c r="CM180" i="54"/>
  <c r="CL15" i="54"/>
  <c r="CL50" i="54"/>
  <c r="CM90" i="54"/>
  <c r="CM140" i="54"/>
  <c r="CL47" i="54"/>
  <c r="CL160" i="54"/>
  <c r="CL262" i="54"/>
  <c r="CL20" i="54"/>
  <c r="CL255" i="54"/>
  <c r="CM152" i="54"/>
  <c r="CM141" i="54"/>
  <c r="CM64" i="54"/>
  <c r="CL35" i="54"/>
  <c r="CM91" i="54"/>
  <c r="CM74" i="54"/>
  <c r="CL32" i="54"/>
  <c r="CM172" i="54"/>
  <c r="CM45" i="54"/>
  <c r="CL45" i="54"/>
  <c r="CL157" i="54"/>
  <c r="CL28" i="54"/>
  <c r="CM216" i="54"/>
  <c r="CM209" i="54"/>
  <c r="CM73" i="54"/>
  <c r="CL221" i="54"/>
  <c r="CM145" i="54"/>
  <c r="CM101" i="54"/>
  <c r="CL245" i="54"/>
  <c r="CL42" i="54"/>
  <c r="CM207" i="54"/>
  <c r="CM182" i="54"/>
  <c r="CL254"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L266" i="54"/>
  <c r="CM14" i="54"/>
  <c r="CM169" i="54"/>
  <c r="CM171" i="54"/>
  <c r="CM127" i="54"/>
  <c r="CL16" i="54"/>
  <c r="CL222" i="54"/>
  <c r="CM87" i="54"/>
  <c r="CM205" i="54"/>
  <c r="CM60" i="54"/>
  <c r="CL196" i="54"/>
  <c r="CM196" i="54"/>
  <c r="CL249" i="54"/>
  <c r="CL226" i="54"/>
  <c r="CM63" i="54"/>
  <c r="CL46" i="54"/>
  <c r="CM206" i="54"/>
  <c r="CL265" i="54"/>
  <c r="CM124" i="54"/>
  <c r="CL43" i="54"/>
  <c r="CL18" i="54"/>
  <c r="CL48" i="54"/>
  <c r="CM102" i="54"/>
  <c r="CM199" i="54"/>
  <c r="CL54" i="54"/>
  <c r="CM202" i="54"/>
  <c r="CL232" i="54"/>
  <c r="CM217" i="54"/>
  <c r="CM147" i="54"/>
  <c r="CM188" i="54"/>
  <c r="CM215" i="54"/>
  <c r="CM41" i="54"/>
  <c r="CL118" i="54"/>
  <c r="CL268" i="54"/>
  <c r="CM166" i="54"/>
  <c r="CM28" i="54"/>
  <c r="CL104" i="54"/>
  <c r="CM122" i="54"/>
  <c r="CM220" i="54"/>
  <c r="CM67" i="54"/>
  <c r="CM177" i="54"/>
  <c r="CM150" i="54"/>
  <c r="CM164" i="54"/>
  <c r="CM25" i="54"/>
  <c r="CL151" i="54"/>
  <c r="CL223" i="54"/>
  <c r="CM191" i="54"/>
  <c r="CM160" i="54"/>
  <c r="CM178" i="54"/>
  <c r="CM79" i="54"/>
  <c r="CM173" i="54"/>
  <c r="CL237"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M104" i="54"/>
  <c r="CL143" i="54"/>
  <c r="CL129" i="54"/>
  <c r="CL10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65" i="54"/>
  <c r="CL146" i="54"/>
  <c r="CM161" i="54"/>
  <c r="CM17" i="54"/>
  <c r="CL190" i="54"/>
  <c r="CL39" i="54"/>
  <c r="CM176" i="54"/>
  <c r="CM31" i="54"/>
  <c r="CL175" i="54"/>
  <c r="CM16" i="54"/>
  <c r="CM146" i="54"/>
  <c r="CL263" i="54"/>
  <c r="CL258" i="54"/>
  <c r="CM214" i="54"/>
  <c r="CM69" i="54"/>
  <c r="CM165" i="54"/>
  <c r="CM183" i="54"/>
  <c r="CM61" i="54"/>
  <c r="CM72" i="54"/>
  <c r="CL247" i="54"/>
  <c r="CL248" i="54"/>
  <c r="GF4" i="54" a="1"/>
  <c r="GF4" i="54" s="1"/>
  <c r="CM139" i="54"/>
  <c r="GM4" i="54"/>
  <c r="GL3" i="54"/>
  <c r="FY3" i="54" s="1"/>
  <c r="FZ5" i="54" s="1" a="1"/>
  <c r="FZ5" i="54" s="1"/>
  <c r="GL4" i="54" a="1"/>
  <c r="GL4" i="54" s="1"/>
  <c r="FM5" i="54"/>
  <c r="FV6" i="54"/>
  <c r="FU5" i="54"/>
  <c r="FO6" i="54"/>
  <c r="FN5" i="54"/>
  <c r="FT5"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140"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138"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210"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DC37" i="54"/>
  <c r="DA37" i="54"/>
  <c r="DB38" i="54" s="1"/>
  <c r="GF5" i="54" l="1" a="1"/>
  <c r="GF5" i="54" s="1"/>
  <c r="GH5" i="54" s="1"/>
  <c r="GG5" i="54" a="1"/>
  <c r="GG5" i="54" s="1"/>
  <c r="GI5" i="54" s="1"/>
  <c r="CT249" i="54"/>
  <c r="CT172" i="54"/>
  <c r="CT168" i="54"/>
  <c r="CU168" i="54"/>
  <c r="CV168" i="54" s="1"/>
  <c r="CS168" i="54" s="1"/>
  <c r="CT256" i="54"/>
  <c r="CU256" i="54"/>
  <c r="CV256" i="54" s="1"/>
  <c r="CS256" i="54" s="1"/>
  <c r="CT206" i="54"/>
  <c r="CU206" i="54"/>
  <c r="CV206" i="54" s="1"/>
  <c r="CS206" i="54" s="1"/>
  <c r="CT115" i="54"/>
  <c r="CU115" i="54"/>
  <c r="CV115" i="54" s="1"/>
  <c r="CS115" i="54" s="1"/>
  <c r="CT220" i="54"/>
  <c r="CU220" i="54"/>
  <c r="CV220" i="54" s="1"/>
  <c r="CS220" i="54" s="1"/>
  <c r="CT268" i="54"/>
  <c r="CU268" i="54"/>
  <c r="CV268" i="54" s="1"/>
  <c r="CS268" i="54" s="1"/>
  <c r="CT121" i="54"/>
  <c r="CU121" i="54"/>
  <c r="CV121" i="54" s="1"/>
  <c r="CS121" i="54" s="1"/>
  <c r="FZ4" i="54" a="1"/>
  <c r="FZ4" i="54" s="1"/>
  <c r="GC5" i="54" s="1"/>
  <c r="FY4" i="54" a="1"/>
  <c r="FY4" i="54" s="1"/>
  <c r="FY5" i="54" a="1"/>
  <c r="FY5" i="54" s="1"/>
  <c r="FP5" i="54"/>
  <c r="FK6" i="54" s="1"/>
  <c r="FJ6" i="54" s="1"/>
  <c r="FW5" i="54"/>
  <c r="FR6" i="54" s="1"/>
  <c r="GC6" i="54"/>
  <c r="DC38" i="54"/>
  <c r="DA38" i="54"/>
  <c r="DB39" i="54" s="1"/>
  <c r="GK5" i="54" l="1"/>
  <c r="GF6" i="54" s="1"/>
  <c r="GH6" i="54" s="1"/>
  <c r="GJ6" i="54"/>
  <c r="GA5" i="54"/>
  <c r="GB5" i="54"/>
  <c r="FL6" i="54"/>
  <c r="FN6" i="54" s="1"/>
  <c r="FM6" i="54"/>
  <c r="FS6" i="54"/>
  <c r="FQ6" i="54"/>
  <c r="FT6" i="54"/>
  <c r="DC39" i="54"/>
  <c r="DA39" i="54"/>
  <c r="DB40" i="54" s="1"/>
  <c r="GE6" i="54" l="1"/>
  <c r="GG6" i="54"/>
  <c r="GJ7" i="54" s="1"/>
  <c r="GD5" i="54"/>
  <c r="FY6" i="54" s="1"/>
  <c r="FZ6" i="54" s="1"/>
  <c r="GC7" i="54" s="1"/>
  <c r="FP6" i="54"/>
  <c r="FK7" i="54" s="1"/>
  <c r="FJ7" i="54" s="1"/>
  <c r="FO7" i="54"/>
  <c r="FV7" i="54"/>
  <c r="FU6" i="54"/>
  <c r="FW6" i="54" s="1"/>
  <c r="FR7" i="54" s="1"/>
  <c r="DC40" i="54"/>
  <c r="DA40" i="54"/>
  <c r="DB41" i="54" s="1"/>
  <c r="GI6" i="54" l="1"/>
  <c r="GK6" i="54" s="1"/>
  <c r="GF7" i="54" s="1"/>
  <c r="GG7" i="54" s="1"/>
  <c r="GJ8" i="54" s="1"/>
  <c r="GB6" i="54"/>
  <c r="GA6" i="54"/>
  <c r="FX6" i="54"/>
  <c r="FL7" i="54"/>
  <c r="FN7" i="54" s="1"/>
  <c r="FM7" i="54"/>
  <c r="FQ7" i="54"/>
  <c r="FS7" i="54"/>
  <c r="FT7" i="54"/>
  <c r="DC41" i="54"/>
  <c r="DA41" i="54"/>
  <c r="DB42" i="54" s="1"/>
  <c r="GI7" i="54" l="1"/>
  <c r="GE7" i="54"/>
  <c r="GH7" i="54"/>
  <c r="GD6" i="54"/>
  <c r="FY7" i="54" s="1"/>
  <c r="GA7" i="54" s="1"/>
  <c r="FO8" i="54"/>
  <c r="FP7" i="54"/>
  <c r="FK8" i="54" s="1"/>
  <c r="FM8" i="54" s="1"/>
  <c r="FV8" i="54"/>
  <c r="FU7" i="54"/>
  <c r="FW7" i="54" s="1"/>
  <c r="FR8" i="54" s="1"/>
  <c r="DC42" i="54"/>
  <c r="DA42" i="54"/>
  <c r="DB43" i="54" s="1"/>
  <c r="GK7" i="54" l="1"/>
  <c r="GF8" i="54" s="1"/>
  <c r="GH8" i="54" s="1"/>
  <c r="FZ7" i="54"/>
  <c r="GB7" i="54" s="1"/>
  <c r="GD7" i="54" s="1"/>
  <c r="FY8" i="54" s="1"/>
  <c r="FX8" i="54" s="1"/>
  <c r="FX7" i="54"/>
  <c r="FL8" i="54"/>
  <c r="FO9" i="54" s="1"/>
  <c r="FJ8" i="54"/>
  <c r="GG8" i="54"/>
  <c r="GJ9" i="54" s="1"/>
  <c r="FQ8" i="54"/>
  <c r="FS8" i="54"/>
  <c r="FT8" i="54"/>
  <c r="DC43" i="54"/>
  <c r="DA43" i="54"/>
  <c r="DB44" i="54" s="1"/>
  <c r="GE8" i="54" l="1"/>
  <c r="GA8" i="54"/>
  <c r="GC8" i="54"/>
  <c r="FZ8" i="54"/>
  <c r="GC9" i="54" s="1"/>
  <c r="FN8" i="54"/>
  <c r="FP8" i="54" s="1"/>
  <c r="FK9" i="54" s="1"/>
  <c r="FL9" i="54" s="1"/>
  <c r="GI8" i="54"/>
  <c r="GK8" i="54" s="1"/>
  <c r="GF9" i="54" s="1"/>
  <c r="GG9" i="54" s="1"/>
  <c r="FU8" i="54"/>
  <c r="FW8" i="54" s="1"/>
  <c r="FR9" i="54" s="1"/>
  <c r="FV9" i="54"/>
  <c r="DC44" i="54"/>
  <c r="DA44" i="54"/>
  <c r="DB45" i="54" s="1"/>
  <c r="GB8" i="54" l="1"/>
  <c r="GD8" i="54" s="1"/>
  <c r="FY9" i="54" s="1"/>
  <c r="FX9" i="54" s="1"/>
  <c r="FM9" i="54"/>
  <c r="FJ9" i="54"/>
  <c r="GH9" i="54"/>
  <c r="GE9" i="54"/>
  <c r="FS9" i="54"/>
  <c r="FQ9" i="54"/>
  <c r="FT9" i="54"/>
  <c r="GJ10" i="54"/>
  <c r="GI9" i="54"/>
  <c r="FO10" i="54"/>
  <c r="FN9" i="54"/>
  <c r="DC45" i="54"/>
  <c r="DA45" i="54"/>
  <c r="DB46" i="54" s="1"/>
  <c r="FP9" i="54" l="1"/>
  <c r="FK10" i="54" s="1"/>
  <c r="FM10" i="54" s="1"/>
  <c r="GA9" i="54"/>
  <c r="FZ9" i="54"/>
  <c r="GC10" i="54" s="1"/>
  <c r="GK9" i="54"/>
  <c r="GF10" i="54" s="1"/>
  <c r="GH10" i="54" s="1"/>
  <c r="FV10" i="54"/>
  <c r="FU9" i="54"/>
  <c r="FW9" i="54" s="1"/>
  <c r="FR10" i="54" s="1"/>
  <c r="DC46" i="54"/>
  <c r="DA46" i="54"/>
  <c r="DB47" i="54" s="1"/>
  <c r="FJ10" i="54" l="1"/>
  <c r="FL10" i="54"/>
  <c r="FO11" i="54" s="1"/>
  <c r="GE10" i="54"/>
  <c r="GB9" i="54"/>
  <c r="GD9" i="54" s="1"/>
  <c r="FY10" i="54" s="1"/>
  <c r="FX10" i="54" s="1"/>
  <c r="GG10" i="54"/>
  <c r="GI10" i="54" s="1"/>
  <c r="GK10" i="54" s="1"/>
  <c r="GF11" i="54" s="1"/>
  <c r="FS10" i="54"/>
  <c r="FQ10" i="54"/>
  <c r="FT10" i="54"/>
  <c r="DC47" i="54"/>
  <c r="DA47" i="54"/>
  <c r="DB48" i="54" s="1"/>
  <c r="FZ10" i="54" l="1"/>
  <c r="GB10" i="54" s="1"/>
  <c r="GA10" i="54"/>
  <c r="FN10" i="54"/>
  <c r="FP10" i="54" s="1"/>
  <c r="FK11" i="54" s="1"/>
  <c r="FL11" i="54" s="1"/>
  <c r="GJ11" i="54"/>
  <c r="GE11" i="54"/>
  <c r="GG11" i="54"/>
  <c r="GH11" i="54"/>
  <c r="FV11" i="54"/>
  <c r="FU10" i="54"/>
  <c r="FW10" i="54" s="1"/>
  <c r="FR11" i="54" s="1"/>
  <c r="DC48" i="54"/>
  <c r="DA48" i="54"/>
  <c r="DB49" i="54" s="1"/>
  <c r="GC11" i="54" l="1"/>
  <c r="GD10" i="54"/>
  <c r="FY11" i="54" s="1"/>
  <c r="FZ11" i="54" s="1"/>
  <c r="FM11" i="54"/>
  <c r="FJ11" i="54"/>
  <c r="FS11" i="54"/>
  <c r="FQ11" i="54"/>
  <c r="FT11" i="54"/>
  <c r="FO12" i="54"/>
  <c r="FN11" i="54"/>
  <c r="GJ12" i="54"/>
  <c r="GI11" i="54"/>
  <c r="GK11" i="54" s="1"/>
  <c r="GF12" i="54" s="1"/>
  <c r="DC49" i="54"/>
  <c r="DA49" i="54"/>
  <c r="DB50" i="54" s="1"/>
  <c r="GA11" i="54" l="1"/>
  <c r="FP11" i="54"/>
  <c r="FK12" i="54" s="1"/>
  <c r="FL12" i="54" s="1"/>
  <c r="FX11" i="54"/>
  <c r="GE12" i="54"/>
  <c r="GG12" i="54"/>
  <c r="GH12" i="54"/>
  <c r="FV12" i="54"/>
  <c r="FU11" i="54"/>
  <c r="FW11" i="54" s="1"/>
  <c r="FR12" i="54" s="1"/>
  <c r="GC12" i="54"/>
  <c r="GB11" i="54"/>
  <c r="DC50" i="54"/>
  <c r="DA50" i="54"/>
  <c r="DB51" i="54" s="1"/>
  <c r="FM12" i="54" l="1"/>
  <c r="FJ12" i="54"/>
  <c r="GD11" i="54"/>
  <c r="FY12" i="54" s="1"/>
  <c r="FX12" i="54" s="1"/>
  <c r="FN12" i="54"/>
  <c r="FO13" i="54"/>
  <c r="FQ12" i="54"/>
  <c r="FS12" i="54"/>
  <c r="FT12" i="54"/>
  <c r="GJ13" i="54"/>
  <c r="GI12" i="54"/>
  <c r="GK12" i="54" s="1"/>
  <c r="GF13" i="54" s="1"/>
  <c r="DC51" i="54"/>
  <c r="DA51" i="54"/>
  <c r="DB52" i="54" s="1"/>
  <c r="FP12" i="54" l="1"/>
  <c r="FK13" i="54" s="1"/>
  <c r="FJ13" i="54" s="1"/>
  <c r="GA12" i="54"/>
  <c r="FZ12" i="54"/>
  <c r="GC13" i="54" s="1"/>
  <c r="GH13" i="54"/>
  <c r="GG13" i="54"/>
  <c r="GE13" i="54"/>
  <c r="FV13" i="54"/>
  <c r="FU12" i="54"/>
  <c r="FW12" i="54" s="1"/>
  <c r="FR13" i="54" s="1"/>
  <c r="DC52" i="54"/>
  <c r="DA52" i="54"/>
  <c r="DB53" i="54" s="1"/>
  <c r="AQ60" i="56"/>
  <c r="AN60" i="56" s="1"/>
  <c r="AQ59" i="56"/>
  <c r="AN59" i="56" s="1"/>
  <c r="AQ58" i="56"/>
  <c r="FM13" i="54" l="1"/>
  <c r="FL13" i="54"/>
  <c r="FO14" i="54" s="1"/>
  <c r="GB12" i="54"/>
  <c r="GD12" i="54" s="1"/>
  <c r="FY13" i="54" s="1"/>
  <c r="GA13" i="54" s="1"/>
  <c r="FQ13" i="54"/>
  <c r="FS13" i="54"/>
  <c r="FT13" i="54"/>
  <c r="AN58" i="56"/>
  <c r="BJ10" i="54" s="1" a="1"/>
  <c r="BJ10" i="54" s="1"/>
  <c r="BJ18" i="54"/>
  <c r="BJ33" i="54" s="1" a="1"/>
  <c r="BJ33" i="54" s="1"/>
  <c r="AE35" i="54" s="1" a="1"/>
  <c r="AE35" i="54" s="1"/>
  <c r="GI13" i="54"/>
  <c r="GK13" i="54" s="1"/>
  <c r="GF14" i="54" s="1"/>
  <c r="GJ14" i="54"/>
  <c r="DC53" i="54"/>
  <c r="DA53" i="54"/>
  <c r="DB54" i="54" s="1"/>
  <c r="I4" i="56"/>
  <c r="L4" i="56" s="1"/>
  <c r="I2" i="56"/>
  <c r="BM9" i="54" s="1" a="1"/>
  <c r="BM9" i="54" s="1"/>
  <c r="E35" i="54" l="1" a="1"/>
  <c r="E35" i="54" s="1"/>
  <c r="FX13" i="54"/>
  <c r="FN13" i="54"/>
  <c r="FP13" i="54" s="1"/>
  <c r="FK14" i="54" s="1"/>
  <c r="FM14" i="54" s="1"/>
  <c r="FZ13" i="54"/>
  <c r="GC14" i="54" s="1"/>
  <c r="GE14" i="54"/>
  <c r="GG14" i="54"/>
  <c r="GH14" i="54"/>
  <c r="BJ23" i="54" a="1"/>
  <c r="BJ23" i="54" s="1"/>
  <c r="BJ24" i="54" a="1"/>
  <c r="BJ24" i="54" s="1"/>
  <c r="BJ25" i="54" a="1"/>
  <c r="BJ25" i="54" s="1"/>
  <c r="BJ26" i="54" a="1"/>
  <c r="BJ26" i="54" s="1"/>
  <c r="L2" i="56"/>
  <c r="AD2" i="56" s="1"/>
  <c r="FV14" i="54"/>
  <c r="FU13" i="54"/>
  <c r="FW13" i="54" s="1"/>
  <c r="FR14" i="54" s="1"/>
  <c r="DC54" i="54"/>
  <c r="DA54" i="54"/>
  <c r="DB55" i="54" s="1"/>
  <c r="AD4" i="56"/>
  <c r="AE4" i="56"/>
  <c r="GB13" i="54" l="1"/>
  <c r="GD13" i="54" s="1"/>
  <c r="FY14" i="54" s="1"/>
  <c r="FZ14" i="54" s="1"/>
  <c r="FL14" i="54"/>
  <c r="FO15" i="54" s="1"/>
  <c r="FJ14" i="54"/>
  <c r="AE2" i="56"/>
  <c r="FS14" i="54"/>
  <c r="FT14" i="54"/>
  <c r="FQ14" i="54"/>
  <c r="GI14" i="54"/>
  <c r="GK14" i="54" s="1"/>
  <c r="GF15" i="54" s="1"/>
  <c r="GJ15" i="54"/>
  <c r="DC55" i="54"/>
  <c r="DA55" i="54"/>
  <c r="DB56" i="54" s="1"/>
  <c r="BJ11" i="54"/>
  <c r="M50" i="56"/>
  <c r="M52" i="56"/>
  <c r="M51" i="56"/>
  <c r="M49" i="56"/>
  <c r="M38" i="56"/>
  <c r="M39" i="56"/>
  <c r="M40" i="56"/>
  <c r="HD6" i="54" l="1"/>
  <c r="FX14" i="54"/>
  <c r="GA14" i="54"/>
  <c r="FN14" i="54"/>
  <c r="FP14" i="54" s="1"/>
  <c r="FK15" i="54" s="1"/>
  <c r="FM15" i="54" s="1"/>
  <c r="GE15" i="54"/>
  <c r="GH15" i="54"/>
  <c r="GG15" i="54"/>
  <c r="GC15" i="54"/>
  <c r="GB14" i="54"/>
  <c r="FU14" i="54"/>
  <c r="FW14" i="54" s="1"/>
  <c r="FR15" i="54" s="1"/>
  <c r="FV15" i="54"/>
  <c r="DC56" i="54"/>
  <c r="DA56" i="54"/>
  <c r="DB57" i="54" s="1"/>
  <c r="H53" i="56"/>
  <c r="X53" i="56" s="1"/>
  <c r="Z53" i="56" s="1"/>
  <c r="H50" i="56"/>
  <c r="H54" i="56"/>
  <c r="X54" i="56" s="1"/>
  <c r="Z54" i="56" s="1"/>
  <c r="H55" i="56"/>
  <c r="H49" i="56"/>
  <c r="X49" i="56" s="1"/>
  <c r="H51" i="56"/>
  <c r="X51" i="56" s="1"/>
  <c r="K51" i="56" s="1"/>
  <c r="H52" i="56"/>
  <c r="V52" i="56" s="1"/>
  <c r="I52" i="56" s="1"/>
  <c r="L12" i="56"/>
  <c r="I15" i="56"/>
  <c r="FJ15" i="54" l="1"/>
  <c r="GD14" i="54"/>
  <c r="FY15" i="54" s="1"/>
  <c r="FX15" i="54" s="1"/>
  <c r="FL15" i="54"/>
  <c r="FO16" i="54" s="1"/>
  <c r="FS15" i="54"/>
  <c r="FQ15" i="54"/>
  <c r="FT15" i="54"/>
  <c r="GJ16" i="54"/>
  <c r="GI15" i="54"/>
  <c r="GK15" i="54" s="1"/>
  <c r="GF16" i="54" s="1"/>
  <c r="DC57" i="54"/>
  <c r="DA57" i="54"/>
  <c r="DB58" i="54"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I20" i="56"/>
  <c r="I19" i="56"/>
  <c r="I14" i="56"/>
  <c r="I21" i="56"/>
  <c r="I24" i="56"/>
  <c r="L24" i="56" s="1"/>
  <c r="I16" i="56"/>
  <c r="I17" i="56"/>
  <c r="I22" i="56"/>
  <c r="L22" i="56" s="1"/>
  <c r="L13" i="56"/>
  <c r="I18" i="56"/>
  <c r="I25" i="56"/>
  <c r="L25" i="56" s="1"/>
  <c r="GA15" i="54" l="1"/>
  <c r="FZ15" i="54"/>
  <c r="GY5" i="54"/>
  <c r="GZ197" i="54" s="1"/>
  <c r="HC197" i="54" s="1"/>
  <c r="FN15" i="54"/>
  <c r="FP15" i="54" s="1"/>
  <c r="FK16" i="54" s="1"/>
  <c r="FJ16" i="54" s="1"/>
  <c r="L3" i="56"/>
  <c r="AE3" i="56" s="1"/>
  <c r="CO6" i="54" s="1"/>
  <c r="GY52" i="54"/>
  <c r="HB52" i="54" s="1"/>
  <c r="GY107" i="54"/>
  <c r="HB107" i="54" s="1"/>
  <c r="GY236" i="54"/>
  <c r="HB236" i="54" s="1"/>
  <c r="GZ99" i="54"/>
  <c r="HC99" i="54" s="1"/>
  <c r="GY29" i="54"/>
  <c r="HB29" i="54" s="1"/>
  <c r="GY54" i="54"/>
  <c r="HB54" i="54" s="1"/>
  <c r="GZ56" i="54"/>
  <c r="HC56" i="54" s="1"/>
  <c r="GY182" i="54"/>
  <c r="HB182" i="54" s="1"/>
  <c r="GY42" i="54"/>
  <c r="HB42" i="54" s="1"/>
  <c r="GZ67" i="54"/>
  <c r="HC67" i="54" s="1"/>
  <c r="GY132" i="54"/>
  <c r="HB132" i="54" s="1"/>
  <c r="GZ137" i="54"/>
  <c r="HC137" i="54" s="1"/>
  <c r="GZ241" i="54"/>
  <c r="HC241" i="54" s="1"/>
  <c r="GZ28" i="54"/>
  <c r="HC28" i="54" s="1"/>
  <c r="GY146" i="54"/>
  <c r="HB146" i="54" s="1"/>
  <c r="GZ145" i="54"/>
  <c r="HC145" i="54" s="1"/>
  <c r="GY65" i="54"/>
  <c r="HB65" i="54" s="1"/>
  <c r="GZ159" i="54"/>
  <c r="HC159" i="54" s="1"/>
  <c r="GZ255" i="54"/>
  <c r="HC255" i="54" s="1"/>
  <c r="GZ130" i="54"/>
  <c r="HC130" i="54" s="1"/>
  <c r="GY266" i="54"/>
  <c r="HB266" i="54" s="1"/>
  <c r="GZ265" i="54"/>
  <c r="HC265" i="54" s="1"/>
  <c r="GZ252" i="54"/>
  <c r="HC252" i="54" s="1"/>
  <c r="GY133" i="54"/>
  <c r="HB133" i="54" s="1"/>
  <c r="GY185" i="54"/>
  <c r="HB185" i="54" s="1"/>
  <c r="GY223" i="54"/>
  <c r="HB223" i="54" s="1"/>
  <c r="GY212" i="54"/>
  <c r="HB212" i="54" s="1"/>
  <c r="GY56" i="54"/>
  <c r="HB56" i="54" s="1"/>
  <c r="GY58" i="54"/>
  <c r="HB58" i="54" s="1"/>
  <c r="GY109" i="54"/>
  <c r="HB109" i="54" s="1"/>
  <c r="GZ180" i="54"/>
  <c r="HC180" i="54" s="1"/>
  <c r="GY267" i="54"/>
  <c r="HB267" i="54" s="1"/>
  <c r="GZ100" i="54"/>
  <c r="HC100" i="54" s="1"/>
  <c r="GY147" i="54"/>
  <c r="HB147" i="54" s="1"/>
  <c r="GY67" i="54"/>
  <c r="HB67" i="54" s="1"/>
  <c r="GY113" i="54"/>
  <c r="HB113" i="54" s="1"/>
  <c r="GY70" i="54"/>
  <c r="HB70" i="54" s="1"/>
  <c r="GY121" i="54"/>
  <c r="HB121" i="54" s="1"/>
  <c r="GZ235" i="54"/>
  <c r="HC235" i="54" s="1"/>
  <c r="GY41" i="54"/>
  <c r="HB41" i="54" s="1"/>
  <c r="GY159" i="54"/>
  <c r="HB159" i="54" s="1"/>
  <c r="GY168" i="54"/>
  <c r="HB168" i="54" s="1"/>
  <c r="GY130" i="54"/>
  <c r="HB130" i="54" s="1"/>
  <c r="GY177" i="54"/>
  <c r="HB177" i="54" s="1"/>
  <c r="GZ190" i="54"/>
  <c r="HC190" i="54" s="1"/>
  <c r="GY265" i="54"/>
  <c r="HB265" i="54" s="1"/>
  <c r="GZ51" i="54"/>
  <c r="HC51" i="54" s="1"/>
  <c r="GZ174" i="54"/>
  <c r="HC174" i="54" s="1"/>
  <c r="GZ16" i="54"/>
  <c r="HC16" i="54" s="1"/>
  <c r="GY62" i="54"/>
  <c r="HB62" i="54" s="1"/>
  <c r="GZ87" i="54"/>
  <c r="HC87" i="54" s="1"/>
  <c r="GZ84" i="54"/>
  <c r="HC84" i="54" s="1"/>
  <c r="GZ138" i="54"/>
  <c r="HC138" i="54" s="1"/>
  <c r="GY199" i="54"/>
  <c r="HB199" i="54" s="1"/>
  <c r="GY180" i="54"/>
  <c r="HB180" i="54" s="1"/>
  <c r="GZ173" i="54"/>
  <c r="HC173" i="54" s="1"/>
  <c r="GZ158" i="54"/>
  <c r="HC158" i="54" s="1"/>
  <c r="GY69" i="54"/>
  <c r="HB69" i="54" s="1"/>
  <c r="GZ82" i="54"/>
  <c r="HC82" i="54" s="1"/>
  <c r="GY129" i="54"/>
  <c r="HB129" i="54" s="1"/>
  <c r="GZ23" i="54"/>
  <c r="HC23" i="54" s="1"/>
  <c r="GZ122" i="54"/>
  <c r="HC122" i="54" s="1"/>
  <c r="GY235" i="54"/>
  <c r="HB235" i="54" s="1"/>
  <c r="GZ257" i="54"/>
  <c r="HC257" i="54" s="1"/>
  <c r="GZ112" i="54"/>
  <c r="HC112" i="54" s="1"/>
  <c r="GZ175" i="54"/>
  <c r="HC175" i="54" s="1"/>
  <c r="GZ208" i="54"/>
  <c r="HC208" i="54" s="1"/>
  <c r="GY255" i="54"/>
  <c r="HB255" i="54" s="1"/>
  <c r="GZ104" i="54"/>
  <c r="HC104" i="54" s="1"/>
  <c r="GZ264" i="54"/>
  <c r="HC264" i="54" s="1"/>
  <c r="GZ253" i="54"/>
  <c r="HC253" i="54" s="1"/>
  <c r="GY92" i="54"/>
  <c r="HB92" i="54" s="1"/>
  <c r="GY55" i="54"/>
  <c r="HB55" i="54" s="1"/>
  <c r="GY87" i="54"/>
  <c r="HB87" i="54" s="1"/>
  <c r="GY138" i="54"/>
  <c r="HB138" i="54" s="1"/>
  <c r="GZ136" i="54"/>
  <c r="HC136" i="54" s="1"/>
  <c r="GY149" i="54"/>
  <c r="HB149" i="54" s="1"/>
  <c r="GY181" i="54"/>
  <c r="HB181" i="54" s="1"/>
  <c r="GY20" i="54"/>
  <c r="HB20" i="54" s="1"/>
  <c r="GZ53" i="54"/>
  <c r="HC53" i="54" s="1"/>
  <c r="GZ60" i="54"/>
  <c r="HC60" i="54" s="1"/>
  <c r="GY230" i="54"/>
  <c r="HB230" i="54" s="1"/>
  <c r="GY200" i="54"/>
  <c r="HB200" i="54" s="1"/>
  <c r="GY66" i="54"/>
  <c r="HB66" i="54" s="1"/>
  <c r="GZ146" i="54"/>
  <c r="HC146" i="54" s="1"/>
  <c r="GY175" i="54"/>
  <c r="HB175" i="54" s="1"/>
  <c r="GZ268" i="54"/>
  <c r="HC268" i="54" s="1"/>
  <c r="GY99" i="54"/>
  <c r="HB99" i="54" s="1"/>
  <c r="GY264" i="54"/>
  <c r="HB264" i="54" s="1"/>
  <c r="GY127" i="54"/>
  <c r="HB127" i="54" s="1"/>
  <c r="GZ47" i="54"/>
  <c r="HC47" i="54" s="1"/>
  <c r="GZ152" i="54"/>
  <c r="HC152" i="54" s="1"/>
  <c r="GY201" i="54"/>
  <c r="HB201" i="54" s="1"/>
  <c r="GZ224" i="54"/>
  <c r="HC224" i="54" s="1"/>
  <c r="GZ189" i="54"/>
  <c r="HC189" i="54" s="1"/>
  <c r="GZ211" i="54"/>
  <c r="HC211" i="54" s="1"/>
  <c r="GZ243" i="54"/>
  <c r="HC243" i="54" s="1"/>
  <c r="GZ21" i="54"/>
  <c r="HC21" i="54" s="1"/>
  <c r="GY220" i="54"/>
  <c r="HB220" i="54" s="1"/>
  <c r="GZ267" i="54"/>
  <c r="HC267" i="54" s="1"/>
  <c r="GY53" i="54"/>
  <c r="HB53" i="54" s="1"/>
  <c r="GZ156" i="54"/>
  <c r="HC156" i="54" s="1"/>
  <c r="GY82" i="54"/>
  <c r="HB82" i="54" s="1"/>
  <c r="GY140" i="54"/>
  <c r="HB140" i="54" s="1"/>
  <c r="GY23" i="54"/>
  <c r="HB23" i="54" s="1"/>
  <c r="GZ117" i="54"/>
  <c r="HC117" i="54" s="1"/>
  <c r="GZ116" i="54"/>
  <c r="HC116" i="54" s="1"/>
  <c r="GY115" i="54"/>
  <c r="HB115" i="54" s="1"/>
  <c r="GZ171" i="54"/>
  <c r="HC171" i="54" s="1"/>
  <c r="GY188" i="54"/>
  <c r="HB188" i="54" s="1"/>
  <c r="GY195" i="54"/>
  <c r="HB195" i="54" s="1"/>
  <c r="GZ217" i="54"/>
  <c r="HC217" i="54" s="1"/>
  <c r="GZ250" i="54"/>
  <c r="HC250" i="54" s="1"/>
  <c r="GY34" i="54"/>
  <c r="HB34" i="54" s="1"/>
  <c r="GZ80" i="54"/>
  <c r="HC80" i="54" s="1"/>
  <c r="GZ164" i="54"/>
  <c r="HC164" i="54" s="1"/>
  <c r="GZ30" i="54"/>
  <c r="HC30" i="54" s="1"/>
  <c r="GY17" i="54"/>
  <c r="HB17" i="54" s="1"/>
  <c r="GY116" i="54"/>
  <c r="HB116" i="54" s="1"/>
  <c r="GZ27" i="54"/>
  <c r="HC27" i="54" s="1"/>
  <c r="GZ26" i="54"/>
  <c r="HC26" i="54" s="1"/>
  <c r="GY18" i="54"/>
  <c r="HB18" i="54" s="1"/>
  <c r="GY90" i="54"/>
  <c r="HB90" i="54" s="1"/>
  <c r="GZ148" i="54"/>
  <c r="HC148" i="54" s="1"/>
  <c r="GY217" i="54"/>
  <c r="HB217" i="54" s="1"/>
  <c r="GY250" i="54"/>
  <c r="HB250" i="54" s="1"/>
  <c r="GY80" i="54"/>
  <c r="HB80" i="54" s="1"/>
  <c r="GY164" i="54"/>
  <c r="HB164" i="54" s="1"/>
  <c r="GY30" i="54"/>
  <c r="HB30" i="54" s="1"/>
  <c r="GZ233" i="54"/>
  <c r="HC233" i="54" s="1"/>
  <c r="GZ111" i="54"/>
  <c r="HC111" i="54" s="1"/>
  <c r="GZ114" i="54"/>
  <c r="HC114" i="54" s="1"/>
  <c r="GZ155" i="54"/>
  <c r="HC155" i="54" s="1"/>
  <c r="GY27" i="54"/>
  <c r="HB27" i="54" s="1"/>
  <c r="GZ124" i="54"/>
  <c r="HC124" i="54" s="1"/>
  <c r="GY171" i="54"/>
  <c r="HB171" i="54" s="1"/>
  <c r="GY187" i="54"/>
  <c r="HB187" i="54" s="1"/>
  <c r="GZ186" i="54"/>
  <c r="HC186" i="54" s="1"/>
  <c r="GZ262" i="54"/>
  <c r="HC262" i="54" s="1"/>
  <c r="GY46" i="54"/>
  <c r="HB46" i="54" s="1"/>
  <c r="GZ98" i="54"/>
  <c r="HC98" i="54" s="1"/>
  <c r="GZ218" i="54"/>
  <c r="HC218" i="54" s="1"/>
  <c r="GZ203" i="54"/>
  <c r="HC203" i="54" s="1"/>
  <c r="GZ81" i="54"/>
  <c r="HC81" i="54" s="1"/>
  <c r="GZ78" i="54"/>
  <c r="HC78" i="54" s="1"/>
  <c r="GZ246" i="54"/>
  <c r="HC246" i="54" s="1"/>
  <c r="GY233" i="54"/>
  <c r="HB233" i="54" s="1"/>
  <c r="GY114" i="54"/>
  <c r="HB114" i="54" s="1"/>
  <c r="GZ19" i="54"/>
  <c r="HC19" i="54" s="1"/>
  <c r="GY124" i="54"/>
  <c r="HB124" i="54" s="1"/>
  <c r="GY186" i="54"/>
  <c r="HB186" i="54" s="1"/>
  <c r="GY98" i="54"/>
  <c r="HB98" i="54" s="1"/>
  <c r="GZ91" i="54"/>
  <c r="HC91" i="54" s="1"/>
  <c r="GZ101" i="54"/>
  <c r="HC101" i="54" s="1"/>
  <c r="GY148" i="54"/>
  <c r="HB148" i="54" s="1"/>
  <c r="GY203" i="54"/>
  <c r="HB203" i="54" s="1"/>
  <c r="GY78" i="54"/>
  <c r="HB78" i="54" s="1"/>
  <c r="GY246" i="54"/>
  <c r="HB246" i="54" s="1"/>
  <c r="GZ64" i="54"/>
  <c r="HC64" i="54" s="1"/>
  <c r="GY111" i="54"/>
  <c r="HB111" i="54" s="1"/>
  <c r="GY202" i="54"/>
  <c r="HB202" i="54" s="1"/>
  <c r="GZ249" i="54"/>
  <c r="HC249" i="54" s="1"/>
  <c r="GY19" i="54"/>
  <c r="HB19" i="54" s="1"/>
  <c r="GZ77" i="54"/>
  <c r="HC77" i="54" s="1"/>
  <c r="GZ187" i="54"/>
  <c r="HC187" i="54" s="1"/>
  <c r="GZ215" i="54"/>
  <c r="HC215" i="54" s="1"/>
  <c r="GY262" i="54"/>
  <c r="HB262" i="54" s="1"/>
  <c r="GZ93" i="54"/>
  <c r="HC93" i="54" s="1"/>
  <c r="GZ216" i="54"/>
  <c r="HC216" i="54" s="1"/>
  <c r="GZ34" i="54"/>
  <c r="HC34" i="54" s="1"/>
  <c r="GY81" i="54"/>
  <c r="HB81" i="54" s="1"/>
  <c r="GY79" i="54"/>
  <c r="HB79" i="54" s="1"/>
  <c r="GZ205" i="54"/>
  <c r="HC205" i="54" s="1"/>
  <c r="GZ115" i="54"/>
  <c r="HC115" i="54" s="1"/>
  <c r="GY249" i="54"/>
  <c r="HB249" i="54" s="1"/>
  <c r="GY77" i="54"/>
  <c r="HB77" i="54" s="1"/>
  <c r="GZ188" i="54"/>
  <c r="HC188" i="54" s="1"/>
  <c r="GY215" i="54"/>
  <c r="HB215" i="54" s="1"/>
  <c r="GY101" i="54"/>
  <c r="HB101" i="54" s="1"/>
  <c r="GZ195" i="54"/>
  <c r="HC195" i="54" s="1"/>
  <c r="GY218" i="54"/>
  <c r="HB218" i="54" s="1"/>
  <c r="GY216" i="54"/>
  <c r="HB216" i="54" s="1"/>
  <c r="GZ79" i="54"/>
  <c r="HC79" i="54" s="1"/>
  <c r="GY205" i="54"/>
  <c r="HB205" i="54" s="1"/>
  <c r="FV16" i="54"/>
  <c r="FU15" i="54"/>
  <c r="FW15" i="54" s="1"/>
  <c r="FR16" i="54" s="1"/>
  <c r="GC16" i="54"/>
  <c r="GB15" i="54"/>
  <c r="GD15" i="54" s="1"/>
  <c r="FY16" i="54" s="1"/>
  <c r="GG16" i="54"/>
  <c r="GE16" i="54"/>
  <c r="GH16" i="54"/>
  <c r="DC58" i="54"/>
  <c r="DA58" i="54"/>
  <c r="DB59"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D11" i="56"/>
  <c r="AE11" i="56"/>
  <c r="GY118" i="54" l="1"/>
  <c r="HB118" i="54" s="1"/>
  <c r="GY242" i="54"/>
  <c r="HB242" i="54" s="1"/>
  <c r="GZ153" i="54"/>
  <c r="HC153" i="54" s="1"/>
  <c r="GY47" i="54"/>
  <c r="HB47" i="54" s="1"/>
  <c r="GZ54" i="54"/>
  <c r="HC54" i="54" s="1"/>
  <c r="GZ162" i="54"/>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FM16" i="54"/>
  <c r="FL16" i="54"/>
  <c r="FO17" i="54" s="1"/>
  <c r="CN7" i="54"/>
  <c r="CN221" i="54" s="1"/>
  <c r="CN176" i="54"/>
  <c r="CN5" i="54"/>
  <c r="CN187" i="54" s="1"/>
  <c r="CN68" i="54"/>
  <c r="FZ16" i="54"/>
  <c r="FX16" i="54"/>
  <c r="GA16" i="54"/>
  <c r="GI16" i="54"/>
  <c r="GK16" i="54" s="1"/>
  <c r="GF17" i="54" s="1"/>
  <c r="GJ17" i="54"/>
  <c r="FT16" i="54"/>
  <c r="FS16" i="54"/>
  <c r="FQ16" i="54"/>
  <c r="DC59" i="54"/>
  <c r="DA59" i="54"/>
  <c r="DB60" i="54" s="1"/>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FN16" i="54" l="1"/>
  <c r="FP16" i="54" s="1"/>
  <c r="FK17" i="54" s="1"/>
  <c r="FM17" i="54" s="1"/>
  <c r="HD5" i="54"/>
  <c r="R51" i="56"/>
  <c r="HD3" i="54"/>
  <c r="CN201" i="54"/>
  <c r="CO7" i="54"/>
  <c r="CO5" i="54"/>
  <c r="CN102" i="54"/>
  <c r="CN77" i="54"/>
  <c r="CN57" i="54"/>
  <c r="AF49" i="56"/>
  <c r="HD7" i="54"/>
  <c r="FL17" i="54"/>
  <c r="GE17" i="54"/>
  <c r="GG17" i="54"/>
  <c r="GH17" i="54"/>
  <c r="HE4" i="54"/>
  <c r="HF4" i="54" s="1"/>
  <c r="HG4" i="54" s="1"/>
  <c r="HD4" i="54"/>
  <c r="HE2" i="54"/>
  <c r="HF2" i="54" s="1"/>
  <c r="HG2" i="54" s="1"/>
  <c r="HD2" i="54"/>
  <c r="FU16" i="54"/>
  <c r="FW16" i="54" s="1"/>
  <c r="FR17" i="54" s="1"/>
  <c r="FV17" i="54"/>
  <c r="GC17" i="54"/>
  <c r="GB16" i="54"/>
  <c r="GD16" i="54" s="1"/>
  <c r="FY17" i="54" s="1"/>
  <c r="DC60" i="54"/>
  <c r="DA60" i="54"/>
  <c r="DB61" i="54" s="1"/>
  <c r="AF53" i="56"/>
  <c r="R50" i="56"/>
  <c r="AE49" i="56"/>
  <c r="Q52" i="56"/>
  <c r="R52" i="56" s="1"/>
  <c r="AN52" i="56" s="1"/>
  <c r="AD53" i="56"/>
  <c r="AF50" i="56"/>
  <c r="AD50" i="56"/>
  <c r="AE55" i="56"/>
  <c r="Q55" i="56"/>
  <c r="R55" i="56" s="1"/>
  <c r="AN55" i="56" s="1"/>
  <c r="FJ17" i="54" l="1"/>
  <c r="HE5" i="54"/>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GA17" i="54"/>
  <c r="FZ17" i="54"/>
  <c r="FX17" i="54"/>
  <c r="FN17" i="54"/>
  <c r="FP17" i="54" s="1"/>
  <c r="FK18" i="54" s="1"/>
  <c r="FO18" i="54"/>
  <c r="FS17" i="54"/>
  <c r="FQ17" i="54"/>
  <c r="FT17" i="54"/>
  <c r="GJ18" i="54"/>
  <c r="GI17" i="54"/>
  <c r="GK17" i="54" s="1"/>
  <c r="GF18" i="54" s="1"/>
  <c r="DC61" i="54"/>
  <c r="DA61" i="54"/>
  <c r="DB62" i="54" s="1"/>
  <c r="AN50" i="56"/>
  <c r="Z35" i="54" l="1" a="1"/>
  <c r="Z35" i="54" s="1"/>
  <c r="BI10" i="54" a="1"/>
  <c r="BI10" i="54" s="1"/>
  <c r="GE18" i="54"/>
  <c r="GG18" i="54"/>
  <c r="GH18" i="54"/>
  <c r="FL18" i="54"/>
  <c r="FJ18" i="54"/>
  <c r="FM18" i="54"/>
  <c r="GC18" i="54"/>
  <c r="GB17" i="54"/>
  <c r="GD17" i="54" s="1"/>
  <c r="FY18" i="54" s="1"/>
  <c r="FV18" i="54"/>
  <c r="FU17" i="54"/>
  <c r="FW17" i="54" s="1"/>
  <c r="FR18" i="54" s="1"/>
  <c r="DC62" i="54"/>
  <c r="DA62" i="54"/>
  <c r="DB63" i="54" s="1"/>
  <c r="FX18" i="54" l="1"/>
  <c r="GA18" i="54"/>
  <c r="FZ18" i="54"/>
  <c r="FT18" i="54"/>
  <c r="FS18" i="54"/>
  <c r="FQ18" i="54"/>
  <c r="FO19" i="54"/>
  <c r="FN18" i="54"/>
  <c r="FP18" i="54" s="1"/>
  <c r="FK19" i="54" s="1"/>
  <c r="GJ19" i="54"/>
  <c r="GI18" i="54"/>
  <c r="GK18" i="54" s="1"/>
  <c r="GF19" i="54" s="1"/>
  <c r="DC63" i="54"/>
  <c r="DA63" i="54"/>
  <c r="DB64" i="54" s="1"/>
  <c r="M45" i="56"/>
  <c r="M43" i="56"/>
  <c r="M41" i="56"/>
  <c r="M37" i="56"/>
  <c r="EU6" i="54" s="1"/>
  <c r="GE19" i="54" l="1"/>
  <c r="GG19" i="54"/>
  <c r="GH19" i="54"/>
  <c r="FJ19" i="54"/>
  <c r="FL19" i="54"/>
  <c r="FM19" i="54"/>
  <c r="FV19" i="54"/>
  <c r="FU18" i="54"/>
  <c r="FW18" i="54" s="1"/>
  <c r="FR19" i="54" s="1"/>
  <c r="GB18" i="54"/>
  <c r="GD18" i="54" s="1"/>
  <c r="FY19" i="54" s="1"/>
  <c r="GC19" i="54"/>
  <c r="DC64" i="54"/>
  <c r="DA64" i="54"/>
  <c r="DB65" i="54" s="1"/>
  <c r="H44" i="56"/>
  <c r="H39" i="56"/>
  <c r="V39" i="56" s="1"/>
  <c r="I39" i="56" s="1"/>
  <c r="H45" i="56"/>
  <c r="H40" i="56"/>
  <c r="H46" i="56"/>
  <c r="H41" i="56"/>
  <c r="H43" i="56"/>
  <c r="H38" i="56"/>
  <c r="V38" i="56" s="1"/>
  <c r="I38" i="56" s="1"/>
  <c r="H42" i="56"/>
  <c r="H37" i="56"/>
  <c r="FO20" i="54" l="1"/>
  <c r="FN19" i="54"/>
  <c r="FP19" i="54" s="1"/>
  <c r="FK20" i="54" s="1"/>
  <c r="FQ19" i="54"/>
  <c r="FS19" i="54"/>
  <c r="FT19" i="54"/>
  <c r="FX19" i="54"/>
  <c r="FZ19" i="54"/>
  <c r="GA19" i="54"/>
  <c r="GJ20" i="54"/>
  <c r="GI19" i="54"/>
  <c r="GK19" i="54" s="1"/>
  <c r="GF20" i="54" s="1"/>
  <c r="DC65" i="54"/>
  <c r="DA65" i="54"/>
  <c r="DB66" i="54" s="1"/>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EP5" i="54" l="1"/>
  <c r="GE20" i="54"/>
  <c r="GH20" i="54"/>
  <c r="GG20" i="54"/>
  <c r="FL20" i="54"/>
  <c r="FM20" i="54"/>
  <c r="FJ20" i="54"/>
  <c r="FV20" i="54"/>
  <c r="FU19" i="54"/>
  <c r="FW19" i="54" s="1"/>
  <c r="FR20" i="54" s="1"/>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GC20" i="54"/>
  <c r="GB19" i="54"/>
  <c r="GD19" i="54" s="1"/>
  <c r="FY20" i="54" s="1"/>
  <c r="DC66" i="54"/>
  <c r="DA66" i="54"/>
  <c r="DB67" i="54" s="1"/>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A20" i="54" l="1"/>
  <c r="FX20" i="54"/>
  <c r="FZ20" i="54"/>
  <c r="FO21" i="54"/>
  <c r="FN20" i="54"/>
  <c r="FP20" i="54" s="1"/>
  <c r="FK21" i="54" s="1"/>
  <c r="GJ21" i="54"/>
  <c r="GI20" i="54"/>
  <c r="GK20" i="54" s="1"/>
  <c r="GF21" i="54" s="1"/>
  <c r="FT20" i="54"/>
  <c r="FQ20" i="54"/>
  <c r="FS20" i="54"/>
  <c r="DC67" i="54"/>
  <c r="DA67" i="54"/>
  <c r="DB68" i="54"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BJ38" i="54" a="1"/>
  <c r="BJ38" i="54" s="1"/>
  <c r="EU2" i="54"/>
  <c r="EV2" i="54"/>
  <c r="EW2" i="54" s="1"/>
  <c r="EX2" i="54" s="1"/>
  <c r="GG21" i="54"/>
  <c r="GE21" i="54"/>
  <c r="GH21" i="54"/>
  <c r="FL21" i="54"/>
  <c r="FJ21" i="54"/>
  <c r="FM21" i="54"/>
  <c r="FU20" i="54"/>
  <c r="FW20" i="54" s="1"/>
  <c r="FR21" i="54" s="1"/>
  <c r="FV21" i="54"/>
  <c r="EV4" i="54"/>
  <c r="EW4" i="54" s="1"/>
  <c r="EX4" i="54" s="1"/>
  <c r="EU4" i="54"/>
  <c r="EV3" i="54"/>
  <c r="EW3" i="54" s="1"/>
  <c r="EX3" i="54" s="1"/>
  <c r="EU3" i="54"/>
  <c r="FA3" i="54" s="1"/>
  <c r="FB3" i="54" s="1"/>
  <c r="GC21" i="54"/>
  <c r="GB20" i="54"/>
  <c r="GD20" i="54" s="1"/>
  <c r="FY21" i="54" s="1"/>
  <c r="AD37" i="56"/>
  <c r="EU5" i="54"/>
  <c r="DC68" i="54"/>
  <c r="DA68" i="54"/>
  <c r="DB69" i="54" s="1"/>
  <c r="R39" i="56"/>
  <c r="AF39" i="56"/>
  <c r="Q46" i="56"/>
  <c r="R46" i="56" s="1"/>
  <c r="AN46" i="56" s="1"/>
  <c r="AD43" i="56"/>
  <c r="AF41" i="56"/>
  <c r="AE45" i="56"/>
  <c r="AF38" i="56"/>
  <c r="AD41" i="56"/>
  <c r="AF43" i="56"/>
  <c r="AF37" i="56"/>
  <c r="EV7" i="54" s="1"/>
  <c r="AF40" i="56"/>
  <c r="Q40" i="56"/>
  <c r="R40" i="56" s="1"/>
  <c r="AN40" i="56" s="1"/>
  <c r="AE40" i="56"/>
  <c r="AE37" i="56"/>
  <c r="EV6" i="54" l="1"/>
  <c r="EV5" i="54"/>
  <c r="BM41" i="54" a="1"/>
  <c r="BM41" i="54" s="1"/>
  <c r="AN42" i="56"/>
  <c r="BM42" i="54" a="1"/>
  <c r="BM42" i="54" s="1"/>
  <c r="AE42" i="54"/>
  <c r="FX21" i="54"/>
  <c r="FZ21" i="54"/>
  <c r="GA21" i="54"/>
  <c r="FO22" i="54"/>
  <c r="FN21" i="54"/>
  <c r="FP21" i="54" s="1"/>
  <c r="FK22" i="54" s="1"/>
  <c r="FT21" i="54"/>
  <c r="FS21" i="54"/>
  <c r="FQ21" i="54"/>
  <c r="GJ22" i="54"/>
  <c r="GI21" i="54"/>
  <c r="GK21" i="54" s="1"/>
  <c r="GF22" i="54" s="1"/>
  <c r="FC3" i="54"/>
  <c r="FD3" i="54" s="1" a="1"/>
  <c r="FD3" i="54" s="1"/>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DC69" i="54"/>
  <c r="DA69" i="54"/>
  <c r="DB70" i="54" s="1"/>
  <c r="AN39" i="56"/>
  <c r="S35" i="54" l="1" a="1"/>
  <c r="S35" i="54" s="1"/>
  <c r="BH10" i="54" a="1"/>
  <c r="BH10" i="54" s="1"/>
  <c r="AD47" i="54"/>
  <c r="AD46" i="54"/>
  <c r="FJ22" i="54"/>
  <c r="FM22" i="54"/>
  <c r="FL22" i="54"/>
  <c r="GG22" i="54"/>
  <c r="GE22" i="54"/>
  <c r="GH22" i="54"/>
  <c r="GC22" i="54"/>
  <c r="GB21" i="54"/>
  <c r="GD21" i="54" s="1"/>
  <c r="FY22" i="54" s="1"/>
  <c r="FV22" i="54"/>
  <c r="FU21" i="54"/>
  <c r="FW21" i="54" s="1"/>
  <c r="FR22" i="54" s="1"/>
  <c r="DC70" i="54"/>
  <c r="DA70" i="54"/>
  <c r="DB71" i="54" s="1"/>
  <c r="FS22" i="54" l="1"/>
  <c r="FQ22" i="54"/>
  <c r="FT22" i="54"/>
  <c r="GJ23" i="54"/>
  <c r="GI22" i="54"/>
  <c r="GK22" i="54" s="1"/>
  <c r="GF23" i="54" s="1"/>
  <c r="FO23" i="54"/>
  <c r="FN22" i="54"/>
  <c r="FP22" i="54" s="1"/>
  <c r="FK23" i="54" s="1"/>
  <c r="GA22" i="54"/>
  <c r="FZ22" i="54"/>
  <c r="FX22" i="54"/>
  <c r="DC71" i="54"/>
  <c r="DA71" i="54"/>
  <c r="DB72" i="54" s="1"/>
  <c r="M58" i="56"/>
  <c r="M59" i="56"/>
  <c r="N60" i="56"/>
  <c r="AF60" i="56" s="1"/>
  <c r="M60" i="56"/>
  <c r="L60" i="56"/>
  <c r="HX6" i="54" l="1" a="1"/>
  <c r="HX6" i="54" s="1"/>
  <c r="HX139" i="54" s="1"/>
  <c r="GG23" i="54"/>
  <c r="GH23" i="54"/>
  <c r="GE23" i="54"/>
  <c r="GC23" i="54"/>
  <c r="GB22" i="54"/>
  <c r="GD22" i="54" s="1"/>
  <c r="FY23" i="54" s="1"/>
  <c r="FL23" i="54"/>
  <c r="FJ23" i="54"/>
  <c r="FM23" i="54"/>
  <c r="FV23" i="54"/>
  <c r="FU22" i="54"/>
  <c r="FW22" i="54" s="1"/>
  <c r="FR23" i="54" s="1"/>
  <c r="DC72" i="54"/>
  <c r="DA72" i="54"/>
  <c r="DB73" i="54" s="1"/>
  <c r="L58" i="56"/>
  <c r="N58" i="56"/>
  <c r="AD60" i="56"/>
  <c r="AE60" i="56"/>
  <c r="HY6" i="54" s="1" a="1"/>
  <c r="HY6" i="54" s="1"/>
  <c r="N59" i="56"/>
  <c r="L59" i="56"/>
  <c r="HX7" i="54" l="1" a="1"/>
  <c r="HX7" i="54" s="1"/>
  <c r="HX5" i="54" a="1"/>
  <c r="HX5" i="54" s="1"/>
  <c r="FQ23" i="54"/>
  <c r="FT23" i="54"/>
  <c r="FS23" i="54"/>
  <c r="FO24" i="54"/>
  <c r="FN23" i="54"/>
  <c r="FP23" i="54" s="1"/>
  <c r="FK24" i="54" s="1"/>
  <c r="FX23" i="54"/>
  <c r="GA23" i="54"/>
  <c r="FZ23" i="54"/>
  <c r="GJ24" i="54"/>
  <c r="GI23" i="54"/>
  <c r="GK23" i="54" s="1"/>
  <c r="GF24" i="54" s="1"/>
  <c r="DC73" i="54"/>
  <c r="DA73" i="54"/>
  <c r="DB74" i="54" s="1"/>
  <c r="AD58" i="56"/>
  <c r="AF58" i="56"/>
  <c r="AD59" i="56"/>
  <c r="AF59" i="56"/>
  <c r="HX185" i="54" l="1"/>
  <c r="HX93" i="54"/>
  <c r="HY7" i="54" a="1"/>
  <c r="HY7" i="54" s="1"/>
  <c r="HY5" i="54" a="1"/>
  <c r="HY5" i="54" s="1"/>
  <c r="AD45" i="54" a="1"/>
  <c r="AD45" i="54" s="1"/>
  <c r="FL24" i="54"/>
  <c r="FJ24" i="54"/>
  <c r="FM24" i="54"/>
  <c r="GE24" i="54"/>
  <c r="GG24" i="54"/>
  <c r="GH24" i="54"/>
  <c r="GC24" i="54"/>
  <c r="GB23" i="54"/>
  <c r="GD23" i="54" s="1"/>
  <c r="FY24" i="54" s="1"/>
  <c r="FV24" i="54"/>
  <c r="FU23" i="54"/>
  <c r="FW23" i="54" s="1"/>
  <c r="FR24" i="54" s="1"/>
  <c r="DC74" i="54"/>
  <c r="DA74" i="54"/>
  <c r="DB75" i="54" s="1"/>
  <c r="AD43" i="54" l="1"/>
  <c r="GJ25" i="54"/>
  <c r="GI24" i="54"/>
  <c r="GK24" i="54" s="1"/>
  <c r="GF25" i="54" s="1"/>
  <c r="FT24" i="54"/>
  <c r="FS24" i="54"/>
  <c r="FQ24" i="54"/>
  <c r="FZ24" i="54"/>
  <c r="GA24" i="54"/>
  <c r="FX24" i="54"/>
  <c r="FN24" i="54"/>
  <c r="FP24" i="54" s="1"/>
  <c r="FK25" i="54" s="1"/>
  <c r="FO25" i="54"/>
  <c r="DC75" i="54"/>
  <c r="DA75" i="54"/>
  <c r="DB76" i="54" s="1"/>
  <c r="GE25" i="54" l="1"/>
  <c r="GG25" i="54"/>
  <c r="GH25" i="54"/>
  <c r="FJ25" i="54"/>
  <c r="FL25" i="54"/>
  <c r="FM25" i="54"/>
  <c r="FV25" i="54"/>
  <c r="FU24" i="54"/>
  <c r="FW24" i="54" s="1"/>
  <c r="FR25" i="54" s="1"/>
  <c r="GB24" i="54"/>
  <c r="GD24" i="54" s="1"/>
  <c r="FY25" i="54" s="1"/>
  <c r="GC25" i="54"/>
  <c r="DC76" i="54"/>
  <c r="DA76" i="54"/>
  <c r="DB77" i="54" s="1"/>
  <c r="FO26" i="54" l="1"/>
  <c r="FN25" i="54"/>
  <c r="FP25" i="54" s="1"/>
  <c r="FK26" i="54" s="1"/>
  <c r="GA25" i="54"/>
  <c r="FX25" i="54"/>
  <c r="FZ25" i="54"/>
  <c r="FT25" i="54"/>
  <c r="FQ25" i="54"/>
  <c r="FS25" i="54"/>
  <c r="GJ26" i="54"/>
  <c r="GI25" i="54"/>
  <c r="GK25" i="54" s="1"/>
  <c r="GF26" i="54" s="1"/>
  <c r="DC77" i="54"/>
  <c r="DA77" i="54"/>
  <c r="DB78" i="54" s="1"/>
  <c r="GH26" i="54" l="1"/>
  <c r="GG26" i="54"/>
  <c r="GE26" i="54"/>
  <c r="GB25" i="54"/>
  <c r="GD25" i="54" s="1"/>
  <c r="FY26" i="54" s="1"/>
  <c r="GC26" i="54"/>
  <c r="FU25" i="54"/>
  <c r="FW25" i="54" s="1"/>
  <c r="FR26" i="54" s="1"/>
  <c r="FV26" i="54"/>
  <c r="FM26" i="54"/>
  <c r="FJ26" i="54"/>
  <c r="FL26" i="54"/>
  <c r="DC78" i="54"/>
  <c r="DA78" i="54"/>
  <c r="DB79" i="54" s="1"/>
  <c r="FX26" i="54" l="1"/>
  <c r="FZ26" i="54"/>
  <c r="GA26" i="54"/>
  <c r="FT26" i="54"/>
  <c r="FQ26" i="54"/>
  <c r="FS26" i="54"/>
  <c r="FO27" i="54"/>
  <c r="FN26" i="54"/>
  <c r="FP26" i="54" s="1"/>
  <c r="FK27" i="54" s="1"/>
  <c r="GI26" i="54"/>
  <c r="GK26" i="54" s="1"/>
  <c r="GF27" i="54" s="1"/>
  <c r="GJ27" i="54"/>
  <c r="DC79" i="54"/>
  <c r="DA79" i="54"/>
  <c r="DB80" i="54" s="1"/>
  <c r="FV27" i="54" l="1"/>
  <c r="FU26" i="54"/>
  <c r="FW26" i="54" s="1"/>
  <c r="FR27" i="54" s="1"/>
  <c r="GG27" i="54"/>
  <c r="GE27" i="54"/>
  <c r="GH27" i="54"/>
  <c r="FJ27" i="54"/>
  <c r="FM27" i="54"/>
  <c r="FL27" i="54"/>
  <c r="GC27" i="54"/>
  <c r="GB26" i="54"/>
  <c r="GD26" i="54" s="1"/>
  <c r="FY27" i="54" s="1"/>
  <c r="DC80" i="54"/>
  <c r="DA80" i="54"/>
  <c r="DB81" i="54" s="1"/>
  <c r="FZ27" i="54" l="1"/>
  <c r="GA27" i="54"/>
  <c r="FX27" i="54"/>
  <c r="FS27" i="54"/>
  <c r="FQ27" i="54"/>
  <c r="FT27" i="54"/>
  <c r="GJ28" i="54"/>
  <c r="GI27" i="54"/>
  <c r="GK27" i="54" s="1"/>
  <c r="GF28" i="54" s="1"/>
  <c r="FO28" i="54"/>
  <c r="FN27" i="54"/>
  <c r="FP27" i="54" s="1"/>
  <c r="FK28" i="54" s="1"/>
  <c r="DC81" i="54"/>
  <c r="DA81" i="54"/>
  <c r="DB82" i="54" s="1"/>
  <c r="GE28" i="54" l="1"/>
  <c r="GG28" i="54"/>
  <c r="GH28" i="54"/>
  <c r="FV28" i="54"/>
  <c r="FU27" i="54"/>
  <c r="FW27" i="54" s="1"/>
  <c r="FR28" i="54" s="1"/>
  <c r="GC28" i="54"/>
  <c r="GB27" i="54"/>
  <c r="GD27" i="54" s="1"/>
  <c r="FY28" i="54" s="1"/>
  <c r="FL28" i="54"/>
  <c r="FM28" i="54"/>
  <c r="FJ28" i="54"/>
  <c r="DC82" i="54"/>
  <c r="DA82" i="54"/>
  <c r="DB83" i="54" s="1"/>
  <c r="FQ28" i="54" l="1"/>
  <c r="FT28" i="54"/>
  <c r="FS28" i="54"/>
  <c r="GI28" i="54"/>
  <c r="GK28" i="54" s="1"/>
  <c r="GF29" i="54" s="1"/>
  <c r="GJ29" i="54"/>
  <c r="FN28" i="54"/>
  <c r="FP28" i="54" s="1"/>
  <c r="FK29" i="54" s="1"/>
  <c r="FO29" i="54"/>
  <c r="FX28" i="54"/>
  <c r="GA28" i="54"/>
  <c r="FZ28" i="54"/>
  <c r="DC83" i="54"/>
  <c r="DA83" i="54"/>
  <c r="DB84" i="54" s="1"/>
  <c r="FJ29" i="54" l="1"/>
  <c r="FM29" i="54"/>
  <c r="FL29" i="54"/>
  <c r="GB28" i="54"/>
  <c r="GD28" i="54" s="1"/>
  <c r="FY29" i="54" s="1"/>
  <c r="GC29" i="54"/>
  <c r="GE29" i="54"/>
  <c r="GG29" i="54"/>
  <c r="GH29" i="54"/>
  <c r="FU28" i="54"/>
  <c r="FW28" i="54" s="1"/>
  <c r="FR29" i="54" s="1"/>
  <c r="FV29" i="54"/>
  <c r="DC84" i="54"/>
  <c r="DA84" i="54"/>
  <c r="DB85" i="54" s="1"/>
  <c r="FZ29" i="54" l="1"/>
  <c r="FX29" i="54"/>
  <c r="GA29" i="54"/>
  <c r="FO30" i="54"/>
  <c r="FN29" i="54"/>
  <c r="FP29" i="54" s="1"/>
  <c r="FK30" i="54" s="1"/>
  <c r="FT29" i="54"/>
  <c r="FS29" i="54"/>
  <c r="FQ29" i="54"/>
  <c r="GJ30" i="54"/>
  <c r="GI29" i="54"/>
  <c r="GK29" i="54" s="1"/>
  <c r="GF30" i="54" s="1"/>
  <c r="DC85" i="54"/>
  <c r="DA85" i="54"/>
  <c r="DB86" i="54" s="1"/>
  <c r="FJ30" i="54" l="1"/>
  <c r="FL30" i="54"/>
  <c r="FM30" i="54"/>
  <c r="GG30" i="54"/>
  <c r="GH30" i="54"/>
  <c r="GE30" i="54"/>
  <c r="FV30" i="54"/>
  <c r="FU29" i="54"/>
  <c r="FW29" i="54" s="1"/>
  <c r="FR30" i="54" s="1"/>
  <c r="GB29" i="54"/>
  <c r="GD29" i="54" s="1"/>
  <c r="FY30" i="54" s="1"/>
  <c r="GC30" i="54"/>
  <c r="DC86" i="54"/>
  <c r="DA86" i="54"/>
  <c r="DB87" i="54" s="1"/>
  <c r="GJ31" i="54" l="1"/>
  <c r="GI30" i="54"/>
  <c r="GK30" i="54" s="1"/>
  <c r="GF31" i="54" s="1"/>
  <c r="FX30" i="54"/>
  <c r="FZ30" i="54"/>
  <c r="GA30" i="54"/>
  <c r="FT30" i="54"/>
  <c r="FS30" i="54"/>
  <c r="FQ30" i="54"/>
  <c r="FO31" i="54"/>
  <c r="FN30" i="54"/>
  <c r="FP30" i="54" s="1"/>
  <c r="FK31" i="54" s="1"/>
  <c r="DC87" i="54"/>
  <c r="DA87" i="54"/>
  <c r="DB88" i="54" s="1"/>
  <c r="GE31" i="54" l="1"/>
  <c r="GG31" i="54"/>
  <c r="GH31" i="54"/>
  <c r="GC31" i="54"/>
  <c r="GB30" i="54"/>
  <c r="GD30" i="54" s="1"/>
  <c r="FY31" i="54" s="1"/>
  <c r="FL31" i="54"/>
  <c r="FJ31" i="54"/>
  <c r="FM31" i="54"/>
  <c r="FV31" i="54"/>
  <c r="FU30" i="54"/>
  <c r="FW30" i="54" s="1"/>
  <c r="FR31" i="54" s="1"/>
  <c r="DC88" i="54"/>
  <c r="DA88" i="54"/>
  <c r="DB89" i="54" s="1"/>
  <c r="FO32" i="54" l="1"/>
  <c r="FN31" i="54"/>
  <c r="FP31" i="54" s="1"/>
  <c r="FK32" i="54" s="1"/>
  <c r="FX31" i="54"/>
  <c r="FZ31" i="54"/>
  <c r="GA31" i="54"/>
  <c r="FQ31" i="54"/>
  <c r="FS31" i="54"/>
  <c r="FT31" i="54"/>
  <c r="GJ32" i="54"/>
  <c r="GI31" i="54"/>
  <c r="GK31" i="54" s="1"/>
  <c r="GF32" i="54" s="1"/>
  <c r="DC89" i="54"/>
  <c r="DA89" i="54"/>
  <c r="DB90" i="54" s="1"/>
  <c r="FM32" i="54" l="1"/>
  <c r="FJ32" i="54"/>
  <c r="FL32" i="54"/>
  <c r="GC32" i="54"/>
  <c r="GB31" i="54"/>
  <c r="GD31" i="54" s="1"/>
  <c r="FY32" i="54" s="1"/>
  <c r="GE32" i="54"/>
  <c r="GG32" i="54"/>
  <c r="GH32" i="54"/>
  <c r="FU31" i="54"/>
  <c r="FW31" i="54" s="1"/>
  <c r="FR32" i="54" s="1"/>
  <c r="FV32" i="54"/>
  <c r="DC90" i="54"/>
  <c r="DA90" i="54"/>
  <c r="DB91" i="54" s="1"/>
  <c r="FX32" i="54" l="1"/>
  <c r="FZ32" i="54"/>
  <c r="GA32" i="54"/>
  <c r="FO33" i="54"/>
  <c r="FN32" i="54"/>
  <c r="FP32" i="54" s="1"/>
  <c r="FK33" i="54" s="1"/>
  <c r="FS32" i="54"/>
  <c r="FT32" i="54"/>
  <c r="FQ32" i="54"/>
  <c r="GI32" i="54"/>
  <c r="GK32" i="54" s="1"/>
  <c r="GF33" i="54" s="1"/>
  <c r="GJ33" i="54"/>
  <c r="DC91" i="54"/>
  <c r="DA91" i="54"/>
  <c r="DB92" i="54" s="1"/>
  <c r="FU32" i="54" l="1"/>
  <c r="FW32" i="54" s="1"/>
  <c r="FR33" i="54" s="1"/>
  <c r="FV33" i="54"/>
  <c r="FM33" i="54"/>
  <c r="FL33" i="54"/>
  <c r="FJ33" i="54"/>
  <c r="GG33" i="54"/>
  <c r="GE33" i="54"/>
  <c r="GH33" i="54"/>
  <c r="GC33" i="54"/>
  <c r="GB32" i="54"/>
  <c r="GD32" i="54" s="1"/>
  <c r="FY33" i="54" s="1"/>
  <c r="DC92" i="54"/>
  <c r="DA92" i="54"/>
  <c r="DB93" i="54" s="1"/>
  <c r="GJ34" i="54" l="1"/>
  <c r="GI33" i="54"/>
  <c r="GK33" i="54" s="1"/>
  <c r="GF34" i="54" s="1"/>
  <c r="FO34" i="54"/>
  <c r="FN33" i="54"/>
  <c r="FP33" i="54" s="1"/>
  <c r="FK34" i="54" s="1"/>
  <c r="FX33" i="54"/>
  <c r="FZ33" i="54"/>
  <c r="GA33" i="54"/>
  <c r="FS33" i="54"/>
  <c r="FQ33" i="54"/>
  <c r="FT33" i="54"/>
  <c r="DC93" i="54"/>
  <c r="DA93" i="54"/>
  <c r="DB94" i="54" s="1"/>
  <c r="FL34" i="54" l="1"/>
  <c r="FM34" i="54"/>
  <c r="FJ34" i="54"/>
  <c r="GG34" i="54"/>
  <c r="GH34" i="54"/>
  <c r="GE34" i="54"/>
  <c r="FV34" i="54"/>
  <c r="FU33" i="54"/>
  <c r="FW33" i="54" s="1"/>
  <c r="FR34" i="54" s="1"/>
  <c r="GC34" i="54"/>
  <c r="GB33" i="54"/>
  <c r="GD33" i="54" s="1"/>
  <c r="FY34" i="54" s="1"/>
  <c r="DC94" i="54"/>
  <c r="DA94" i="54"/>
  <c r="DB95" i="54" s="1"/>
  <c r="GA34" i="54" l="1"/>
  <c r="FX34" i="54"/>
  <c r="FZ34" i="54"/>
  <c r="GI34" i="54"/>
  <c r="GK34" i="54" s="1"/>
  <c r="GF35" i="54" s="1"/>
  <c r="GJ35" i="54"/>
  <c r="FT34" i="54"/>
  <c r="FS34" i="54"/>
  <c r="FQ34" i="54"/>
  <c r="FO35" i="54"/>
  <c r="FN34" i="54"/>
  <c r="FP34" i="54" s="1"/>
  <c r="FK35" i="54" s="1"/>
  <c r="DC95" i="54"/>
  <c r="DA95" i="54"/>
  <c r="DB96" i="54" s="1"/>
  <c r="FL35" i="54" l="1"/>
  <c r="FJ35" i="54"/>
  <c r="FM35" i="54"/>
  <c r="GE35" i="54"/>
  <c r="GH35" i="54"/>
  <c r="GG35" i="54"/>
  <c r="GC35" i="54"/>
  <c r="GB34" i="54"/>
  <c r="GD34" i="54" s="1"/>
  <c r="FY35" i="54" s="1"/>
  <c r="FV35" i="54"/>
  <c r="FU34" i="54"/>
  <c r="FW34" i="54" s="1"/>
  <c r="FR35" i="54" s="1"/>
  <c r="DC96" i="54"/>
  <c r="DA96" i="54"/>
  <c r="DB97" i="54" s="1"/>
  <c r="GJ36" i="54" l="1"/>
  <c r="GI35" i="54"/>
  <c r="GK35" i="54" s="1"/>
  <c r="GF36" i="54" s="1"/>
  <c r="FQ35" i="54"/>
  <c r="FT35" i="54"/>
  <c r="FS35" i="54"/>
  <c r="GA35" i="54"/>
  <c r="FZ35" i="54"/>
  <c r="FX35" i="54"/>
  <c r="FO36" i="54"/>
  <c r="FN35" i="54"/>
  <c r="FP35" i="54" s="1"/>
  <c r="FK36" i="54" s="1"/>
  <c r="DC97" i="54"/>
  <c r="DA97" i="54"/>
  <c r="DB98" i="54" s="1"/>
  <c r="FJ36" i="54" l="1"/>
  <c r="FM36" i="54"/>
  <c r="FL36" i="54"/>
  <c r="FV36" i="54"/>
  <c r="FU35" i="54"/>
  <c r="FW35" i="54" s="1"/>
  <c r="FR36" i="54" s="1"/>
  <c r="GH36" i="54"/>
  <c r="GE36" i="54"/>
  <c r="GG36" i="54"/>
  <c r="GC36" i="54"/>
  <c r="GB35" i="54"/>
  <c r="GD35" i="54" s="1"/>
  <c r="FY36" i="54" s="1"/>
  <c r="DC98" i="54"/>
  <c r="DA98" i="54"/>
  <c r="DB99" i="54" s="1"/>
  <c r="GA36" i="54" l="1"/>
  <c r="FX36" i="54"/>
  <c r="FZ36" i="54"/>
  <c r="FQ36" i="54"/>
  <c r="FS36" i="54"/>
  <c r="FT36" i="54"/>
  <c r="FN36" i="54"/>
  <c r="FP36" i="54" s="1"/>
  <c r="FK37" i="54" s="1"/>
  <c r="FO37" i="54"/>
  <c r="GI36" i="54"/>
  <c r="GK36" i="54" s="1"/>
  <c r="GF37" i="54" s="1"/>
  <c r="GJ37" i="54"/>
  <c r="DC99" i="54"/>
  <c r="DA99" i="54"/>
  <c r="DB100" i="54" s="1"/>
  <c r="FV37" i="54" l="1"/>
  <c r="FU36" i="54"/>
  <c r="FW36" i="54" s="1"/>
  <c r="FR37" i="54" s="1"/>
  <c r="GC37" i="54"/>
  <c r="GB36" i="54"/>
  <c r="GD36" i="54" s="1"/>
  <c r="FY37" i="54" s="1"/>
  <c r="GE37" i="54"/>
  <c r="GG37" i="54"/>
  <c r="GH37" i="54"/>
  <c r="FM37" i="54"/>
  <c r="FL37" i="54"/>
  <c r="FJ37" i="54"/>
  <c r="DC100" i="54"/>
  <c r="DA100" i="54"/>
  <c r="DB101" i="54" s="1"/>
  <c r="GI37" i="54" l="1"/>
  <c r="GK37" i="54" s="1"/>
  <c r="GF38" i="54" s="1"/>
  <c r="GJ38" i="54"/>
  <c r="GA37" i="54"/>
  <c r="FX37" i="54"/>
  <c r="FZ37" i="54"/>
  <c r="FN37" i="54"/>
  <c r="FP37" i="54" s="1"/>
  <c r="FK38" i="54" s="1"/>
  <c r="FO38" i="54"/>
  <c r="FS37" i="54"/>
  <c r="FQ37" i="54"/>
  <c r="FT37" i="54"/>
  <c r="DC101" i="54"/>
  <c r="DA101" i="54"/>
  <c r="DB102" i="54" s="1"/>
  <c r="FL38" i="54" l="1"/>
  <c r="FM38" i="54"/>
  <c r="FJ38" i="54"/>
  <c r="GB37" i="54"/>
  <c r="GD37" i="54" s="1"/>
  <c r="FY38" i="54" s="1"/>
  <c r="GC38" i="54"/>
  <c r="FV38" i="54"/>
  <c r="FU37" i="54"/>
  <c r="FW37" i="54" s="1"/>
  <c r="FR38" i="54" s="1"/>
  <c r="GG38" i="54"/>
  <c r="GH38" i="54"/>
  <c r="GE38" i="54"/>
  <c r="DC102" i="54"/>
  <c r="DA102" i="54"/>
  <c r="DB103" i="54" s="1"/>
  <c r="FX38" i="54" l="1"/>
  <c r="FZ38" i="54"/>
  <c r="GA38" i="54"/>
  <c r="GI38" i="54"/>
  <c r="GK38" i="54" s="1"/>
  <c r="GF39" i="54" s="1"/>
  <c r="GJ39" i="54"/>
  <c r="FQ38" i="54"/>
  <c r="FS38" i="54"/>
  <c r="FT38" i="54"/>
  <c r="FN38" i="54"/>
  <c r="FP38" i="54" s="1"/>
  <c r="FK39" i="54" s="1"/>
  <c r="FO39" i="54"/>
  <c r="DC103" i="54"/>
  <c r="DA103" i="54"/>
  <c r="DB104" i="54" s="1"/>
  <c r="FJ39" i="54" l="1"/>
  <c r="FL39" i="54"/>
  <c r="FM39" i="54"/>
  <c r="FU38" i="54"/>
  <c r="FW38" i="54" s="1"/>
  <c r="FR39" i="54" s="1"/>
  <c r="FV39" i="54"/>
  <c r="GH39" i="54"/>
  <c r="GG39" i="54"/>
  <c r="GE39" i="54"/>
  <c r="GB38" i="54"/>
  <c r="GD38" i="54" s="1"/>
  <c r="FY39" i="54" s="1"/>
  <c r="GC39" i="54"/>
  <c r="DC104" i="54"/>
  <c r="DA104" i="54"/>
  <c r="DB105" i="54" s="1"/>
  <c r="FT39" i="54" l="1"/>
  <c r="FQ39" i="54"/>
  <c r="FS39" i="54"/>
  <c r="FZ39" i="54"/>
  <c r="GA39" i="54"/>
  <c r="FX39" i="54"/>
  <c r="FO40" i="54"/>
  <c r="FN39" i="54"/>
  <c r="FP39" i="54" s="1"/>
  <c r="FK40" i="54" s="1"/>
  <c r="GJ40" i="54"/>
  <c r="GI39" i="54"/>
  <c r="GK39" i="54" s="1"/>
  <c r="GF40" i="54" s="1"/>
  <c r="DC105" i="54"/>
  <c r="DA105" i="54"/>
  <c r="DB106" i="54" s="1"/>
  <c r="GG40" i="54" l="1"/>
  <c r="GE40" i="54"/>
  <c r="GH40" i="54"/>
  <c r="GC40" i="54"/>
  <c r="GB39" i="54"/>
  <c r="GD39" i="54" s="1"/>
  <c r="FY40" i="54" s="1"/>
  <c r="FU39" i="54"/>
  <c r="FW39" i="54" s="1"/>
  <c r="FR40" i="54" s="1"/>
  <c r="FV40" i="54"/>
  <c r="FM40" i="54"/>
  <c r="FL40" i="54"/>
  <c r="FJ40" i="54"/>
  <c r="DC106" i="54"/>
  <c r="DA106" i="54"/>
  <c r="DB107" i="54" s="1"/>
  <c r="FT40" i="54" l="1"/>
  <c r="FQ40" i="54"/>
  <c r="FS40" i="54"/>
  <c r="FZ40" i="54"/>
  <c r="FX40" i="54"/>
  <c r="GA40" i="54"/>
  <c r="FO41" i="54"/>
  <c r="FN40" i="54"/>
  <c r="FP40" i="54" s="1"/>
  <c r="FK41" i="54" s="1"/>
  <c r="GJ41" i="54"/>
  <c r="GI40" i="54"/>
  <c r="GK40" i="54" s="1"/>
  <c r="GF41" i="54" s="1"/>
  <c r="DC107" i="54"/>
  <c r="DA107" i="54"/>
  <c r="DB108" i="54" s="1"/>
  <c r="GG41" i="54" l="1"/>
  <c r="GH41" i="54"/>
  <c r="GE41" i="54"/>
  <c r="GC41" i="54"/>
  <c r="GB40" i="54"/>
  <c r="GD40" i="54" s="1"/>
  <c r="FY41" i="54" s="1"/>
  <c r="FV41" i="54"/>
  <c r="FU40" i="54"/>
  <c r="FW40" i="54" s="1"/>
  <c r="FR41" i="54" s="1"/>
  <c r="FL41" i="54"/>
  <c r="FJ41" i="54"/>
  <c r="FM41" i="54"/>
  <c r="DC108" i="54"/>
  <c r="DA108" i="54"/>
  <c r="DB109" i="54" s="1"/>
  <c r="FZ41" i="54" l="1"/>
  <c r="FX41" i="54"/>
  <c r="GA41" i="54"/>
  <c r="FO42" i="54"/>
  <c r="FN41" i="54"/>
  <c r="FP41" i="54" s="1"/>
  <c r="FK42" i="54" s="1"/>
  <c r="FT41" i="54"/>
  <c r="FQ41" i="54"/>
  <c r="FS41" i="54"/>
  <c r="GI41" i="54"/>
  <c r="GK41" i="54" s="1"/>
  <c r="GF42" i="54" s="1"/>
  <c r="GJ42" i="54"/>
  <c r="DC109" i="54"/>
  <c r="DA109" i="54"/>
  <c r="DB110" i="54" s="1"/>
  <c r="GE42" i="54" l="1"/>
  <c r="GH42" i="54"/>
  <c r="GG42" i="54"/>
  <c r="FL42" i="54"/>
  <c r="FJ42" i="54"/>
  <c r="FM42" i="54"/>
  <c r="FV42" i="54"/>
  <c r="FU41" i="54"/>
  <c r="FW41" i="54" s="1"/>
  <c r="FR42" i="54" s="1"/>
  <c r="GC42" i="54"/>
  <c r="GB41" i="54"/>
  <c r="GD41" i="54" s="1"/>
  <c r="FY42" i="54" s="1"/>
  <c r="DC110" i="54"/>
  <c r="DA110" i="54"/>
  <c r="DB111" i="54" s="1"/>
  <c r="FX42" i="54" l="1"/>
  <c r="FZ42" i="54"/>
  <c r="GA42" i="54"/>
  <c r="FT42" i="54"/>
  <c r="FS42" i="54"/>
  <c r="FQ42" i="54"/>
  <c r="FN42" i="54"/>
  <c r="FP42" i="54" s="1"/>
  <c r="FK43" i="54" s="1"/>
  <c r="FO43" i="54"/>
  <c r="GJ43" i="54"/>
  <c r="GI42" i="54"/>
  <c r="GK42" i="54" s="1"/>
  <c r="GF43" i="54" s="1"/>
  <c r="DC111" i="54"/>
  <c r="DA111" i="54"/>
  <c r="DB112" i="54" s="1"/>
  <c r="FJ43" i="54" l="1"/>
  <c r="FL43" i="54"/>
  <c r="FM43" i="54"/>
  <c r="FU42" i="54"/>
  <c r="FW42" i="54" s="1"/>
  <c r="FR43" i="54" s="1"/>
  <c r="FV43" i="54"/>
  <c r="GE43" i="54"/>
  <c r="GG43" i="54"/>
  <c r="GH43" i="54"/>
  <c r="GC43" i="54"/>
  <c r="GB42" i="54"/>
  <c r="GD42" i="54" s="1"/>
  <c r="FY43" i="54" s="1"/>
  <c r="DC112" i="54"/>
  <c r="DA112" i="54"/>
  <c r="DB113" i="54" s="1"/>
  <c r="GA43" i="54" l="1"/>
  <c r="FX43" i="54"/>
  <c r="FZ43" i="54"/>
  <c r="FS43" i="54"/>
  <c r="FT43" i="54"/>
  <c r="FQ43" i="54"/>
  <c r="FO44" i="54"/>
  <c r="FN43" i="54"/>
  <c r="FP43" i="54" s="1"/>
  <c r="FK44" i="54" s="1"/>
  <c r="GJ44" i="54"/>
  <c r="GI43" i="54"/>
  <c r="GK43" i="54" s="1"/>
  <c r="GF44" i="54" s="1"/>
  <c r="DC113" i="54"/>
  <c r="DA113" i="54"/>
  <c r="DB114" i="54" s="1"/>
  <c r="FV44" i="54" l="1"/>
  <c r="FU43" i="54"/>
  <c r="FW43" i="54" s="1"/>
  <c r="FR44" i="54" s="1"/>
  <c r="GC44" i="54"/>
  <c r="GB43" i="54"/>
  <c r="GD43" i="54" s="1"/>
  <c r="FY44" i="54" s="1"/>
  <c r="GE44" i="54"/>
  <c r="GG44" i="54"/>
  <c r="GH44" i="54"/>
  <c r="FL44" i="54"/>
  <c r="FM44" i="54"/>
  <c r="FJ44" i="54"/>
  <c r="DC114" i="54"/>
  <c r="DA114" i="54"/>
  <c r="DB115" i="54" s="1"/>
  <c r="GJ45" i="54" l="1"/>
  <c r="GI44" i="54"/>
  <c r="GK44" i="54" s="1"/>
  <c r="GF45" i="54" s="1"/>
  <c r="FN44" i="54"/>
  <c r="FP44" i="54" s="1"/>
  <c r="FK45" i="54" s="1"/>
  <c r="FO45" i="54"/>
  <c r="FZ44" i="54"/>
  <c r="GA44" i="54"/>
  <c r="FX44" i="54"/>
  <c r="FT44" i="54"/>
  <c r="FQ44" i="54"/>
  <c r="FS44" i="54"/>
  <c r="DC115" i="54"/>
  <c r="DA115" i="54"/>
  <c r="DB116" i="54" s="1"/>
  <c r="GB44" i="54" l="1"/>
  <c r="GD44" i="54" s="1"/>
  <c r="FY45" i="54" s="1"/>
  <c r="GC45" i="54"/>
  <c r="GH45" i="54"/>
  <c r="GE45" i="54"/>
  <c r="GG45" i="54"/>
  <c r="FU44" i="54"/>
  <c r="FW44" i="54" s="1"/>
  <c r="FR45" i="54" s="1"/>
  <c r="FV45" i="54"/>
  <c r="FL45" i="54"/>
  <c r="FJ45" i="54"/>
  <c r="FM45" i="54"/>
  <c r="DC116" i="54"/>
  <c r="DA116" i="54"/>
  <c r="DB117" i="54" s="1"/>
  <c r="FQ45" i="54" l="1"/>
  <c r="FT45" i="54"/>
  <c r="FS45" i="54"/>
  <c r="GJ46" i="54"/>
  <c r="GI45" i="54"/>
  <c r="GK45" i="54" s="1"/>
  <c r="GF46" i="54" s="1"/>
  <c r="FO46" i="54"/>
  <c r="FN45" i="54"/>
  <c r="FP45" i="54" s="1"/>
  <c r="FK46" i="54" s="1"/>
  <c r="FX45" i="54"/>
  <c r="FZ45" i="54"/>
  <c r="GA45" i="54"/>
  <c r="DC117" i="54"/>
  <c r="DA117" i="54"/>
  <c r="DB118" i="54" s="1"/>
  <c r="GH46" i="54" l="1"/>
  <c r="GG46" i="54"/>
  <c r="GE46" i="54"/>
  <c r="FL46" i="54"/>
  <c r="FJ46" i="54"/>
  <c r="FM46" i="54"/>
  <c r="GC46" i="54"/>
  <c r="GB45" i="54"/>
  <c r="GD45" i="54" s="1"/>
  <c r="FY46" i="54" s="1"/>
  <c r="FU45" i="54"/>
  <c r="FW45" i="54" s="1"/>
  <c r="FR46" i="54" s="1"/>
  <c r="FV46" i="54"/>
  <c r="DC118" i="54"/>
  <c r="DA118" i="54"/>
  <c r="DB119" i="54" s="1"/>
  <c r="FO47" i="54" l="1"/>
  <c r="FN46" i="54"/>
  <c r="FP46" i="54" s="1"/>
  <c r="FK47" i="54" s="1"/>
  <c r="FT46" i="54"/>
  <c r="FQ46" i="54"/>
  <c r="FS46" i="54"/>
  <c r="GJ47" i="54"/>
  <c r="GI46" i="54"/>
  <c r="GK46" i="54" s="1"/>
  <c r="GF47" i="54" s="1"/>
  <c r="FX46" i="54"/>
  <c r="GA46" i="54"/>
  <c r="FZ46" i="54"/>
  <c r="DC119" i="54"/>
  <c r="DA119" i="54"/>
  <c r="DB120" i="54" s="1"/>
  <c r="FM47" i="54" l="1"/>
  <c r="FL47" i="54"/>
  <c r="FJ47" i="54"/>
  <c r="FV47" i="54"/>
  <c r="FU46" i="54"/>
  <c r="FW46" i="54" s="1"/>
  <c r="FR47" i="54" s="1"/>
  <c r="GC47" i="54"/>
  <c r="GB46" i="54"/>
  <c r="GD46" i="54" s="1"/>
  <c r="FY47" i="54" s="1"/>
  <c r="GE47" i="54"/>
  <c r="GG47" i="54"/>
  <c r="GH47" i="54"/>
  <c r="DC120" i="54"/>
  <c r="DA120" i="54"/>
  <c r="DB121" i="54" s="1"/>
  <c r="FQ47" i="54" l="1"/>
  <c r="FT47" i="54"/>
  <c r="FS47" i="54"/>
  <c r="GJ48" i="54"/>
  <c r="GI47" i="54"/>
  <c r="GK47" i="54" s="1"/>
  <c r="GF48" i="54" s="1"/>
  <c r="FO48" i="54"/>
  <c r="FN47" i="54"/>
  <c r="FP47" i="54" s="1"/>
  <c r="FK48" i="54" s="1"/>
  <c r="FX47" i="54"/>
  <c r="GA47" i="54"/>
  <c r="FZ47" i="54"/>
  <c r="DC121" i="54"/>
  <c r="DA121" i="54"/>
  <c r="DB122" i="54" s="1"/>
  <c r="FM48" i="54" l="1"/>
  <c r="FL48" i="54"/>
  <c r="FJ48" i="54"/>
  <c r="GE48" i="54"/>
  <c r="GG48" i="54"/>
  <c r="GH48" i="54"/>
  <c r="GC48" i="54"/>
  <c r="GB47" i="54"/>
  <c r="GD47" i="54" s="1"/>
  <c r="FY48" i="54" s="1"/>
  <c r="FU47" i="54"/>
  <c r="FW47" i="54" s="1"/>
  <c r="FR48" i="54" s="1"/>
  <c r="FV48" i="54"/>
  <c r="DC122" i="54"/>
  <c r="DA122" i="54"/>
  <c r="DB123" i="54" s="1"/>
  <c r="GJ49" i="54" l="1"/>
  <c r="GI48" i="54"/>
  <c r="GK48" i="54" s="1"/>
  <c r="GF49" i="54" s="1"/>
  <c r="FZ48" i="54"/>
  <c r="FX48" i="54"/>
  <c r="GA48" i="54"/>
  <c r="FN48" i="54"/>
  <c r="FP48" i="54" s="1"/>
  <c r="FK49" i="54" s="1"/>
  <c r="FO49" i="54"/>
  <c r="FS48" i="54"/>
  <c r="FT48" i="54"/>
  <c r="FQ48" i="54"/>
  <c r="DC123" i="54"/>
  <c r="DA123" i="54"/>
  <c r="DB124" i="54" s="1"/>
  <c r="FL49" i="54" l="1"/>
  <c r="FM49" i="54"/>
  <c r="FJ49" i="54"/>
  <c r="GC49" i="54"/>
  <c r="GB48" i="54"/>
  <c r="GD48" i="54" s="1"/>
  <c r="FY49" i="54" s="1"/>
  <c r="FU48" i="54"/>
  <c r="FW48" i="54" s="1"/>
  <c r="FR49" i="54" s="1"/>
  <c r="FV49" i="54"/>
  <c r="GH49" i="54"/>
  <c r="GG49" i="54"/>
  <c r="GE49" i="54"/>
  <c r="DC124" i="54"/>
  <c r="DA124" i="54"/>
  <c r="DB125" i="54" s="1"/>
  <c r="FS49" i="54" l="1"/>
  <c r="FT49" i="54"/>
  <c r="FQ49" i="54"/>
  <c r="FX49" i="54"/>
  <c r="FZ49" i="54"/>
  <c r="GA49" i="54"/>
  <c r="GJ50" i="54"/>
  <c r="GI49" i="54"/>
  <c r="GK49" i="54" s="1"/>
  <c r="GF50" i="54" s="1"/>
  <c r="FO50" i="54"/>
  <c r="FN49" i="54"/>
  <c r="FP49" i="54" s="1"/>
  <c r="FK50" i="54" s="1"/>
  <c r="DC125" i="54"/>
  <c r="DA125" i="54"/>
  <c r="DB126" i="54" s="1"/>
  <c r="GC50" i="54" l="1"/>
  <c r="GB49" i="54"/>
  <c r="GD49" i="54" s="1"/>
  <c r="FY50" i="54" s="1"/>
  <c r="GG50" i="54"/>
  <c r="GH50" i="54"/>
  <c r="GE50" i="54"/>
  <c r="FM50" i="54"/>
  <c r="FJ50" i="54"/>
  <c r="FL50" i="54"/>
  <c r="FV50" i="54"/>
  <c r="FU49" i="54"/>
  <c r="FW49" i="54" s="1"/>
  <c r="FR50" i="54" s="1"/>
  <c r="DC126" i="54"/>
  <c r="DA126" i="54"/>
  <c r="DB127" i="54" s="1"/>
  <c r="FZ50" i="54" l="1"/>
  <c r="GA50" i="54"/>
  <c r="FX50" i="54"/>
  <c r="FS50" i="54"/>
  <c r="FT50" i="54"/>
  <c r="FQ50" i="54"/>
  <c r="GJ51" i="54"/>
  <c r="GI50" i="54"/>
  <c r="GK50" i="54" s="1"/>
  <c r="GF51" i="54" s="1"/>
  <c r="FN50" i="54"/>
  <c r="FP50" i="54" s="1"/>
  <c r="FK51" i="54" s="1"/>
  <c r="FO51" i="54"/>
  <c r="DC127" i="54"/>
  <c r="DA127" i="54"/>
  <c r="DB128" i="54" s="1"/>
  <c r="FU50" i="54" l="1"/>
  <c r="FW50" i="54" s="1"/>
  <c r="FR51" i="54" s="1"/>
  <c r="FV51" i="54"/>
  <c r="FL51" i="54"/>
  <c r="FJ51" i="54"/>
  <c r="FM51" i="54"/>
  <c r="GE51" i="54"/>
  <c r="GH51" i="54"/>
  <c r="GG51" i="54"/>
  <c r="GB50" i="54"/>
  <c r="GD50" i="54" s="1"/>
  <c r="FY51" i="54" s="1"/>
  <c r="GC51" i="54"/>
  <c r="DC128" i="54"/>
  <c r="DA128" i="54"/>
  <c r="DB129" i="54" s="1"/>
  <c r="GJ52" i="54" l="1"/>
  <c r="GI51" i="54"/>
  <c r="GK51" i="54" s="1"/>
  <c r="GF52" i="54" s="1"/>
  <c r="GA51" i="54"/>
  <c r="FX51" i="54"/>
  <c r="FZ51" i="54"/>
  <c r="FO52" i="54"/>
  <c r="FN51" i="54"/>
  <c r="FP51" i="54" s="1"/>
  <c r="FK52" i="54" s="1"/>
  <c r="FS51" i="54"/>
  <c r="FQ51" i="54"/>
  <c r="FT51" i="54"/>
  <c r="DC129" i="54"/>
  <c r="DA129" i="54"/>
  <c r="DB130" i="54" s="1"/>
  <c r="GB51" i="54" l="1"/>
  <c r="GD51" i="54" s="1"/>
  <c r="FY52" i="54" s="1"/>
  <c r="GC52" i="54"/>
  <c r="FV52" i="54"/>
  <c r="FU51" i="54"/>
  <c r="FW51" i="54" s="1"/>
  <c r="FR52" i="54" s="1"/>
  <c r="GG52" i="54"/>
  <c r="GE52" i="54"/>
  <c r="GH52" i="54"/>
  <c r="FJ52" i="54"/>
  <c r="FM52" i="54"/>
  <c r="FL52" i="54"/>
  <c r="DC130" i="54"/>
  <c r="DA130" i="54"/>
  <c r="DB131" i="54" s="1"/>
  <c r="GJ53" i="54" l="1"/>
  <c r="GI52" i="54"/>
  <c r="GK52" i="54" s="1"/>
  <c r="GF53" i="54" s="1"/>
  <c r="FS52" i="54"/>
  <c r="FQ52" i="54"/>
  <c r="FT52" i="54"/>
  <c r="FN52" i="54"/>
  <c r="FP52" i="54" s="1"/>
  <c r="FK53" i="54" s="1"/>
  <c r="FO53" i="54"/>
  <c r="GA52" i="54"/>
  <c r="FZ52" i="54"/>
  <c r="FX52" i="54"/>
  <c r="DC131" i="54"/>
  <c r="DA131" i="54"/>
  <c r="DB132" i="54" s="1"/>
  <c r="FL53" i="54" l="1"/>
  <c r="FJ53" i="54"/>
  <c r="FM53" i="54"/>
  <c r="FV53" i="54"/>
  <c r="FU52" i="54"/>
  <c r="FW52" i="54" s="1"/>
  <c r="FR53" i="54" s="1"/>
  <c r="GC53" i="54"/>
  <c r="GB52" i="54"/>
  <c r="GD52" i="54" s="1"/>
  <c r="FY53" i="54" s="1"/>
  <c r="GE53" i="54"/>
  <c r="GG53" i="54"/>
  <c r="GH53" i="54"/>
  <c r="DC132" i="54"/>
  <c r="DA132" i="54"/>
  <c r="DB133" i="54" s="1"/>
  <c r="FZ53" i="54" l="1"/>
  <c r="GA53" i="54"/>
  <c r="FX53" i="54"/>
  <c r="FS53" i="54"/>
  <c r="FT53" i="54"/>
  <c r="FQ53" i="54"/>
  <c r="GJ54" i="54"/>
  <c r="GI53" i="54"/>
  <c r="GK53" i="54" s="1"/>
  <c r="GF54" i="54" s="1"/>
  <c r="FO54" i="54"/>
  <c r="FN53" i="54"/>
  <c r="FP53" i="54" s="1"/>
  <c r="FK54" i="54" s="1"/>
  <c r="DC133" i="54"/>
  <c r="DA133" i="54"/>
  <c r="DB134" i="54" s="1"/>
  <c r="FU53" i="54" l="1"/>
  <c r="FW53" i="54" s="1"/>
  <c r="FR54" i="54" s="1"/>
  <c r="FV54" i="54"/>
  <c r="FL54" i="54"/>
  <c r="FJ54" i="54"/>
  <c r="FM54" i="54"/>
  <c r="GE54" i="54"/>
  <c r="GG54" i="54"/>
  <c r="GH54" i="54"/>
  <c r="GC54" i="54"/>
  <c r="GB53" i="54"/>
  <c r="GD53" i="54" s="1"/>
  <c r="FY54" i="54" s="1"/>
  <c r="DC134" i="54"/>
  <c r="DA134" i="54"/>
  <c r="DB135" i="54" s="1"/>
  <c r="GJ55" i="54" l="1"/>
  <c r="GI54" i="54"/>
  <c r="GK54" i="54" s="1"/>
  <c r="GF55" i="54" s="1"/>
  <c r="FX54" i="54"/>
  <c r="FZ54" i="54"/>
  <c r="GA54" i="54"/>
  <c r="FO55" i="54"/>
  <c r="FN54" i="54"/>
  <c r="FP54" i="54" s="1"/>
  <c r="FK55" i="54" s="1"/>
  <c r="FQ54" i="54"/>
  <c r="FS54" i="54"/>
  <c r="FT54" i="54"/>
  <c r="DC135" i="54"/>
  <c r="DA135" i="54"/>
  <c r="DB136" i="54" s="1"/>
  <c r="GE55" i="54" l="1"/>
  <c r="GG55" i="54"/>
  <c r="GH55" i="54"/>
  <c r="FJ55" i="54"/>
  <c r="FM55" i="54"/>
  <c r="FL55" i="54"/>
  <c r="GC55" i="54"/>
  <c r="GB54" i="54"/>
  <c r="GD54" i="54" s="1"/>
  <c r="FY55" i="54" s="1"/>
  <c r="FV55" i="54"/>
  <c r="FU54" i="54"/>
  <c r="FW54" i="54" s="1"/>
  <c r="FR55" i="54" s="1"/>
  <c r="DC136" i="54"/>
  <c r="DA136" i="54"/>
  <c r="DB137" i="54" s="1"/>
  <c r="FO56" i="54" l="1"/>
  <c r="FN55" i="54"/>
  <c r="FP55" i="54" s="1"/>
  <c r="FK56" i="54" s="1"/>
  <c r="FS55" i="54"/>
  <c r="FQ55" i="54"/>
  <c r="FT55" i="54"/>
  <c r="GJ56" i="54"/>
  <c r="GI55" i="54"/>
  <c r="GK55" i="54" s="1"/>
  <c r="GF56" i="54" s="1"/>
  <c r="FZ55" i="54"/>
  <c r="GA55" i="54"/>
  <c r="FX55" i="54"/>
  <c r="DC137" i="54"/>
  <c r="DA137" i="54"/>
  <c r="DB138" i="54" s="1"/>
  <c r="GH56" i="54" l="1"/>
  <c r="GE56" i="54"/>
  <c r="GG56" i="54"/>
  <c r="FV56" i="54"/>
  <c r="FU55" i="54"/>
  <c r="FW55" i="54" s="1"/>
  <c r="FR56" i="54" s="1"/>
  <c r="GC56" i="54"/>
  <c r="GB55" i="54"/>
  <c r="GD55" i="54" s="1"/>
  <c r="FY56" i="54" s="1"/>
  <c r="FM56" i="54"/>
  <c r="FJ56" i="54"/>
  <c r="FL56" i="54"/>
  <c r="DC138" i="54"/>
  <c r="DA138" i="54"/>
  <c r="DB139" i="54" s="1"/>
  <c r="FQ56" i="54" l="1"/>
  <c r="FS56" i="54"/>
  <c r="FT56" i="54"/>
  <c r="GI56" i="54"/>
  <c r="GK56" i="54" s="1"/>
  <c r="GF57" i="54" s="1"/>
  <c r="GJ57" i="54"/>
  <c r="FO57" i="54"/>
  <c r="FN56" i="54"/>
  <c r="FP56" i="54" s="1"/>
  <c r="FK57" i="54" s="1"/>
  <c r="GA56" i="54"/>
  <c r="FX56" i="54"/>
  <c r="FZ56" i="54"/>
  <c r="DC139" i="54"/>
  <c r="DA139" i="54"/>
  <c r="DB140" i="54" s="1"/>
  <c r="FL57" i="54" l="1"/>
  <c r="FJ57" i="54"/>
  <c r="FM57" i="54"/>
  <c r="GC57" i="54"/>
  <c r="GB56" i="54"/>
  <c r="GD56" i="54" s="1"/>
  <c r="FY57" i="54" s="1"/>
  <c r="GG57" i="54"/>
  <c r="GE57" i="54"/>
  <c r="GH57" i="54"/>
  <c r="FV57" i="54"/>
  <c r="FU56" i="54"/>
  <c r="FW56" i="54" s="1"/>
  <c r="FR57" i="54" s="1"/>
  <c r="DC140" i="54"/>
  <c r="DA140" i="54"/>
  <c r="DB141" i="54" s="1"/>
  <c r="GJ58" i="54" l="1"/>
  <c r="GI57" i="54"/>
  <c r="GK57" i="54" s="1"/>
  <c r="GF58" i="54" s="1"/>
  <c r="FZ57" i="54"/>
  <c r="GA57" i="54"/>
  <c r="FX57" i="54"/>
  <c r="FS57" i="54"/>
  <c r="FQ57" i="54"/>
  <c r="FT57" i="54"/>
  <c r="FO58" i="54"/>
  <c r="FN57" i="54"/>
  <c r="FP57" i="54" s="1"/>
  <c r="FK58" i="54" s="1"/>
  <c r="DC141" i="54"/>
  <c r="DA141" i="54"/>
  <c r="DB142" i="54" s="1"/>
  <c r="FV58" i="54" l="1"/>
  <c r="FU57" i="54"/>
  <c r="FW57" i="54" s="1"/>
  <c r="FR58" i="54" s="1"/>
  <c r="FM58" i="54"/>
  <c r="FL58" i="54"/>
  <c r="FJ58" i="54"/>
  <c r="GB57" i="54"/>
  <c r="GD57" i="54" s="1"/>
  <c r="FY58" i="54" s="1"/>
  <c r="GC58" i="54"/>
  <c r="GG58" i="54"/>
  <c r="GH58" i="54"/>
  <c r="GE58" i="54"/>
  <c r="DC142" i="54"/>
  <c r="DA142" i="54"/>
  <c r="DB143" i="54" s="1"/>
  <c r="FX58" i="54" l="1"/>
  <c r="FZ58" i="54"/>
  <c r="GA58" i="54"/>
  <c r="FN58" i="54"/>
  <c r="FP58" i="54" s="1"/>
  <c r="FK59" i="54" s="1"/>
  <c r="FO59" i="54"/>
  <c r="GJ59" i="54"/>
  <c r="GI58" i="54"/>
  <c r="GK58" i="54" s="1"/>
  <c r="GF59" i="54" s="1"/>
  <c r="FS58" i="54"/>
  <c r="FQ58" i="54"/>
  <c r="FT58" i="54"/>
  <c r="DC143" i="54"/>
  <c r="DA143" i="54"/>
  <c r="DB144" i="54" s="1"/>
  <c r="FL59" i="54" l="1"/>
  <c r="FJ59" i="54"/>
  <c r="FM59" i="54"/>
  <c r="FV59" i="54"/>
  <c r="FU58" i="54"/>
  <c r="FW58" i="54" s="1"/>
  <c r="FR59" i="54" s="1"/>
  <c r="GC59" i="54"/>
  <c r="GB58" i="54"/>
  <c r="GD58" i="54" s="1"/>
  <c r="FY59" i="54" s="1"/>
  <c r="GE59" i="54"/>
  <c r="GG59" i="54"/>
  <c r="GH59" i="54"/>
  <c r="DC144" i="54"/>
  <c r="DA144" i="54"/>
  <c r="DB145" i="54" s="1"/>
  <c r="GA59" i="54" l="1"/>
  <c r="FZ59" i="54"/>
  <c r="FX59" i="54"/>
  <c r="FQ59" i="54"/>
  <c r="FT59" i="54"/>
  <c r="FS59" i="54"/>
  <c r="GJ60" i="54"/>
  <c r="GI59" i="54"/>
  <c r="GK59" i="54" s="1"/>
  <c r="GF60" i="54" s="1"/>
  <c r="FN59" i="54"/>
  <c r="FP59" i="54" s="1"/>
  <c r="FK60" i="54" s="1"/>
  <c r="FO60" i="54"/>
  <c r="DC145" i="54"/>
  <c r="DA145" i="54"/>
  <c r="DB146" i="54" s="1"/>
  <c r="FL60" i="54" l="1"/>
  <c r="FJ60" i="54"/>
  <c r="FM60" i="54"/>
  <c r="FV60" i="54"/>
  <c r="FU59" i="54"/>
  <c r="FW59" i="54" s="1"/>
  <c r="FR60" i="54" s="1"/>
  <c r="GH60" i="54"/>
  <c r="GE60" i="54"/>
  <c r="GG60" i="54"/>
  <c r="GC60" i="54"/>
  <c r="GB59" i="54"/>
  <c r="GD59" i="54" s="1"/>
  <c r="FY60" i="54" s="1"/>
  <c r="DC146" i="54"/>
  <c r="DA146" i="54"/>
  <c r="DB147" i="54" s="1"/>
  <c r="FQ60" i="54" l="1"/>
  <c r="FT60" i="54"/>
  <c r="FS60" i="54"/>
  <c r="FZ60" i="54"/>
  <c r="GA60" i="54"/>
  <c r="FX60" i="54"/>
  <c r="GI60" i="54"/>
  <c r="GK60" i="54" s="1"/>
  <c r="GF61" i="54" s="1"/>
  <c r="GJ61" i="54"/>
  <c r="FO61" i="54"/>
  <c r="FN60" i="54"/>
  <c r="FP60" i="54" s="1"/>
  <c r="FK61" i="54" s="1"/>
  <c r="DC147" i="54"/>
  <c r="DA147" i="54"/>
  <c r="DB148" i="54" s="1"/>
  <c r="FM61" i="54" l="1"/>
  <c r="FL61" i="54"/>
  <c r="FJ61" i="54"/>
  <c r="GC61" i="54"/>
  <c r="GB60" i="54"/>
  <c r="GD60" i="54" s="1"/>
  <c r="FY61" i="54" s="1"/>
  <c r="FV61" i="54"/>
  <c r="FU60" i="54"/>
  <c r="FW60" i="54" s="1"/>
  <c r="FR61" i="54" s="1"/>
  <c r="GH61" i="54"/>
  <c r="GE61" i="54"/>
  <c r="GG61" i="54"/>
  <c r="DC148" i="54"/>
  <c r="DA148" i="54"/>
  <c r="DB149" i="54" s="1"/>
  <c r="FX61" i="54" l="1"/>
  <c r="GA61" i="54"/>
  <c r="FZ61" i="54"/>
  <c r="GI61" i="54"/>
  <c r="GK61" i="54" s="1"/>
  <c r="GF62" i="54" s="1"/>
  <c r="GJ62" i="54"/>
  <c r="FS61" i="54"/>
  <c r="FT61" i="54"/>
  <c r="FQ61" i="54"/>
  <c r="FO62" i="54"/>
  <c r="FN61" i="54"/>
  <c r="FP61" i="54" s="1"/>
  <c r="FK62" i="54" s="1"/>
  <c r="DC149" i="54"/>
  <c r="DA149" i="54"/>
  <c r="DB150" i="54" s="1"/>
  <c r="FV62" i="54" l="1"/>
  <c r="FU61" i="54"/>
  <c r="FW61" i="54" s="1"/>
  <c r="FR62" i="54" s="1"/>
  <c r="FJ62" i="54"/>
  <c r="FM62" i="54"/>
  <c r="FL62" i="54"/>
  <c r="GG62" i="54"/>
  <c r="GH62" i="54"/>
  <c r="GE62" i="54"/>
  <c r="GC62" i="54"/>
  <c r="GB61" i="54"/>
  <c r="GD61" i="54" s="1"/>
  <c r="FY62" i="54" s="1"/>
  <c r="DC150" i="54"/>
  <c r="DA150" i="54"/>
  <c r="DB151" i="54" s="1"/>
  <c r="GI62" i="54" l="1"/>
  <c r="GK62" i="54" s="1"/>
  <c r="GF63" i="54" s="1"/>
  <c r="GJ63" i="54"/>
  <c r="FO63" i="54"/>
  <c r="FN62" i="54"/>
  <c r="FP62" i="54" s="1"/>
  <c r="FK63" i="54" s="1"/>
  <c r="FZ62" i="54"/>
  <c r="GA62" i="54"/>
  <c r="FX62" i="54"/>
  <c r="FT62" i="54"/>
  <c r="FQ62" i="54"/>
  <c r="FS62" i="54"/>
  <c r="DC151" i="54"/>
  <c r="DA151" i="54"/>
  <c r="DB152" i="54" s="1"/>
  <c r="GC63" i="54" l="1"/>
  <c r="GB62" i="54"/>
  <c r="GD62" i="54" s="1"/>
  <c r="FY63" i="54" s="1"/>
  <c r="FU62" i="54"/>
  <c r="FW62" i="54" s="1"/>
  <c r="FR63" i="54" s="1"/>
  <c r="FV63" i="54"/>
  <c r="FM63" i="54"/>
  <c r="FL63" i="54"/>
  <c r="FJ63" i="54"/>
  <c r="GH63" i="54"/>
  <c r="GG63" i="54"/>
  <c r="GE63" i="54"/>
  <c r="DC152" i="54"/>
  <c r="DA152" i="54"/>
  <c r="DB153" i="54" s="1"/>
  <c r="FX63" i="54" l="1"/>
  <c r="FZ63" i="54"/>
  <c r="GA63" i="54"/>
  <c r="FT63" i="54"/>
  <c r="FS63" i="54"/>
  <c r="FQ63" i="54"/>
  <c r="GJ64" i="54"/>
  <c r="GI63" i="54"/>
  <c r="GK63" i="54" s="1"/>
  <c r="GF64" i="54" s="1"/>
  <c r="FO64" i="54"/>
  <c r="FN63" i="54"/>
  <c r="FP63" i="54" s="1"/>
  <c r="FK64" i="54" s="1"/>
  <c r="DC153" i="54"/>
  <c r="DA153" i="54"/>
  <c r="DB154" i="54" s="1"/>
  <c r="FL64" i="54" l="1"/>
  <c r="FJ64" i="54"/>
  <c r="FM64" i="54"/>
  <c r="FV64" i="54"/>
  <c r="FU63" i="54"/>
  <c r="FW63" i="54" s="1"/>
  <c r="FR64" i="54" s="1"/>
  <c r="GG64" i="54"/>
  <c r="GE64" i="54"/>
  <c r="GH64" i="54"/>
  <c r="GB63" i="54"/>
  <c r="GD63" i="54" s="1"/>
  <c r="FY64" i="54" s="1"/>
  <c r="GC64" i="54"/>
  <c r="DC154" i="54"/>
  <c r="DA154" i="54"/>
  <c r="DB155" i="54" s="1"/>
  <c r="FX64" i="54" l="1"/>
  <c r="GA64" i="54"/>
  <c r="FZ64" i="54"/>
  <c r="GI64" i="54"/>
  <c r="GK64" i="54" s="1"/>
  <c r="GF65" i="54" s="1"/>
  <c r="GJ65" i="54"/>
  <c r="FS64" i="54"/>
  <c r="FQ64" i="54"/>
  <c r="FT64" i="54"/>
  <c r="FN64" i="54"/>
  <c r="FP64" i="54" s="1"/>
  <c r="FK65" i="54" s="1"/>
  <c r="FO65" i="54"/>
  <c r="DC155" i="54"/>
  <c r="DA155" i="54"/>
  <c r="DB156" i="54" s="1"/>
  <c r="FV65" i="54" l="1"/>
  <c r="FU64" i="54"/>
  <c r="FW64" i="54" s="1"/>
  <c r="FR65" i="54" s="1"/>
  <c r="FL65" i="54"/>
  <c r="FJ65" i="54"/>
  <c r="FM65" i="54"/>
  <c r="GH65" i="54"/>
  <c r="GE65" i="54"/>
  <c r="GG65" i="54"/>
  <c r="GC65" i="54"/>
  <c r="GB64" i="54"/>
  <c r="GD64" i="54" s="1"/>
  <c r="FY65" i="54" s="1"/>
  <c r="DC156" i="54"/>
  <c r="DA156" i="54"/>
  <c r="DB157" i="54" s="1"/>
  <c r="GI65" i="54" l="1"/>
  <c r="GK65" i="54" s="1"/>
  <c r="GF66" i="54" s="1"/>
  <c r="GJ66" i="54"/>
  <c r="FZ65" i="54"/>
  <c r="FX65" i="54"/>
  <c r="GA65" i="54"/>
  <c r="FN65" i="54"/>
  <c r="FP65" i="54" s="1"/>
  <c r="FK66" i="54" s="1"/>
  <c r="FO66" i="54"/>
  <c r="FS65" i="54"/>
  <c r="FQ65" i="54"/>
  <c r="FT65" i="54"/>
  <c r="DC157" i="54"/>
  <c r="DA157" i="54"/>
  <c r="DB158" i="54" s="1"/>
  <c r="GC66" i="54" l="1"/>
  <c r="GB65" i="54"/>
  <c r="GD65" i="54" s="1"/>
  <c r="FY66" i="54" s="1"/>
  <c r="FV66" i="54"/>
  <c r="FU65" i="54"/>
  <c r="FW65" i="54" s="1"/>
  <c r="FR66" i="54" s="1"/>
  <c r="GE66" i="54"/>
  <c r="GH66" i="54"/>
  <c r="GG66" i="54"/>
  <c r="FL66" i="54"/>
  <c r="FJ66" i="54"/>
  <c r="FM66" i="54"/>
  <c r="DC158" i="54"/>
  <c r="DA158" i="54"/>
  <c r="DB159" i="54" s="1"/>
  <c r="GA66" i="54" l="1"/>
  <c r="FZ66" i="54"/>
  <c r="FX66" i="54"/>
  <c r="FS66" i="54"/>
  <c r="FQ66" i="54"/>
  <c r="FT66" i="54"/>
  <c r="FN66" i="54"/>
  <c r="FP66" i="54" s="1"/>
  <c r="FK67" i="54" s="1"/>
  <c r="FO67" i="54"/>
  <c r="GJ67" i="54"/>
  <c r="GI66" i="54"/>
  <c r="GK66" i="54" s="1"/>
  <c r="GF67" i="54" s="1"/>
  <c r="DC159" i="54"/>
  <c r="DA159" i="54"/>
  <c r="DB160" i="54" s="1"/>
  <c r="FV67" i="54" l="1"/>
  <c r="FU66" i="54"/>
  <c r="FW66" i="54" s="1"/>
  <c r="FR67" i="54" s="1"/>
  <c r="GE67" i="54"/>
  <c r="GG67" i="54"/>
  <c r="GH67" i="54"/>
  <c r="GC67" i="54"/>
  <c r="GB66" i="54"/>
  <c r="GD66" i="54" s="1"/>
  <c r="FY67" i="54" s="1"/>
  <c r="FL67" i="54"/>
  <c r="FJ67" i="54"/>
  <c r="FM67" i="54"/>
  <c r="DC160" i="54"/>
  <c r="DA160" i="54"/>
  <c r="DB161" i="54" s="1"/>
  <c r="FN67" i="54" l="1"/>
  <c r="FP67" i="54" s="1"/>
  <c r="FK68" i="54" s="1"/>
  <c r="FO68" i="54"/>
  <c r="GJ68" i="54"/>
  <c r="GI67" i="54"/>
  <c r="GK67" i="54" s="1"/>
  <c r="GF68" i="54" s="1"/>
  <c r="FX67" i="54"/>
  <c r="FZ67" i="54"/>
  <c r="GA67" i="54"/>
  <c r="FT67" i="54"/>
  <c r="FQ67" i="54"/>
  <c r="FS67" i="54"/>
  <c r="DC161" i="54"/>
  <c r="DA161" i="54"/>
  <c r="DB162" i="54" s="1"/>
  <c r="GC68" i="54" l="1"/>
  <c r="GB67" i="54"/>
  <c r="GD67" i="54" s="1"/>
  <c r="FY68" i="54" s="1"/>
  <c r="GE68" i="54"/>
  <c r="GG68" i="54"/>
  <c r="GH68" i="54"/>
  <c r="FV68" i="54"/>
  <c r="FU67" i="54"/>
  <c r="FW67" i="54" s="1"/>
  <c r="FR68" i="54" s="1"/>
  <c r="FJ68" i="54"/>
  <c r="FL68" i="54"/>
  <c r="FM68" i="54"/>
  <c r="DC162" i="54"/>
  <c r="DA162" i="54"/>
  <c r="DB163" i="54" s="1"/>
  <c r="GI68" i="54" l="1"/>
  <c r="GK68" i="54" s="1"/>
  <c r="GF69" i="54" s="1"/>
  <c r="GJ69" i="54"/>
  <c r="FO69" i="54"/>
  <c r="FN68" i="54"/>
  <c r="FP68" i="54" s="1"/>
  <c r="FK69" i="54" s="1"/>
  <c r="FX68" i="54"/>
  <c r="FZ68" i="54"/>
  <c r="GA68" i="54"/>
  <c r="FT68" i="54"/>
  <c r="FQ68" i="54"/>
  <c r="FS68" i="54"/>
  <c r="DC163" i="54"/>
  <c r="DA163" i="54"/>
  <c r="DB164" i="54" s="1"/>
  <c r="GH69" i="54" l="1"/>
  <c r="GG69" i="54"/>
  <c r="GE69" i="54"/>
  <c r="FL69" i="54"/>
  <c r="FM69" i="54"/>
  <c r="FJ69" i="54"/>
  <c r="FV69" i="54"/>
  <c r="FU68" i="54"/>
  <c r="FW68" i="54" s="1"/>
  <c r="FR69" i="54" s="1"/>
  <c r="GB68" i="54"/>
  <c r="GD68" i="54" s="1"/>
  <c r="FY69" i="54" s="1"/>
  <c r="GC69" i="54"/>
  <c r="DC164" i="54"/>
  <c r="DA164" i="54"/>
  <c r="DB165" i="54" s="1"/>
  <c r="FQ69" i="54" l="1"/>
  <c r="FT69" i="54"/>
  <c r="FS69" i="54"/>
  <c r="FN69" i="54"/>
  <c r="FP69" i="54" s="1"/>
  <c r="FK70" i="54" s="1"/>
  <c r="FO70" i="54"/>
  <c r="GA69" i="54"/>
  <c r="FX69" i="54"/>
  <c r="FZ69" i="54"/>
  <c r="GJ70" i="54"/>
  <c r="GI69" i="54"/>
  <c r="GK69" i="54" s="1"/>
  <c r="GF70" i="54" s="1"/>
  <c r="DC165" i="54"/>
  <c r="DA165" i="54"/>
  <c r="DB166" i="54" s="1"/>
  <c r="GG70" i="54" l="1"/>
  <c r="GE70" i="54"/>
  <c r="GH70" i="54"/>
  <c r="GC70" i="54"/>
  <c r="GB69" i="54"/>
  <c r="GD69" i="54" s="1"/>
  <c r="FY70" i="54" s="1"/>
  <c r="FJ70" i="54"/>
  <c r="FM70" i="54"/>
  <c r="FL70" i="54"/>
  <c r="FV70" i="54"/>
  <c r="FU69" i="54"/>
  <c r="FW69" i="54" s="1"/>
  <c r="FR70" i="54" s="1"/>
  <c r="DC166" i="54"/>
  <c r="DA166" i="54"/>
  <c r="DB167" i="54" s="1"/>
  <c r="GA70" i="54" l="1"/>
  <c r="FZ70" i="54"/>
  <c r="FX70" i="54"/>
  <c r="FQ70" i="54"/>
  <c r="FT70" i="54"/>
  <c r="FS70" i="54"/>
  <c r="FO71" i="54"/>
  <c r="FN70" i="54"/>
  <c r="FP70" i="54" s="1"/>
  <c r="FK71" i="54" s="1"/>
  <c r="GI70" i="54"/>
  <c r="GK70" i="54" s="1"/>
  <c r="GF71" i="54" s="1"/>
  <c r="GJ71" i="54"/>
  <c r="DC167" i="54"/>
  <c r="DA167" i="54"/>
  <c r="DB168" i="54" s="1"/>
  <c r="FL71" i="54" l="1"/>
  <c r="FJ71" i="54"/>
  <c r="FM71" i="54"/>
  <c r="GE71" i="54"/>
  <c r="GG71" i="54"/>
  <c r="GH71" i="54"/>
  <c r="GC71" i="54"/>
  <c r="GB70" i="54"/>
  <c r="GD70" i="54" s="1"/>
  <c r="FY71" i="54" s="1"/>
  <c r="FV71" i="54"/>
  <c r="FU70" i="54"/>
  <c r="FW70" i="54" s="1"/>
  <c r="FR71" i="54" s="1"/>
  <c r="DC168" i="54"/>
  <c r="DA168" i="54"/>
  <c r="DB169" i="54" s="1"/>
  <c r="GJ72" i="54" l="1"/>
  <c r="GI71" i="54"/>
  <c r="GK71" i="54" s="1"/>
  <c r="GF72" i="54" s="1"/>
  <c r="FX71" i="54"/>
  <c r="GA71" i="54"/>
  <c r="FZ71" i="54"/>
  <c r="FQ71" i="54"/>
  <c r="FT71" i="54"/>
  <c r="FS71" i="54"/>
  <c r="FO72" i="54"/>
  <c r="FN71" i="54"/>
  <c r="FP71" i="54" s="1"/>
  <c r="FK72" i="54" s="1"/>
  <c r="DC169" i="54"/>
  <c r="DA169" i="54"/>
  <c r="DB170" i="54" s="1"/>
  <c r="GB71" i="54" l="1"/>
  <c r="GD71" i="54" s="1"/>
  <c r="FY72" i="54" s="1"/>
  <c r="GC72" i="54"/>
  <c r="FM72" i="54"/>
  <c r="FJ72" i="54"/>
  <c r="FL72" i="54"/>
  <c r="FV72" i="54"/>
  <c r="FU71" i="54"/>
  <c r="FW71" i="54" s="1"/>
  <c r="FR72" i="54" s="1"/>
  <c r="GE72" i="54"/>
  <c r="GG72" i="54"/>
  <c r="GH72" i="54"/>
  <c r="DC170" i="54"/>
  <c r="DA170" i="54"/>
  <c r="DB171" i="54" s="1"/>
  <c r="FN72" i="54" l="1"/>
  <c r="FP72" i="54" s="1"/>
  <c r="FK73" i="54" s="1"/>
  <c r="FO73" i="54"/>
  <c r="GJ73" i="54"/>
  <c r="GI72" i="54"/>
  <c r="GK72" i="54" s="1"/>
  <c r="GF73" i="54" s="1"/>
  <c r="FS72" i="54"/>
  <c r="FQ72" i="54"/>
  <c r="FT72" i="54"/>
  <c r="GA72" i="54"/>
  <c r="FX72" i="54"/>
  <c r="FZ72" i="54"/>
  <c r="DC171" i="54"/>
  <c r="DA171" i="54"/>
  <c r="DB172" i="54" s="1"/>
  <c r="GH73" i="54" l="1"/>
  <c r="GG73" i="54"/>
  <c r="GE73" i="54"/>
  <c r="FU72" i="54"/>
  <c r="FW72" i="54" s="1"/>
  <c r="FR73" i="54" s="1"/>
  <c r="FV73" i="54"/>
  <c r="GC73" i="54"/>
  <c r="GB72" i="54"/>
  <c r="GD72" i="54" s="1"/>
  <c r="FY73" i="54" s="1"/>
  <c r="FL73" i="54"/>
  <c r="FM73" i="54"/>
  <c r="FJ73" i="54"/>
  <c r="DC172" i="54"/>
  <c r="DA172" i="54"/>
  <c r="DB173" i="54" s="1"/>
  <c r="FQ73" i="54" l="1"/>
  <c r="FT73" i="54"/>
  <c r="FS73" i="54"/>
  <c r="GJ74" i="54"/>
  <c r="GI73" i="54"/>
  <c r="GK73" i="54" s="1"/>
  <c r="GF74" i="54" s="1"/>
  <c r="FO74" i="54"/>
  <c r="FN73" i="54"/>
  <c r="FP73" i="54" s="1"/>
  <c r="FK74" i="54" s="1"/>
  <c r="FX73" i="54"/>
  <c r="FZ73" i="54"/>
  <c r="GA73" i="54"/>
  <c r="DC173" i="54"/>
  <c r="DA173" i="54"/>
  <c r="DB174" i="54" s="1"/>
  <c r="FJ74" i="54" l="1"/>
  <c r="FM74" i="54"/>
  <c r="FL74" i="54"/>
  <c r="GE74" i="54"/>
  <c r="GG74" i="54"/>
  <c r="GH74" i="54"/>
  <c r="GB73" i="54"/>
  <c r="GD73" i="54" s="1"/>
  <c r="FY74" i="54" s="1"/>
  <c r="GC74" i="54"/>
  <c r="FU73" i="54"/>
  <c r="FW73" i="54" s="1"/>
  <c r="FR74" i="54" s="1"/>
  <c r="FV74" i="54"/>
  <c r="DC174" i="54"/>
  <c r="DA174" i="54"/>
  <c r="DB175" i="54" s="1"/>
  <c r="FX74" i="54" l="1"/>
  <c r="FZ74" i="54"/>
  <c r="GA74" i="54"/>
  <c r="GI74" i="54"/>
  <c r="GK74" i="54" s="1"/>
  <c r="GF75" i="54" s="1"/>
  <c r="GJ75" i="54"/>
  <c r="FO75" i="54"/>
  <c r="FN74" i="54"/>
  <c r="FP74" i="54" s="1"/>
  <c r="FK75" i="54" s="1"/>
  <c r="FQ74" i="54"/>
  <c r="FS74" i="54"/>
  <c r="FT74" i="54"/>
  <c r="DC175" i="54"/>
  <c r="DA175" i="54"/>
  <c r="DB176" i="54" s="1"/>
  <c r="GH75" i="54" l="1"/>
  <c r="GE75" i="54"/>
  <c r="GG75" i="54"/>
  <c r="FV75" i="54"/>
  <c r="FU74" i="54"/>
  <c r="FW74" i="54" s="1"/>
  <c r="FR75" i="54" s="1"/>
  <c r="GB74" i="54"/>
  <c r="GD74" i="54" s="1"/>
  <c r="FY75" i="54" s="1"/>
  <c r="GC75" i="54"/>
  <c r="FJ75" i="54"/>
  <c r="FL75" i="54"/>
  <c r="FM75" i="54"/>
  <c r="DC176" i="54"/>
  <c r="DA176" i="54"/>
  <c r="DB177" i="54" s="1"/>
  <c r="FX75" i="54" l="1"/>
  <c r="FZ75" i="54"/>
  <c r="GA75" i="54"/>
  <c r="FQ75" i="54"/>
  <c r="FT75" i="54"/>
  <c r="FS75" i="54"/>
  <c r="GJ76" i="54"/>
  <c r="GI75" i="54"/>
  <c r="GK75" i="54" s="1"/>
  <c r="GF76" i="54" s="1"/>
  <c r="FO76" i="54"/>
  <c r="FN75" i="54"/>
  <c r="FP75" i="54" s="1"/>
  <c r="FK76" i="54" s="1"/>
  <c r="DC177" i="54"/>
  <c r="DA177" i="54"/>
  <c r="DB178" i="54" s="1"/>
  <c r="GH76" i="54" l="1"/>
  <c r="GE76" i="54"/>
  <c r="GG76" i="54"/>
  <c r="FV76" i="54"/>
  <c r="FU75" i="54"/>
  <c r="FW75" i="54" s="1"/>
  <c r="FR76" i="54" s="1"/>
  <c r="FL76" i="54"/>
  <c r="FJ76" i="54"/>
  <c r="FM76" i="54"/>
  <c r="GC76" i="54"/>
  <c r="GB75" i="54"/>
  <c r="GD75" i="54" s="1"/>
  <c r="FY76" i="54" s="1"/>
  <c r="DC178" i="54"/>
  <c r="DA178" i="54"/>
  <c r="DB179" i="54" s="1"/>
  <c r="FX76" i="54" l="1"/>
  <c r="FZ76" i="54"/>
  <c r="GA76" i="54"/>
  <c r="FO77" i="54"/>
  <c r="FN76" i="54"/>
  <c r="FP76" i="54" s="1"/>
  <c r="FK77" i="54" s="1"/>
  <c r="FT76" i="54"/>
  <c r="FS76" i="54"/>
  <c r="FQ76" i="54"/>
  <c r="GJ77" i="54"/>
  <c r="GI76" i="54"/>
  <c r="GK76" i="54" s="1"/>
  <c r="GF77" i="54" s="1"/>
  <c r="DC179" i="54"/>
  <c r="DA179" i="54"/>
  <c r="DB180" i="54" s="1"/>
  <c r="FM77" i="54" l="1"/>
  <c r="FL77" i="54"/>
  <c r="FJ77" i="54"/>
  <c r="GG77" i="54"/>
  <c r="GH77" i="54"/>
  <c r="GE77" i="54"/>
  <c r="GC77" i="54"/>
  <c r="GB76" i="54"/>
  <c r="GD76" i="54" s="1"/>
  <c r="FY77" i="54" s="1"/>
  <c r="FU76" i="54"/>
  <c r="FW76" i="54" s="1"/>
  <c r="FR77" i="54" s="1"/>
  <c r="FV77" i="54"/>
  <c r="DC180" i="54"/>
  <c r="DA180" i="54"/>
  <c r="DB181" i="54" s="1"/>
  <c r="FZ77" i="54" l="1"/>
  <c r="FX77" i="54"/>
  <c r="GA77" i="54"/>
  <c r="GI77" i="54"/>
  <c r="GK77" i="54" s="1"/>
  <c r="GF78" i="54" s="1"/>
  <c r="GJ78" i="54"/>
  <c r="FQ77" i="54"/>
  <c r="FS77" i="54"/>
  <c r="FT77" i="54"/>
  <c r="FO78" i="54"/>
  <c r="FN77" i="54"/>
  <c r="FP77" i="54" s="1"/>
  <c r="FK78" i="54" s="1"/>
  <c r="DC181" i="54"/>
  <c r="DA181" i="54"/>
  <c r="DB182" i="54" s="1"/>
  <c r="GG78" i="54" l="1"/>
  <c r="GH78" i="54"/>
  <c r="GE78" i="54"/>
  <c r="FL78" i="54"/>
  <c r="FM78" i="54"/>
  <c r="FJ78" i="54"/>
  <c r="FV78" i="54"/>
  <c r="FU77" i="54"/>
  <c r="FW77" i="54" s="1"/>
  <c r="FR78" i="54" s="1"/>
  <c r="GC78" i="54"/>
  <c r="GB77" i="54"/>
  <c r="GD77" i="54" s="1"/>
  <c r="FY78" i="54" s="1"/>
  <c r="DC182" i="54"/>
  <c r="DA182" i="54"/>
  <c r="DB183" i="54" s="1"/>
  <c r="FZ78" i="54" l="1"/>
  <c r="GA78" i="54"/>
  <c r="FX78" i="54"/>
  <c r="FO79" i="54"/>
  <c r="FN78" i="54"/>
  <c r="FP78" i="54" s="1"/>
  <c r="FK79" i="54" s="1"/>
  <c r="FQ78" i="54"/>
  <c r="FT78" i="54"/>
  <c r="FS78" i="54"/>
  <c r="GJ79" i="54"/>
  <c r="GI78" i="54"/>
  <c r="GK78" i="54" s="1"/>
  <c r="GF79" i="54" s="1"/>
  <c r="DC183" i="54"/>
  <c r="DA183" i="54"/>
  <c r="DB184" i="54" s="1"/>
  <c r="FL79" i="54" l="1"/>
  <c r="FJ79" i="54"/>
  <c r="FM79" i="54"/>
  <c r="GG79" i="54"/>
  <c r="GH79" i="54"/>
  <c r="GE79" i="54"/>
  <c r="FV79" i="54"/>
  <c r="FU78" i="54"/>
  <c r="FW78" i="54" s="1"/>
  <c r="FR79" i="54" s="1"/>
  <c r="GC79" i="54"/>
  <c r="GB78" i="54"/>
  <c r="GD78" i="54" s="1"/>
  <c r="FY79" i="54" s="1"/>
  <c r="DC184" i="54"/>
  <c r="DA184" i="54"/>
  <c r="DB185" i="54" s="1"/>
  <c r="GJ80" i="54" l="1"/>
  <c r="GI79" i="54"/>
  <c r="GK79" i="54" s="1"/>
  <c r="GF80" i="54" s="1"/>
  <c r="FX79" i="54"/>
  <c r="FZ79" i="54"/>
  <c r="GA79" i="54"/>
  <c r="FS79" i="54"/>
  <c r="FT79" i="54"/>
  <c r="FQ79" i="54"/>
  <c r="FO80" i="54"/>
  <c r="FN79" i="54"/>
  <c r="FP79" i="54" s="1"/>
  <c r="FK80" i="54" s="1"/>
  <c r="DC185" i="54"/>
  <c r="DA185" i="54"/>
  <c r="DB186" i="54" s="1"/>
  <c r="FL80" i="54" l="1"/>
  <c r="FM80" i="54"/>
  <c r="FJ80" i="54"/>
  <c r="GE80" i="54"/>
  <c r="GG80" i="54"/>
  <c r="GH80" i="54"/>
  <c r="GC80" i="54"/>
  <c r="GB79" i="54"/>
  <c r="GD79" i="54" s="1"/>
  <c r="FY80" i="54" s="1"/>
  <c r="FV80" i="54"/>
  <c r="FU79" i="54"/>
  <c r="FW79" i="54" s="1"/>
  <c r="FR80" i="54" s="1"/>
  <c r="DC186" i="54"/>
  <c r="DA186" i="54"/>
  <c r="DB187" i="54" s="1"/>
  <c r="GI80" i="54" l="1"/>
  <c r="GK80" i="54" s="1"/>
  <c r="GF81" i="54" s="1"/>
  <c r="GJ81" i="54"/>
  <c r="FQ80" i="54"/>
  <c r="FS80" i="54"/>
  <c r="FT80" i="54"/>
  <c r="FZ80" i="54"/>
  <c r="GA80" i="54"/>
  <c r="FX80" i="54"/>
  <c r="FN80" i="54"/>
  <c r="FP80" i="54" s="1"/>
  <c r="FK81" i="54" s="1"/>
  <c r="FO81" i="54"/>
  <c r="DC187" i="54"/>
  <c r="DA187" i="54"/>
  <c r="DB188" i="54" s="1"/>
  <c r="FJ81" i="54" l="1"/>
  <c r="FL81" i="54"/>
  <c r="FM81" i="54"/>
  <c r="FU80" i="54"/>
  <c r="FW80" i="54" s="1"/>
  <c r="FR81" i="54" s="1"/>
  <c r="FV81" i="54"/>
  <c r="GC81" i="54"/>
  <c r="GB80" i="54"/>
  <c r="GD80" i="54" s="1"/>
  <c r="FY81" i="54" s="1"/>
  <c r="GG81" i="54"/>
  <c r="GE81" i="54"/>
  <c r="GH81" i="54"/>
  <c r="DC188" i="54"/>
  <c r="DA188" i="54"/>
  <c r="DB189" i="54" s="1"/>
  <c r="FS81" i="54" l="1"/>
  <c r="FQ81" i="54"/>
  <c r="FT81" i="54"/>
  <c r="FO82" i="54"/>
  <c r="FN81" i="54"/>
  <c r="FP81" i="54" s="1"/>
  <c r="FK82" i="54" s="1"/>
  <c r="GI81" i="54"/>
  <c r="GK81" i="54" s="1"/>
  <c r="GF82" i="54" s="1"/>
  <c r="GJ82" i="54"/>
  <c r="GA81" i="54"/>
  <c r="FX81" i="54"/>
  <c r="FZ81" i="54"/>
  <c r="DC189" i="54"/>
  <c r="DA189" i="54"/>
  <c r="DB190" i="54" s="1"/>
  <c r="GH82" i="54" l="1"/>
  <c r="GG82" i="54"/>
  <c r="GE82" i="54"/>
  <c r="FJ82" i="54"/>
  <c r="FM82" i="54"/>
  <c r="FL82" i="54"/>
  <c r="GB81" i="54"/>
  <c r="GD81" i="54" s="1"/>
  <c r="FY82" i="54" s="1"/>
  <c r="GC82" i="54"/>
  <c r="FV82" i="54"/>
  <c r="FU81" i="54"/>
  <c r="FW81" i="54" s="1"/>
  <c r="FR82" i="54" s="1"/>
  <c r="DC190" i="54"/>
  <c r="DA190" i="54"/>
  <c r="DB191" i="54" s="1"/>
  <c r="FO83" i="54" l="1"/>
  <c r="FN82" i="54"/>
  <c r="FP82" i="54" s="1"/>
  <c r="FK83" i="54" s="1"/>
  <c r="FS82" i="54"/>
  <c r="FQ82" i="54"/>
  <c r="FT82" i="54"/>
  <c r="GI82" i="54"/>
  <c r="GK82" i="54" s="1"/>
  <c r="GF83" i="54" s="1"/>
  <c r="GJ83" i="54"/>
  <c r="FZ82" i="54"/>
  <c r="FX82" i="54"/>
  <c r="GA82" i="54"/>
  <c r="DC191" i="54"/>
  <c r="DA191" i="54"/>
  <c r="DB192" i="54" s="1"/>
  <c r="GH83" i="54" l="1"/>
  <c r="GE83" i="54"/>
  <c r="GG83" i="54"/>
  <c r="FV83" i="54"/>
  <c r="FU82" i="54"/>
  <c r="FW82" i="54" s="1"/>
  <c r="FR83" i="54" s="1"/>
  <c r="FL83" i="54"/>
  <c r="FM83" i="54"/>
  <c r="FJ83" i="54"/>
  <c r="GC83" i="54"/>
  <c r="GB82" i="54"/>
  <c r="GD82" i="54" s="1"/>
  <c r="FY83" i="54" s="1"/>
  <c r="DC192" i="54"/>
  <c r="DA192" i="54"/>
  <c r="DB193" i="54" s="1"/>
  <c r="FO84" i="54" l="1"/>
  <c r="FN83" i="54"/>
  <c r="FS83" i="54"/>
  <c r="FQ83" i="54"/>
  <c r="FT83" i="54"/>
  <c r="GJ84" i="54"/>
  <c r="GI83" i="54"/>
  <c r="GK83" i="54" s="1"/>
  <c r="GF84" i="54" s="1"/>
  <c r="GA83" i="54"/>
  <c r="FZ83" i="54"/>
  <c r="FX83" i="54"/>
  <c r="FP83" i="54"/>
  <c r="FK84" i="54" s="1"/>
  <c r="DC193" i="54"/>
  <c r="DA193" i="54"/>
  <c r="DB194" i="54" s="1"/>
  <c r="GH84" i="54" l="1"/>
  <c r="GE84" i="54"/>
  <c r="GG84" i="54"/>
  <c r="FV84" i="54"/>
  <c r="FU83" i="54"/>
  <c r="FW83" i="54" s="1"/>
  <c r="FR84" i="54" s="1"/>
  <c r="FL84" i="54"/>
  <c r="FJ84" i="54"/>
  <c r="FM84" i="54"/>
  <c r="GC84" i="54"/>
  <c r="GB83" i="54"/>
  <c r="GD83" i="54" s="1"/>
  <c r="FY84" i="54" s="1"/>
  <c r="DC194" i="54"/>
  <c r="DA194" i="54"/>
  <c r="DB195" i="54" s="1"/>
  <c r="FO85" i="54" l="1"/>
  <c r="FN84" i="54"/>
  <c r="FT84" i="54"/>
  <c r="FS84" i="54"/>
  <c r="FQ84" i="54"/>
  <c r="GJ85" i="54"/>
  <c r="GI84" i="54"/>
  <c r="GK84" i="54" s="1"/>
  <c r="GF85" i="54" s="1"/>
  <c r="FX84" i="54"/>
  <c r="FZ84" i="54"/>
  <c r="GA84" i="54"/>
  <c r="FP84" i="54"/>
  <c r="FK85" i="54" s="1"/>
  <c r="DC195" i="54"/>
  <c r="DA195" i="54"/>
  <c r="DB196" i="54" s="1"/>
  <c r="GG85" i="54" l="1"/>
  <c r="GH85" i="54"/>
  <c r="GE85" i="54"/>
  <c r="FV85" i="54"/>
  <c r="FU84" i="54"/>
  <c r="FW84" i="54" s="1"/>
  <c r="FR85" i="54" s="1"/>
  <c r="GB84" i="54"/>
  <c r="GD84" i="54" s="1"/>
  <c r="FY85" i="54" s="1"/>
  <c r="GC85" i="54"/>
  <c r="FM85" i="54"/>
  <c r="FJ85" i="54"/>
  <c r="FL85" i="54"/>
  <c r="DC196" i="54"/>
  <c r="DA196" i="54"/>
  <c r="DB197" i="54" s="1"/>
  <c r="FZ85" i="54" l="1"/>
  <c r="FX85" i="54"/>
  <c r="GA85" i="54"/>
  <c r="FS85" i="54"/>
  <c r="FT85" i="54"/>
  <c r="FQ85" i="54"/>
  <c r="FN85" i="54"/>
  <c r="FP85" i="54" s="1"/>
  <c r="FK86" i="54" s="1"/>
  <c r="FO86" i="54"/>
  <c r="GI85" i="54"/>
  <c r="GK85" i="54" s="1"/>
  <c r="GF86" i="54" s="1"/>
  <c r="GJ86" i="54"/>
  <c r="DC197" i="54"/>
  <c r="DA197" i="54"/>
  <c r="DB198" i="54" s="1"/>
  <c r="GG86" i="54" l="1"/>
  <c r="GH86" i="54"/>
  <c r="GE86" i="54"/>
  <c r="FV86" i="54"/>
  <c r="FU85" i="54"/>
  <c r="FW85" i="54" s="1"/>
  <c r="FR86" i="54" s="1"/>
  <c r="FM86" i="54"/>
  <c r="FJ86" i="54"/>
  <c r="FL86" i="54"/>
  <c r="GC86" i="54"/>
  <c r="GB85" i="54"/>
  <c r="GD85" i="54" s="1"/>
  <c r="FY86" i="54" s="1"/>
  <c r="DC198" i="54"/>
  <c r="DA198" i="54"/>
  <c r="DB199" i="54" s="1"/>
  <c r="FX86" i="54" l="1"/>
  <c r="FZ86" i="54"/>
  <c r="GA86" i="54"/>
  <c r="FS86" i="54"/>
  <c r="FT86" i="54"/>
  <c r="FQ86" i="54"/>
  <c r="FO87" i="54"/>
  <c r="FN86" i="54"/>
  <c r="FP86" i="54" s="1"/>
  <c r="FK87" i="54" s="1"/>
  <c r="GI86" i="54"/>
  <c r="GK86" i="54" s="1"/>
  <c r="GF87" i="54" s="1"/>
  <c r="GJ87" i="54"/>
  <c r="DC199" i="54"/>
  <c r="DA199" i="54"/>
  <c r="DB200" i="54" s="1"/>
  <c r="GH87" i="54" l="1"/>
  <c r="GG87" i="54"/>
  <c r="GE87" i="54"/>
  <c r="FU86" i="54"/>
  <c r="FW86" i="54" s="1"/>
  <c r="FR87" i="54" s="1"/>
  <c r="FV87" i="54"/>
  <c r="GB86" i="54"/>
  <c r="GD86" i="54" s="1"/>
  <c r="FY87" i="54" s="1"/>
  <c r="GC87" i="54"/>
  <c r="FL87" i="54"/>
  <c r="FJ87" i="54"/>
  <c r="FM87" i="54"/>
  <c r="DC200" i="54"/>
  <c r="DA200" i="54"/>
  <c r="DB201" i="54" s="1"/>
  <c r="GA87" i="54" l="1"/>
  <c r="FX87" i="54"/>
  <c r="FZ87" i="54"/>
  <c r="FQ87" i="54"/>
  <c r="FS87" i="54"/>
  <c r="FT87" i="54"/>
  <c r="GI87" i="54"/>
  <c r="GK87" i="54" s="1"/>
  <c r="GF88" i="54" s="1"/>
  <c r="GJ88" i="54"/>
  <c r="FO88" i="54"/>
  <c r="FN87" i="54"/>
  <c r="FP87" i="54" s="1"/>
  <c r="FK88" i="54" s="1"/>
  <c r="DC201" i="54"/>
  <c r="DA201" i="54"/>
  <c r="DB202" i="54" s="1"/>
  <c r="FJ88" i="54" l="1"/>
  <c r="FM88" i="54"/>
  <c r="FL88" i="54"/>
  <c r="FV88" i="54"/>
  <c r="FU87" i="54"/>
  <c r="FW87" i="54" s="1"/>
  <c r="FR88" i="54" s="1"/>
  <c r="GC88" i="54"/>
  <c r="GB87" i="54"/>
  <c r="GD87" i="54" s="1"/>
  <c r="FY88" i="54" s="1"/>
  <c r="GE88" i="54"/>
  <c r="GH88" i="54"/>
  <c r="GG88" i="54"/>
  <c r="DC202" i="54"/>
  <c r="DA202" i="54"/>
  <c r="DB203" i="54" s="1"/>
  <c r="FS88" i="54" l="1"/>
  <c r="FT88" i="54"/>
  <c r="FQ88" i="54"/>
  <c r="FO89" i="54"/>
  <c r="FN88" i="54"/>
  <c r="FP88" i="54" s="1"/>
  <c r="FK89" i="54" s="1"/>
  <c r="GI88" i="54"/>
  <c r="GK88" i="54" s="1"/>
  <c r="GF89" i="54" s="1"/>
  <c r="GJ89" i="54"/>
  <c r="FZ88" i="54"/>
  <c r="FX88" i="54"/>
  <c r="GA88" i="54"/>
  <c r="DC203" i="54"/>
  <c r="DA203" i="54"/>
  <c r="DB204" i="54" s="1"/>
  <c r="FJ89" i="54" l="1"/>
  <c r="FL89" i="54"/>
  <c r="FM89" i="54"/>
  <c r="GE89" i="54"/>
  <c r="GH89" i="54"/>
  <c r="GG89" i="54"/>
  <c r="GC89" i="54"/>
  <c r="GB88" i="54"/>
  <c r="GD88" i="54" s="1"/>
  <c r="FY89" i="54" s="1"/>
  <c r="FV89" i="54"/>
  <c r="FU88" i="54"/>
  <c r="FW88" i="54" s="1"/>
  <c r="FR89" i="54" s="1"/>
  <c r="DC204" i="54"/>
  <c r="DA204" i="54"/>
  <c r="DB205" i="54" s="1"/>
  <c r="FX89" i="54" l="1"/>
  <c r="GA89" i="54"/>
  <c r="FZ89" i="54"/>
  <c r="GJ90" i="54"/>
  <c r="GI89" i="54"/>
  <c r="GK89" i="54" s="1"/>
  <c r="GF90" i="54" s="1"/>
  <c r="FS89" i="54"/>
  <c r="FT89" i="54"/>
  <c r="FQ89" i="54"/>
  <c r="FO90" i="54"/>
  <c r="FN89" i="54"/>
  <c r="FP89" i="54" s="1"/>
  <c r="FK90" i="54" s="1"/>
  <c r="DC205" i="54"/>
  <c r="DA205" i="54"/>
  <c r="DB206" i="54" s="1"/>
  <c r="FV90" i="54" l="1"/>
  <c r="FU89" i="54"/>
  <c r="FW89" i="54" s="1"/>
  <c r="FR90" i="54" s="1"/>
  <c r="FJ90" i="54"/>
  <c r="FM90" i="54"/>
  <c r="FL90" i="54"/>
  <c r="GB89" i="54"/>
  <c r="GD89" i="54" s="1"/>
  <c r="FY90" i="54" s="1"/>
  <c r="GC90" i="54"/>
  <c r="GH90" i="54"/>
  <c r="GG90" i="54"/>
  <c r="GE90" i="54"/>
  <c r="DC206" i="54"/>
  <c r="DA206" i="54"/>
  <c r="DB207" i="54" s="1"/>
  <c r="FO91" i="54" l="1"/>
  <c r="FN90" i="54"/>
  <c r="FX90" i="54"/>
  <c r="FZ90" i="54"/>
  <c r="GA90" i="54"/>
  <c r="FP90" i="54"/>
  <c r="FK91" i="54" s="1"/>
  <c r="GJ91" i="54"/>
  <c r="GI90" i="54"/>
  <c r="GK90" i="54" s="1"/>
  <c r="GF91" i="54" s="1"/>
  <c r="FT90" i="54"/>
  <c r="FS90" i="54"/>
  <c r="FQ90" i="54"/>
  <c r="DC207" i="54"/>
  <c r="DA207" i="54"/>
  <c r="DB208" i="54" s="1"/>
  <c r="FJ91" i="54" l="1"/>
  <c r="FL91" i="54"/>
  <c r="FM91" i="54"/>
  <c r="GC91" i="54"/>
  <c r="GB90" i="54"/>
  <c r="GD90" i="54" s="1"/>
  <c r="FY91" i="54" s="1"/>
  <c r="FV91" i="54"/>
  <c r="FU90" i="54"/>
  <c r="FW90" i="54" s="1"/>
  <c r="FR91" i="54" s="1"/>
  <c r="GH91" i="54"/>
  <c r="GE91" i="54"/>
  <c r="GG91" i="54"/>
  <c r="DC208" i="54"/>
  <c r="DA208" i="54"/>
  <c r="DB209" i="54" s="1"/>
  <c r="FX91" i="54" l="1"/>
  <c r="GA91" i="54"/>
  <c r="FZ91" i="54"/>
  <c r="GJ92" i="54"/>
  <c r="GI91" i="54"/>
  <c r="GK91" i="54" s="1"/>
  <c r="GF92" i="54" s="1"/>
  <c r="FO92" i="54"/>
  <c r="FN91" i="54"/>
  <c r="FP91" i="54" s="1"/>
  <c r="FK92" i="54" s="1"/>
  <c r="FS91" i="54"/>
  <c r="FT91" i="54"/>
  <c r="FQ91" i="54"/>
  <c r="DC209" i="54"/>
  <c r="DA209" i="54"/>
  <c r="DB210" i="54" s="1"/>
  <c r="GH92" i="54" l="1"/>
  <c r="GE92" i="54"/>
  <c r="GG92" i="54"/>
  <c r="FL92" i="54"/>
  <c r="FM92" i="54"/>
  <c r="FJ92" i="54"/>
  <c r="FU91" i="54"/>
  <c r="FW91" i="54" s="1"/>
  <c r="FR92" i="54" s="1"/>
  <c r="FV92" i="54"/>
  <c r="GC92" i="54"/>
  <c r="GB91" i="54"/>
  <c r="GD91" i="54" s="1"/>
  <c r="FY92" i="54" s="1"/>
  <c r="DC210" i="54"/>
  <c r="DA210" i="54"/>
  <c r="DB211" i="54" s="1"/>
  <c r="FX92" i="54" l="1"/>
  <c r="FZ92" i="54"/>
  <c r="GA92" i="54"/>
  <c r="FN92" i="54"/>
  <c r="FP92" i="54" s="1"/>
  <c r="FK93" i="54" s="1"/>
  <c r="FO93" i="54"/>
  <c r="GI92" i="54"/>
  <c r="GK92" i="54" s="1"/>
  <c r="GF93" i="54" s="1"/>
  <c r="GJ93" i="54"/>
  <c r="FT92" i="54"/>
  <c r="FS92" i="54"/>
  <c r="FQ92" i="54"/>
  <c r="DC211" i="54"/>
  <c r="DA211" i="54"/>
  <c r="DB212" i="54" s="1"/>
  <c r="FJ93" i="54" l="1"/>
  <c r="FM93" i="54"/>
  <c r="FL93" i="54"/>
  <c r="GG93" i="54"/>
  <c r="GE93" i="54"/>
  <c r="GH93" i="54"/>
  <c r="GB92" i="54"/>
  <c r="GD92" i="54" s="1"/>
  <c r="FY93" i="54" s="1"/>
  <c r="GC93" i="54"/>
  <c r="FV93" i="54"/>
  <c r="FU92" i="54"/>
  <c r="FW92" i="54" s="1"/>
  <c r="FR93" i="54" s="1"/>
  <c r="DC212" i="54"/>
  <c r="DA212" i="54"/>
  <c r="DB213" i="54" s="1"/>
  <c r="FX93" i="54" l="1"/>
  <c r="FZ93" i="54"/>
  <c r="GA93" i="54"/>
  <c r="GI93" i="54"/>
  <c r="GK93" i="54" s="1"/>
  <c r="GF94" i="54" s="1"/>
  <c r="GJ94" i="54"/>
  <c r="FO94" i="54"/>
  <c r="FN93" i="54"/>
  <c r="FP93" i="54" s="1"/>
  <c r="FK94" i="54" s="1"/>
  <c r="FT93" i="54"/>
  <c r="FS93" i="54"/>
  <c r="FQ93" i="54"/>
  <c r="DC213" i="54"/>
  <c r="DA213" i="54"/>
  <c r="DB214" i="54" s="1"/>
  <c r="FJ94" i="54" l="1"/>
  <c r="FL94" i="54"/>
  <c r="FM94" i="54"/>
  <c r="GG94" i="54"/>
  <c r="GE94" i="54"/>
  <c r="GH94" i="54"/>
  <c r="FV94" i="54"/>
  <c r="FU93" i="54"/>
  <c r="FW93" i="54" s="1"/>
  <c r="FR94" i="54" s="1"/>
  <c r="GC94" i="54"/>
  <c r="GB93" i="54"/>
  <c r="GD93" i="54" s="1"/>
  <c r="FY94" i="54" s="1"/>
  <c r="DC214" i="54"/>
  <c r="DA214" i="54"/>
  <c r="DB215" i="54" s="1"/>
  <c r="GJ95" i="54" l="1"/>
  <c r="GI94" i="54"/>
  <c r="GK94" i="54" s="1"/>
  <c r="GF95" i="54" s="1"/>
  <c r="FX94" i="54"/>
  <c r="GA94" i="54"/>
  <c r="FZ94" i="54"/>
  <c r="FS94" i="54"/>
  <c r="FT94" i="54"/>
  <c r="FQ94" i="54"/>
  <c r="FN94" i="54"/>
  <c r="FP94" i="54" s="1"/>
  <c r="FK95" i="54" s="1"/>
  <c r="FO95" i="54"/>
  <c r="DC215" i="54"/>
  <c r="DA215" i="54"/>
  <c r="DB216" i="54" s="1"/>
  <c r="FV95" i="54" l="1"/>
  <c r="FU94" i="54"/>
  <c r="FW94" i="54" s="1"/>
  <c r="FR95" i="54" s="1"/>
  <c r="GC95" i="54"/>
  <c r="GB94" i="54"/>
  <c r="GD94" i="54" s="1"/>
  <c r="FY95" i="54" s="1"/>
  <c r="FM95" i="54"/>
  <c r="FL95" i="54"/>
  <c r="FJ95" i="54"/>
  <c r="GE95" i="54"/>
  <c r="GG95" i="54"/>
  <c r="GH95" i="54"/>
  <c r="DC216" i="54"/>
  <c r="DA216" i="54"/>
  <c r="DB217" i="54" s="1"/>
  <c r="FO96" i="54" l="1"/>
  <c r="FN95" i="54"/>
  <c r="FP95" i="54" s="1"/>
  <c r="FK96" i="54" s="1"/>
  <c r="FZ95" i="54"/>
  <c r="FX95" i="54"/>
  <c r="GA95" i="54"/>
  <c r="GJ96" i="54"/>
  <c r="GI95" i="54"/>
  <c r="GK95" i="54" s="1"/>
  <c r="GF96" i="54" s="1"/>
  <c r="FT95" i="54"/>
  <c r="FS95" i="54"/>
  <c r="FQ95" i="54"/>
  <c r="DC217" i="54"/>
  <c r="DA217" i="54"/>
  <c r="DB218" i="54" s="1"/>
  <c r="GC96" i="54" l="1"/>
  <c r="GB95" i="54"/>
  <c r="GD95" i="54" s="1"/>
  <c r="FY96" i="54" s="1"/>
  <c r="FL96" i="54"/>
  <c r="FJ96" i="54"/>
  <c r="FM96" i="54"/>
  <c r="FU95" i="54"/>
  <c r="FW95" i="54" s="1"/>
  <c r="FR96" i="54" s="1"/>
  <c r="FV96" i="54"/>
  <c r="GE96" i="54"/>
  <c r="GG96" i="54"/>
  <c r="GH96" i="54"/>
  <c r="DC218" i="54"/>
  <c r="DA218" i="54"/>
  <c r="DB219" i="54" s="1"/>
  <c r="FX96" i="54" l="1"/>
  <c r="FZ96" i="54"/>
  <c r="GA96" i="54"/>
  <c r="FO97" i="54"/>
  <c r="FN96" i="54"/>
  <c r="FP96" i="54" s="1"/>
  <c r="FK97" i="54" s="1"/>
  <c r="GJ97" i="54"/>
  <c r="GI96" i="54"/>
  <c r="GK96" i="54" s="1"/>
  <c r="GF97" i="54" s="1"/>
  <c r="FS96" i="54"/>
  <c r="FT96" i="54"/>
  <c r="FQ96" i="54"/>
  <c r="DC219" i="54"/>
  <c r="DA219" i="54"/>
  <c r="DB220" i="54" s="1"/>
  <c r="FL97" i="54" l="1"/>
  <c r="FJ97" i="54"/>
  <c r="FM97" i="54"/>
  <c r="GC97" i="54"/>
  <c r="GB96" i="54"/>
  <c r="GD96" i="54" s="1"/>
  <c r="FY97" i="54" s="1"/>
  <c r="FV97" i="54"/>
  <c r="FU96" i="54"/>
  <c r="FW96" i="54" s="1"/>
  <c r="FR97" i="54" s="1"/>
  <c r="GE97" i="54"/>
  <c r="GG97" i="54"/>
  <c r="GH97" i="54"/>
  <c r="DC220" i="54"/>
  <c r="DA220" i="54"/>
  <c r="DB221" i="54" s="1"/>
  <c r="FX97" i="54" l="1"/>
  <c r="GA97" i="54"/>
  <c r="FZ97" i="54"/>
  <c r="GJ98" i="54"/>
  <c r="GI97" i="54"/>
  <c r="GK97" i="54" s="1"/>
  <c r="GF98" i="54" s="1"/>
  <c r="FT97" i="54"/>
  <c r="FS97" i="54"/>
  <c r="FQ97" i="54"/>
  <c r="FO98" i="54"/>
  <c r="FN97" i="54"/>
  <c r="FP97" i="54" s="1"/>
  <c r="FK98" i="54" s="1"/>
  <c r="DC221" i="54"/>
  <c r="DA221" i="54"/>
  <c r="DB222" i="54" s="1"/>
  <c r="FJ98" i="54" l="1"/>
  <c r="FL98" i="54"/>
  <c r="FM98" i="54"/>
  <c r="GH98" i="54"/>
  <c r="GE98" i="54"/>
  <c r="GG98" i="54"/>
  <c r="GC98" i="54"/>
  <c r="GB97" i="54"/>
  <c r="GD97" i="54" s="1"/>
  <c r="FY98" i="54" s="1"/>
  <c r="FV98" i="54"/>
  <c r="FU97" i="54"/>
  <c r="FW97" i="54" s="1"/>
  <c r="FR98" i="54" s="1"/>
  <c r="DC222" i="54"/>
  <c r="DA222" i="54"/>
  <c r="DB223" i="54" s="1"/>
  <c r="GI98" i="54" l="1"/>
  <c r="GK98" i="54" s="1"/>
  <c r="GF99" i="54" s="1"/>
  <c r="GJ99" i="54"/>
  <c r="FQ98" i="54"/>
  <c r="FS98" i="54"/>
  <c r="FT98" i="54"/>
  <c r="FO99" i="54"/>
  <c r="FN98" i="54"/>
  <c r="FP98" i="54" s="1"/>
  <c r="FK99" i="54" s="1"/>
  <c r="FX98" i="54"/>
  <c r="GA98" i="54"/>
  <c r="FZ98" i="54"/>
  <c r="DC223" i="54"/>
  <c r="DA223" i="54"/>
  <c r="DB224" i="54" s="1"/>
  <c r="FU98" i="54" l="1"/>
  <c r="FW98" i="54" s="1"/>
  <c r="FR99" i="54" s="1"/>
  <c r="FV99" i="54"/>
  <c r="GB98" i="54"/>
  <c r="GD98" i="54" s="1"/>
  <c r="FY99" i="54" s="1"/>
  <c r="GC99" i="54"/>
  <c r="FL99" i="54"/>
  <c r="FJ99" i="54"/>
  <c r="FM99" i="54"/>
  <c r="GE99" i="54"/>
  <c r="GH99" i="54"/>
  <c r="GG99" i="54"/>
  <c r="DC224" i="54"/>
  <c r="DA224" i="54"/>
  <c r="DB225" i="54" s="1"/>
  <c r="GA99" i="54" l="1"/>
  <c r="FX99" i="54"/>
  <c r="FZ99" i="54"/>
  <c r="FO100" i="54"/>
  <c r="FN99" i="54"/>
  <c r="FP99" i="54" s="1"/>
  <c r="FK100" i="54" s="1"/>
  <c r="GJ100" i="54"/>
  <c r="GI99" i="54"/>
  <c r="GK99" i="54" s="1"/>
  <c r="GF100" i="54" s="1"/>
  <c r="FT99" i="54"/>
  <c r="FS99" i="54"/>
  <c r="FQ99" i="54"/>
  <c r="DC225" i="54"/>
  <c r="DA225" i="54"/>
  <c r="DB226" i="54" s="1"/>
  <c r="FM100" i="54" l="1"/>
  <c r="FJ100" i="54"/>
  <c r="FL100" i="54"/>
  <c r="GC100" i="54"/>
  <c r="GB99" i="54"/>
  <c r="GD99" i="54" s="1"/>
  <c r="FY100" i="54" s="1"/>
  <c r="FV100" i="54"/>
  <c r="FU99" i="54"/>
  <c r="FW99" i="54" s="1"/>
  <c r="FR100" i="54" s="1"/>
  <c r="GE100" i="54"/>
  <c r="GH100" i="54"/>
  <c r="GG100" i="54"/>
  <c r="DC226" i="54"/>
  <c r="DA226" i="54"/>
  <c r="DB227" i="54" s="1"/>
  <c r="FX100" i="54" l="1"/>
  <c r="FZ100" i="54"/>
  <c r="GA100" i="54"/>
  <c r="GJ101" i="54"/>
  <c r="GI100" i="54"/>
  <c r="GK100" i="54" s="1"/>
  <c r="GF101" i="54" s="1"/>
  <c r="FO101" i="54"/>
  <c r="FN100" i="54"/>
  <c r="FP100" i="54" s="1"/>
  <c r="FK101" i="54" s="1"/>
  <c r="FS100" i="54"/>
  <c r="FQ100" i="54"/>
  <c r="FT100" i="54"/>
  <c r="DC227" i="54"/>
  <c r="DA227" i="54"/>
  <c r="DB228" i="54" s="1"/>
  <c r="GH101" i="54" l="1"/>
  <c r="GE101" i="54"/>
  <c r="GG101" i="54"/>
  <c r="GC101" i="54"/>
  <c r="GB100" i="54"/>
  <c r="GD100" i="54" s="1"/>
  <c r="FY101" i="54" s="1"/>
  <c r="FV101" i="54"/>
  <c r="FU100" i="54"/>
  <c r="FW100" i="54" s="1"/>
  <c r="FR101" i="54" s="1"/>
  <c r="FJ101" i="54"/>
  <c r="FM101" i="54"/>
  <c r="FL101" i="54"/>
  <c r="DC228" i="54"/>
  <c r="DA228" i="54"/>
  <c r="DB229" i="54" s="1"/>
  <c r="GA101" i="54" l="1"/>
  <c r="FZ101" i="54"/>
  <c r="FX101" i="54"/>
  <c r="FN101" i="54"/>
  <c r="FP101" i="54" s="1"/>
  <c r="FK102" i="54" s="1"/>
  <c r="FO102" i="54"/>
  <c r="GJ102" i="54"/>
  <c r="GI101" i="54"/>
  <c r="FT101" i="54"/>
  <c r="FS101" i="54"/>
  <c r="FQ101" i="54"/>
  <c r="GK101" i="54"/>
  <c r="GF102" i="54" s="1"/>
  <c r="DC229" i="54"/>
  <c r="DA229" i="54"/>
  <c r="DB230" i="54" s="1"/>
  <c r="GE102" i="54" l="1"/>
  <c r="GH102" i="54"/>
  <c r="GG102" i="54"/>
  <c r="FL102" i="54"/>
  <c r="FJ102" i="54"/>
  <c r="FM102" i="54"/>
  <c r="FU101" i="54"/>
  <c r="FW101" i="54" s="1"/>
  <c r="FR102" i="54" s="1"/>
  <c r="FV102" i="54"/>
  <c r="GC102" i="54"/>
  <c r="GB101" i="54"/>
  <c r="GD101" i="54" s="1"/>
  <c r="FY102" i="54" s="1"/>
  <c r="DC230" i="54"/>
  <c r="DA230" i="54"/>
  <c r="DB231" i="54" s="1"/>
  <c r="GA102" i="54" l="1"/>
  <c r="FX102" i="54"/>
  <c r="FZ102" i="54"/>
  <c r="FO103" i="54"/>
  <c r="FN102" i="54"/>
  <c r="FP102" i="54" s="1"/>
  <c r="FK103" i="54" s="1"/>
  <c r="GJ103" i="54"/>
  <c r="GI102" i="54"/>
  <c r="GK102" i="54" s="1"/>
  <c r="GF103" i="54" s="1"/>
  <c r="FT102" i="54"/>
  <c r="FQ102" i="54"/>
  <c r="FS102" i="54"/>
  <c r="DC231" i="54"/>
  <c r="DA231" i="54"/>
  <c r="DB232" i="54" s="1"/>
  <c r="FJ103" i="54" l="1"/>
  <c r="FL103" i="54"/>
  <c r="FM103" i="54"/>
  <c r="FV103" i="54"/>
  <c r="FU102" i="54"/>
  <c r="FW102" i="54" s="1"/>
  <c r="FR103" i="54" s="1"/>
  <c r="GC103" i="54"/>
  <c r="GB102" i="54"/>
  <c r="GD102" i="54" s="1"/>
  <c r="FY103" i="54" s="1"/>
  <c r="GE103" i="54"/>
  <c r="GG103" i="54"/>
  <c r="GH103" i="54"/>
  <c r="DC232" i="54"/>
  <c r="DA232" i="54"/>
  <c r="DB233" i="54" s="1"/>
  <c r="FQ103" i="54" l="1"/>
  <c r="FS103" i="54"/>
  <c r="FT103" i="54"/>
  <c r="GJ104" i="54"/>
  <c r="GI103" i="54"/>
  <c r="GK103" i="54" s="1"/>
  <c r="GF104" i="54" s="1"/>
  <c r="FO104" i="54"/>
  <c r="FN103" i="54"/>
  <c r="FP103" i="54" s="1"/>
  <c r="FK104" i="54" s="1"/>
  <c r="FZ103" i="54"/>
  <c r="GA103" i="54"/>
  <c r="FX103" i="54"/>
  <c r="DC233" i="54"/>
  <c r="DA233" i="54"/>
  <c r="DB234" i="54" s="1"/>
  <c r="FJ104" i="54" l="1"/>
  <c r="FL104" i="54"/>
  <c r="FM104" i="54"/>
  <c r="GE104" i="54"/>
  <c r="GG104" i="54"/>
  <c r="GH104" i="54"/>
  <c r="GB103" i="54"/>
  <c r="GD103" i="54" s="1"/>
  <c r="FY104" i="54" s="1"/>
  <c r="GC104" i="54"/>
  <c r="FV104" i="54"/>
  <c r="FU103" i="54"/>
  <c r="FW103" i="54" s="1"/>
  <c r="FR104" i="54" s="1"/>
  <c r="DC234" i="54"/>
  <c r="DA234" i="54"/>
  <c r="DB235" i="54" s="1"/>
  <c r="GA104" i="54" l="1"/>
  <c r="FX104" i="54"/>
  <c r="FZ104" i="54"/>
  <c r="GJ105" i="54"/>
  <c r="GI104" i="54"/>
  <c r="GK104" i="54" s="1"/>
  <c r="GF105" i="54" s="1"/>
  <c r="FS104" i="54"/>
  <c r="FT104" i="54"/>
  <c r="FQ104" i="54"/>
  <c r="FO105" i="54"/>
  <c r="FN104" i="54"/>
  <c r="FP104" i="54" s="1"/>
  <c r="FK105" i="54" s="1"/>
  <c r="DC235" i="54"/>
  <c r="DA235" i="54"/>
  <c r="DB236" i="54" s="1"/>
  <c r="GH105" i="54" l="1"/>
  <c r="GG105" i="54"/>
  <c r="GE105" i="54"/>
  <c r="FL105" i="54"/>
  <c r="FJ105" i="54"/>
  <c r="FM105" i="54"/>
  <c r="GB104" i="54"/>
  <c r="GD104" i="54" s="1"/>
  <c r="FY105" i="54" s="1"/>
  <c r="GC105" i="54"/>
  <c r="FV105" i="54"/>
  <c r="FU104" i="54"/>
  <c r="FW104" i="54" s="1"/>
  <c r="FR105" i="54" s="1"/>
  <c r="DC236" i="54"/>
  <c r="DA236" i="54"/>
  <c r="DB237" i="54" s="1"/>
  <c r="FO106" i="54" l="1"/>
  <c r="FN105" i="54"/>
  <c r="FP105" i="54" s="1"/>
  <c r="FK106" i="54" s="1"/>
  <c r="GJ106" i="54"/>
  <c r="GI105" i="54"/>
  <c r="GK105" i="54" s="1"/>
  <c r="GF106" i="54" s="1"/>
  <c r="FT105" i="54"/>
  <c r="FS105" i="54"/>
  <c r="FQ105" i="54"/>
  <c r="FX105" i="54"/>
  <c r="FZ105" i="54"/>
  <c r="GA105" i="54"/>
  <c r="DC237" i="54"/>
  <c r="DA237" i="54"/>
  <c r="DB238" i="54" s="1"/>
  <c r="FL106" i="54" l="1"/>
  <c r="FJ106" i="54"/>
  <c r="FM106" i="54"/>
  <c r="GC106" i="54"/>
  <c r="GB105" i="54"/>
  <c r="GD105" i="54" s="1"/>
  <c r="FY106" i="54" s="1"/>
  <c r="GH106" i="54"/>
  <c r="GG106" i="54"/>
  <c r="GE106" i="54"/>
  <c r="FV106" i="54"/>
  <c r="FU105" i="54"/>
  <c r="FW105" i="54" s="1"/>
  <c r="FR106" i="54" s="1"/>
  <c r="DC238" i="54"/>
  <c r="DA238" i="54"/>
  <c r="DB239" i="54" s="1"/>
  <c r="FX106" i="54" l="1"/>
  <c r="FZ106" i="54"/>
  <c r="GA106" i="54"/>
  <c r="FQ106" i="54"/>
  <c r="FT106" i="54"/>
  <c r="FS106" i="54"/>
  <c r="GI106" i="54"/>
  <c r="GK106" i="54" s="1"/>
  <c r="GF107" i="54" s="1"/>
  <c r="GJ107" i="54"/>
  <c r="FO107" i="54"/>
  <c r="FN106" i="54"/>
  <c r="FP106" i="54" s="1"/>
  <c r="FK107" i="54" s="1"/>
  <c r="DC239" i="54"/>
  <c r="DA239" i="54"/>
  <c r="DB240" i="54" s="1"/>
  <c r="FV107" i="54" l="1"/>
  <c r="FU106" i="54"/>
  <c r="FW106" i="54" s="1"/>
  <c r="FR107" i="54" s="1"/>
  <c r="FL107" i="54"/>
  <c r="FM107" i="54"/>
  <c r="FJ107" i="54"/>
  <c r="GC107" i="54"/>
  <c r="GB106" i="54"/>
  <c r="GD106" i="54" s="1"/>
  <c r="FY107" i="54" s="1"/>
  <c r="GE107" i="54"/>
  <c r="GG107" i="54"/>
  <c r="GH107" i="54"/>
  <c r="DC240" i="54"/>
  <c r="DA240" i="54"/>
  <c r="DB241" i="54" s="1"/>
  <c r="GA107" i="54" l="1"/>
  <c r="FZ107" i="54"/>
  <c r="FX107" i="54"/>
  <c r="GI107" i="54"/>
  <c r="GK107" i="54" s="1"/>
  <c r="GF108" i="54" s="1"/>
  <c r="GJ108" i="54"/>
  <c r="FO108" i="54"/>
  <c r="FN107" i="54"/>
  <c r="FP107" i="54" s="1"/>
  <c r="FK108" i="54" s="1"/>
  <c r="FQ107" i="54"/>
  <c r="FS107" i="54"/>
  <c r="FT107" i="54"/>
  <c r="DC241" i="54"/>
  <c r="DA241" i="54"/>
  <c r="DB242" i="54" s="1"/>
  <c r="FL108" i="54" l="1"/>
  <c r="FJ108" i="54"/>
  <c r="FM108" i="54"/>
  <c r="FU107" i="54"/>
  <c r="FW107" i="54" s="1"/>
  <c r="FR108" i="54" s="1"/>
  <c r="FV108" i="54"/>
  <c r="GH108" i="54"/>
  <c r="GE108" i="54"/>
  <c r="GG108" i="54"/>
  <c r="GC108" i="54"/>
  <c r="GB107" i="54"/>
  <c r="GD107" i="54" s="1"/>
  <c r="FY108" i="54" s="1"/>
  <c r="DC242" i="54"/>
  <c r="DA242" i="54"/>
  <c r="DB243" i="54" s="1"/>
  <c r="FS108" i="54" l="1"/>
  <c r="FT108" i="54"/>
  <c r="FQ108" i="54"/>
  <c r="FX108" i="54"/>
  <c r="FZ108" i="54"/>
  <c r="GA108" i="54"/>
  <c r="GI108" i="54"/>
  <c r="GK108" i="54" s="1"/>
  <c r="GF109" i="54" s="1"/>
  <c r="GJ109" i="54"/>
  <c r="FO109" i="54"/>
  <c r="FN108" i="54"/>
  <c r="FP108" i="54" s="1"/>
  <c r="FK109" i="54" s="1"/>
  <c r="DC243" i="54"/>
  <c r="DA243" i="54"/>
  <c r="DB244" i="54" s="1"/>
  <c r="FJ109" i="54" l="1"/>
  <c r="FM109" i="54"/>
  <c r="FL109" i="54"/>
  <c r="GH109" i="54"/>
  <c r="GE109" i="54"/>
  <c r="GG109" i="54"/>
  <c r="GC109" i="54"/>
  <c r="GB108" i="54"/>
  <c r="GD108" i="54" s="1"/>
  <c r="FY109" i="54" s="1"/>
  <c r="FV109" i="54"/>
  <c r="FU108" i="54"/>
  <c r="FW108" i="54" s="1"/>
  <c r="FR109" i="54" s="1"/>
  <c r="DC244" i="54"/>
  <c r="DA244" i="54"/>
  <c r="DB245" i="54" s="1"/>
  <c r="GI109" i="54" l="1"/>
  <c r="GK109" i="54" s="1"/>
  <c r="GF110" i="54" s="1"/>
  <c r="GJ110" i="54"/>
  <c r="FZ109" i="54"/>
  <c r="FX109" i="54"/>
  <c r="GA109" i="54"/>
  <c r="FT109" i="54"/>
  <c r="FQ109" i="54"/>
  <c r="FS109" i="54"/>
  <c r="FO110" i="54"/>
  <c r="FN109" i="54"/>
  <c r="FP109" i="54" s="1"/>
  <c r="FK110" i="54" s="1"/>
  <c r="DC245" i="54"/>
  <c r="DA245" i="54"/>
  <c r="DB246" i="54" s="1"/>
  <c r="FM110" i="54" l="1"/>
  <c r="FJ110" i="54"/>
  <c r="FL110" i="54"/>
  <c r="GC110" i="54"/>
  <c r="GB109" i="54"/>
  <c r="GD109" i="54" s="1"/>
  <c r="FY110" i="54" s="1"/>
  <c r="FU109" i="54"/>
  <c r="FW109" i="54" s="1"/>
  <c r="FR110" i="54" s="1"/>
  <c r="FV110" i="54"/>
  <c r="GH110" i="54"/>
  <c r="GE110" i="54"/>
  <c r="GG110" i="54"/>
  <c r="DC246" i="54"/>
  <c r="DA246" i="54"/>
  <c r="DB247" i="54" s="1"/>
  <c r="FQ110" i="54" l="1"/>
  <c r="FS110" i="54"/>
  <c r="FT110" i="54"/>
  <c r="FZ110" i="54"/>
  <c r="GA110" i="54"/>
  <c r="FX110" i="54"/>
  <c r="FN110" i="54"/>
  <c r="FP110" i="54" s="1"/>
  <c r="FK111" i="54" s="1"/>
  <c r="FO111" i="54"/>
  <c r="GI110" i="54"/>
  <c r="GK110" i="54" s="1"/>
  <c r="GF111" i="54" s="1"/>
  <c r="GJ111" i="54"/>
  <c r="DC247" i="54"/>
  <c r="DA247" i="54"/>
  <c r="DB248" i="54" s="1"/>
  <c r="GG111" i="54" l="1"/>
  <c r="GE111" i="54"/>
  <c r="GH111" i="54"/>
  <c r="FL111" i="54"/>
  <c r="FJ111" i="54"/>
  <c r="FM111" i="54"/>
  <c r="GB110" i="54"/>
  <c r="GD110" i="54" s="1"/>
  <c r="FY111" i="54" s="1"/>
  <c r="GC111" i="54"/>
  <c r="FU110" i="54"/>
  <c r="FW110" i="54" s="1"/>
  <c r="FR111" i="54" s="1"/>
  <c r="FV111" i="54"/>
  <c r="DC248" i="54"/>
  <c r="DA248" i="54"/>
  <c r="DB249" i="54" s="1"/>
  <c r="FX111" i="54" l="1"/>
  <c r="GA111" i="54"/>
  <c r="FZ111" i="54"/>
  <c r="FO112" i="54"/>
  <c r="FN111" i="54"/>
  <c r="FP111" i="54" s="1"/>
  <c r="FK112" i="54" s="1"/>
  <c r="FS111" i="54"/>
  <c r="FQ111" i="54"/>
  <c r="FT111" i="54"/>
  <c r="GJ112" i="54"/>
  <c r="GI111" i="54"/>
  <c r="GK111" i="54" s="1"/>
  <c r="GF112" i="54" s="1"/>
  <c r="DC249" i="54"/>
  <c r="DA249" i="54"/>
  <c r="DB250" i="54" s="1"/>
  <c r="FV112" i="54" l="1"/>
  <c r="FU111" i="54"/>
  <c r="FW111" i="54" s="1"/>
  <c r="FR112" i="54" s="1"/>
  <c r="FJ112" i="54"/>
  <c r="FM112" i="54"/>
  <c r="FL112" i="54"/>
  <c r="GH112" i="54"/>
  <c r="GG112" i="54"/>
  <c r="GE112" i="54"/>
  <c r="GC112" i="54"/>
  <c r="GB111" i="54"/>
  <c r="GD111" i="54" s="1"/>
  <c r="FY112" i="54" s="1"/>
  <c r="DC250" i="54"/>
  <c r="DA250" i="54"/>
  <c r="DB251" i="54" s="1"/>
  <c r="FO113" i="54" l="1"/>
  <c r="FN112" i="54"/>
  <c r="GJ113" i="54"/>
  <c r="GI112" i="54"/>
  <c r="GK112" i="54" s="1"/>
  <c r="GF113" i="54" s="1"/>
  <c r="FX112" i="54"/>
  <c r="FZ112" i="54"/>
  <c r="GA112" i="54"/>
  <c r="FP112" i="54"/>
  <c r="FK113" i="54" s="1"/>
  <c r="FQ112" i="54"/>
  <c r="FT112" i="54"/>
  <c r="FS112" i="54"/>
  <c r="DC251" i="54"/>
  <c r="DA251" i="54"/>
  <c r="DB252" i="54" s="1"/>
  <c r="GC113" i="54" l="1"/>
  <c r="GB112" i="54"/>
  <c r="GE113" i="54"/>
  <c r="GG113" i="54"/>
  <c r="GH113" i="54"/>
  <c r="FV113" i="54"/>
  <c r="FU112" i="54"/>
  <c r="FW112" i="54" s="1"/>
  <c r="FR113" i="54" s="1"/>
  <c r="FJ113" i="54"/>
  <c r="FM113" i="54"/>
  <c r="FL113" i="54"/>
  <c r="GD112" i="54"/>
  <c r="FY113" i="54" s="1"/>
  <c r="DC252" i="54"/>
  <c r="DA252" i="54"/>
  <c r="DB253" i="54" s="1"/>
  <c r="GJ114" i="54" l="1"/>
  <c r="GI113" i="54"/>
  <c r="GK113" i="54" s="1"/>
  <c r="GF114" i="54" s="1"/>
  <c r="FX113" i="54"/>
  <c r="GA113" i="54"/>
  <c r="FZ113" i="54"/>
  <c r="FO114" i="54"/>
  <c r="FN113" i="54"/>
  <c r="FP113" i="54" s="1"/>
  <c r="FK114" i="54" s="1"/>
  <c r="FS113" i="54"/>
  <c r="FQ113" i="54"/>
  <c r="FT113" i="54"/>
  <c r="DC253" i="54"/>
  <c r="DA253" i="54"/>
  <c r="DB254" i="54" s="1"/>
  <c r="GC114" i="54" l="1"/>
  <c r="GB113" i="54"/>
  <c r="GD113" i="54" s="1"/>
  <c r="FY114" i="54" s="1"/>
  <c r="FU113" i="54"/>
  <c r="FW113" i="54" s="1"/>
  <c r="FR114" i="54" s="1"/>
  <c r="FV114" i="54"/>
  <c r="GE114" i="54"/>
  <c r="GG114" i="54"/>
  <c r="GH114" i="54"/>
  <c r="FM114" i="54"/>
  <c r="FJ114" i="54"/>
  <c r="FL114" i="54"/>
  <c r="DC254" i="54"/>
  <c r="DA254" i="54"/>
  <c r="DB255" i="54" s="1"/>
  <c r="FQ114" i="54" l="1"/>
  <c r="FS114" i="54"/>
  <c r="FT114" i="54"/>
  <c r="FO115" i="54"/>
  <c r="FN114" i="54"/>
  <c r="FP114" i="54" s="1"/>
  <c r="FK115" i="54" s="1"/>
  <c r="FX114" i="54"/>
  <c r="FZ114" i="54"/>
  <c r="GA114" i="54"/>
  <c r="GJ115" i="54"/>
  <c r="GI114" i="54"/>
  <c r="GK114" i="54" s="1"/>
  <c r="GF115" i="54" s="1"/>
  <c r="DC255" i="54"/>
  <c r="DA255" i="54"/>
  <c r="DB256" i="54" s="1"/>
  <c r="FM115" i="54" l="1"/>
  <c r="FL115" i="54"/>
  <c r="FJ115" i="54"/>
  <c r="GE115" i="54"/>
  <c r="GH115" i="54"/>
  <c r="GG115" i="54"/>
  <c r="GB114" i="54"/>
  <c r="GD114" i="54" s="1"/>
  <c r="FY115" i="54" s="1"/>
  <c r="GC115" i="54"/>
  <c r="FV115" i="54"/>
  <c r="FU114" i="54"/>
  <c r="FW114" i="54" s="1"/>
  <c r="FR115" i="54" s="1"/>
  <c r="DC256" i="54"/>
  <c r="DA256" i="54"/>
  <c r="DB257" i="54" s="1"/>
  <c r="FX115" i="54" l="1"/>
  <c r="FZ115" i="54"/>
  <c r="GA115" i="54"/>
  <c r="FS115" i="54"/>
  <c r="FQ115" i="54"/>
  <c r="FT115" i="54"/>
  <c r="FO116" i="54"/>
  <c r="FN115" i="54"/>
  <c r="FP115" i="54" s="1"/>
  <c r="FK116" i="54" s="1"/>
  <c r="GJ116" i="54"/>
  <c r="GI115" i="54"/>
  <c r="GK115" i="54" s="1"/>
  <c r="GF116" i="54" s="1"/>
  <c r="DC257" i="54"/>
  <c r="DA257" i="54"/>
  <c r="DB258" i="54" s="1"/>
  <c r="FU115" i="54" l="1"/>
  <c r="FW115" i="54" s="1"/>
  <c r="FR116" i="54" s="1"/>
  <c r="FV116" i="54"/>
  <c r="GB115" i="54"/>
  <c r="GD115" i="54" s="1"/>
  <c r="FY116" i="54" s="1"/>
  <c r="GC116" i="54"/>
  <c r="GE116" i="54"/>
  <c r="GG116" i="54"/>
  <c r="GH116" i="54"/>
  <c r="FM116" i="54"/>
  <c r="FJ116" i="54"/>
  <c r="FL116" i="54"/>
  <c r="DC258" i="54"/>
  <c r="DA258" i="54"/>
  <c r="DB259" i="54" s="1"/>
  <c r="FZ116" i="54" l="1"/>
  <c r="FX116" i="54"/>
  <c r="GA116" i="54"/>
  <c r="GJ117" i="54"/>
  <c r="GI116" i="54"/>
  <c r="GK116" i="54" s="1"/>
  <c r="GF117" i="54" s="1"/>
  <c r="FO117" i="54"/>
  <c r="FN116" i="54"/>
  <c r="FP116" i="54" s="1"/>
  <c r="FK117" i="54" s="1"/>
  <c r="FQ116" i="54"/>
  <c r="FS116" i="54"/>
  <c r="FT116" i="54"/>
  <c r="DC259" i="54"/>
  <c r="DA259" i="54"/>
  <c r="DB260" i="54" s="1"/>
  <c r="FL117" i="54" l="1"/>
  <c r="FM117" i="54"/>
  <c r="FJ117" i="54"/>
  <c r="GG117" i="54"/>
  <c r="GE117" i="54"/>
  <c r="GH117" i="54"/>
  <c r="FU116" i="54"/>
  <c r="FW116" i="54" s="1"/>
  <c r="FR117" i="54" s="1"/>
  <c r="FV117" i="54"/>
  <c r="GB116" i="54"/>
  <c r="GD116" i="54" s="1"/>
  <c r="FY117" i="54" s="1"/>
  <c r="GC117" i="54"/>
  <c r="DC260" i="54"/>
  <c r="DA260" i="54"/>
  <c r="DB261" i="54" s="1"/>
  <c r="GJ118" i="54" l="1"/>
  <c r="GI117" i="54"/>
  <c r="GK117" i="54" s="1"/>
  <c r="GF118" i="54" s="1"/>
  <c r="FZ117" i="54"/>
  <c r="FX117" i="54"/>
  <c r="GA117" i="54"/>
  <c r="FQ117" i="54"/>
  <c r="FT117" i="54"/>
  <c r="FS117" i="54"/>
  <c r="FN117" i="54"/>
  <c r="FP117" i="54" s="1"/>
  <c r="FK118" i="54" s="1"/>
  <c r="FO118" i="54"/>
  <c r="DC261" i="54"/>
  <c r="DA261" i="54"/>
  <c r="DB262" i="54" s="1"/>
  <c r="FL118" i="54" l="1"/>
  <c r="FJ118" i="54"/>
  <c r="FM118" i="54"/>
  <c r="GB117" i="54"/>
  <c r="GD117" i="54" s="1"/>
  <c r="FY118" i="54" s="1"/>
  <c r="GC118" i="54"/>
  <c r="FV118" i="54"/>
  <c r="FU117" i="54"/>
  <c r="FW117" i="54" s="1"/>
  <c r="FR118" i="54" s="1"/>
  <c r="GE118" i="54"/>
  <c r="GH118" i="54"/>
  <c r="GG118" i="54"/>
  <c r="DC262" i="54"/>
  <c r="DA262" i="54"/>
  <c r="DB263" i="54" s="1"/>
  <c r="GA118" i="54" l="1"/>
  <c r="FZ118" i="54"/>
  <c r="FX118" i="54"/>
  <c r="GI118" i="54"/>
  <c r="GK118" i="54" s="1"/>
  <c r="GF119" i="54" s="1"/>
  <c r="GJ119" i="54"/>
  <c r="FQ118" i="54"/>
  <c r="FS118" i="54"/>
  <c r="FT118" i="54"/>
  <c r="FO119" i="54"/>
  <c r="FN118" i="54"/>
  <c r="FP118" i="54" s="1"/>
  <c r="FK119" i="54" s="1"/>
  <c r="DC263" i="54"/>
  <c r="DA263" i="54"/>
  <c r="DB264" i="54" s="1"/>
  <c r="GG119" i="54" l="1"/>
  <c r="GE119" i="54"/>
  <c r="GH119" i="54"/>
  <c r="FL119" i="54"/>
  <c r="FJ119" i="54"/>
  <c r="FM119" i="54"/>
  <c r="FV119" i="54"/>
  <c r="FU118" i="54"/>
  <c r="FW118" i="54" s="1"/>
  <c r="FR119" i="54" s="1"/>
  <c r="GC119" i="54"/>
  <c r="GB118" i="54"/>
  <c r="GD118" i="54" s="1"/>
  <c r="FY119" i="54" s="1"/>
  <c r="DC264" i="54"/>
  <c r="DA264" i="54"/>
  <c r="DB265" i="54" s="1"/>
  <c r="FX119" i="54" l="1"/>
  <c r="GA119" i="54"/>
  <c r="FZ119" i="54"/>
  <c r="FN119" i="54"/>
  <c r="FP119" i="54" s="1"/>
  <c r="FK120" i="54" s="1"/>
  <c r="FO120" i="54"/>
  <c r="FT119" i="54"/>
  <c r="FS119" i="54"/>
  <c r="FQ119" i="54"/>
  <c r="GJ120" i="54"/>
  <c r="GI119" i="54"/>
  <c r="GK119" i="54" s="1"/>
  <c r="GF120" i="54" s="1"/>
  <c r="DC265" i="54"/>
  <c r="DA265" i="54"/>
  <c r="DB266" i="54" s="1"/>
  <c r="GG120" i="54" l="1"/>
  <c r="GE120" i="54"/>
  <c r="GH120" i="54"/>
  <c r="FJ120" i="54"/>
  <c r="FM120" i="54"/>
  <c r="FL120" i="54"/>
  <c r="GB119" i="54"/>
  <c r="GD119" i="54" s="1"/>
  <c r="FY120" i="54" s="1"/>
  <c r="GC120" i="54"/>
  <c r="FV120" i="54"/>
  <c r="FU119" i="54"/>
  <c r="FW119" i="54" s="1"/>
  <c r="FR120" i="54" s="1"/>
  <c r="DC266" i="54"/>
  <c r="DA266" i="54"/>
  <c r="DB267" i="54" s="1"/>
  <c r="FO121" i="54" l="1"/>
  <c r="FN120" i="54"/>
  <c r="FP120" i="54" s="1"/>
  <c r="FK121" i="54" s="1"/>
  <c r="FX120" i="54"/>
  <c r="FZ120" i="54"/>
  <c r="GA120" i="54"/>
  <c r="FS120" i="54"/>
  <c r="FQ120" i="54"/>
  <c r="FT120" i="54"/>
  <c r="GJ121" i="54"/>
  <c r="GI120" i="54"/>
  <c r="GK120" i="54" s="1"/>
  <c r="GF121" i="54" s="1"/>
  <c r="DC267" i="54"/>
  <c r="DA267" i="54"/>
  <c r="DB268" i="54" s="1"/>
  <c r="FU120" i="54" l="1"/>
  <c r="FW120" i="54" s="1"/>
  <c r="FR121" i="54" s="1"/>
  <c r="FV121" i="54"/>
  <c r="GC121" i="54"/>
  <c r="GB120" i="54"/>
  <c r="GD120" i="54" s="1"/>
  <c r="FY121" i="54" s="1"/>
  <c r="GE121" i="54"/>
  <c r="GG121" i="54"/>
  <c r="GH121" i="54"/>
  <c r="FM121" i="54"/>
  <c r="FL121" i="54"/>
  <c r="FJ121" i="54"/>
  <c r="DC268" i="54"/>
  <c r="DC5" i="54" s="1" a="1"/>
  <c r="DC5" i="54" s="1"/>
  <c r="DA268" i="54"/>
  <c r="DA5" i="54" s="1" a="1"/>
  <c r="DA5" i="54" s="1"/>
  <c r="DB5" i="54" a="1"/>
  <c r="DB5" i="54" s="1"/>
  <c r="GJ122" i="54" l="1"/>
  <c r="GI121" i="54"/>
  <c r="GK121" i="54" s="1"/>
  <c r="GF122" i="54" s="1"/>
  <c r="FX121" i="54"/>
  <c r="FZ121" i="54"/>
  <c r="GA121" i="54"/>
  <c r="FO122" i="54"/>
  <c r="FN121" i="54"/>
  <c r="FP121" i="54" s="1"/>
  <c r="FK122" i="54" s="1"/>
  <c r="FQ121" i="54"/>
  <c r="FS121" i="54"/>
  <c r="FT121" i="54"/>
  <c r="GE122" i="54" l="1"/>
  <c r="GG122" i="54"/>
  <c r="GH122" i="54"/>
  <c r="GB121" i="54"/>
  <c r="GD121" i="54" s="1"/>
  <c r="FY122" i="54" s="1"/>
  <c r="GC122" i="54"/>
  <c r="FJ122" i="54"/>
  <c r="FM122" i="54"/>
  <c r="FL122" i="54"/>
  <c r="FV122" i="54"/>
  <c r="FU121" i="54"/>
  <c r="FW121" i="54" s="1"/>
  <c r="FR122" i="54" s="1"/>
  <c r="FX122" i="54" l="1"/>
  <c r="FZ122" i="54"/>
  <c r="GA122" i="54"/>
  <c r="FQ122" i="54"/>
  <c r="FT122" i="54"/>
  <c r="FS122" i="54"/>
  <c r="FN122" i="54"/>
  <c r="FP122" i="54" s="1"/>
  <c r="FK123" i="54" s="1"/>
  <c r="FO123" i="54"/>
  <c r="GI122" i="54"/>
  <c r="GK122" i="54" s="1"/>
  <c r="GF123" i="54" s="1"/>
  <c r="GJ123" i="54"/>
  <c r="FU122" i="54" l="1"/>
  <c r="FW122" i="54" s="1"/>
  <c r="FR123" i="54" s="1"/>
  <c r="FV123" i="54"/>
  <c r="GG123" i="54"/>
  <c r="GH123" i="54"/>
  <c r="GE123" i="54"/>
  <c r="GC123" i="54"/>
  <c r="GB122" i="54"/>
  <c r="GD122" i="54" s="1"/>
  <c r="FY123" i="54" s="1"/>
  <c r="FJ123" i="54"/>
  <c r="FM123" i="54"/>
  <c r="FL123" i="54"/>
  <c r="FZ123" i="54" l="1"/>
  <c r="FX123" i="54"/>
  <c r="GA123" i="54"/>
  <c r="FO124" i="54"/>
  <c r="FN123" i="54"/>
  <c r="FP123" i="54" s="1"/>
  <c r="FK124" i="54" s="1"/>
  <c r="GJ124" i="54"/>
  <c r="GI123" i="54"/>
  <c r="GK123" i="54" s="1"/>
  <c r="GF124" i="54" s="1"/>
  <c r="FS123" i="54"/>
  <c r="FT123" i="54"/>
  <c r="FQ123" i="54"/>
  <c r="FM124" i="54" l="1"/>
  <c r="FL124" i="54"/>
  <c r="FJ124" i="54"/>
  <c r="FV124" i="54"/>
  <c r="FU123" i="54"/>
  <c r="FW123" i="54" s="1"/>
  <c r="FR124" i="54" s="1"/>
  <c r="GE124" i="54"/>
  <c r="GG124" i="54"/>
  <c r="GH124" i="54"/>
  <c r="GC124" i="54"/>
  <c r="GB123" i="54"/>
  <c r="GD123" i="54" s="1"/>
  <c r="FY124" i="54" s="1"/>
  <c r="GA124" i="54" l="1"/>
  <c r="FZ124" i="54"/>
  <c r="FX124" i="54"/>
  <c r="FS124" i="54"/>
  <c r="FQ124" i="54"/>
  <c r="FT124" i="54"/>
  <c r="FO125" i="54"/>
  <c r="FN124" i="54"/>
  <c r="GJ125" i="54"/>
  <c r="GI124" i="54"/>
  <c r="GK124" i="54" s="1"/>
  <c r="GF125" i="54" s="1"/>
  <c r="FP124" i="54"/>
  <c r="FK125" i="54" s="1"/>
  <c r="FV125" i="54" l="1"/>
  <c r="FU124" i="54"/>
  <c r="FW124" i="54" s="1"/>
  <c r="FR125" i="54" s="1"/>
  <c r="FL125" i="54"/>
  <c r="FM125" i="54"/>
  <c r="FJ125" i="54"/>
  <c r="GC125" i="54"/>
  <c r="GB124" i="54"/>
  <c r="GD124" i="54" s="1"/>
  <c r="FY125" i="54" s="1"/>
  <c r="GE125" i="54"/>
  <c r="GG125" i="54"/>
  <c r="GH125" i="54"/>
  <c r="GA125" i="54" l="1"/>
  <c r="FZ125" i="54"/>
  <c r="FX125" i="54"/>
  <c r="GJ126" i="54"/>
  <c r="GI125" i="54"/>
  <c r="GK125" i="54" s="1"/>
  <c r="GF126" i="54" s="1"/>
  <c r="FO126" i="54"/>
  <c r="FN125" i="54"/>
  <c r="FP125" i="54" s="1"/>
  <c r="FK126" i="54" s="1"/>
  <c r="FT125" i="54"/>
  <c r="FS125" i="54"/>
  <c r="FQ125" i="54"/>
  <c r="FL126" i="54" l="1"/>
  <c r="FM126" i="54"/>
  <c r="FJ126" i="54"/>
  <c r="GE126" i="54"/>
  <c r="GG126" i="54"/>
  <c r="GH126" i="54"/>
  <c r="FV126" i="54"/>
  <c r="FU125" i="54"/>
  <c r="FW125" i="54" s="1"/>
  <c r="FR126" i="54" s="1"/>
  <c r="GC126" i="54"/>
  <c r="GB125" i="54"/>
  <c r="GD125" i="54" s="1"/>
  <c r="FY126" i="54" s="1"/>
  <c r="GI126" i="54" l="1"/>
  <c r="GK126" i="54" s="1"/>
  <c r="GF127" i="54" s="1"/>
  <c r="GJ127" i="54"/>
  <c r="GA126" i="54"/>
  <c r="FX126" i="54"/>
  <c r="FZ126" i="54"/>
  <c r="FQ126" i="54"/>
  <c r="FT126" i="54"/>
  <c r="FS126" i="54"/>
  <c r="FO127" i="54"/>
  <c r="FN126" i="54"/>
  <c r="FP126" i="54" s="1"/>
  <c r="FK127" i="54" s="1"/>
  <c r="GC127" i="54" l="1"/>
  <c r="GB126" i="54"/>
  <c r="FJ127" i="54"/>
  <c r="FM127" i="54"/>
  <c r="FL127" i="54"/>
  <c r="GD126" i="54"/>
  <c r="FY127" i="54" s="1"/>
  <c r="FV127" i="54"/>
  <c r="FU126" i="54"/>
  <c r="FW126" i="54" s="1"/>
  <c r="FR127" i="54" s="1"/>
  <c r="GH127" i="54"/>
  <c r="GE127" i="54"/>
  <c r="GG127" i="54"/>
  <c r="GA127" i="54" l="1"/>
  <c r="FZ127" i="54"/>
  <c r="FX127" i="54"/>
  <c r="FO128" i="54"/>
  <c r="FN127" i="54"/>
  <c r="FP127" i="54" s="1"/>
  <c r="FK128" i="54" s="1"/>
  <c r="GI127" i="54"/>
  <c r="GK127" i="54" s="1"/>
  <c r="GF128" i="54" s="1"/>
  <c r="GJ128" i="54"/>
  <c r="FQ127" i="54"/>
  <c r="FS127" i="54"/>
  <c r="FT127" i="54"/>
  <c r="FJ128" i="54" l="1"/>
  <c r="FL128" i="54"/>
  <c r="FM128" i="54"/>
  <c r="FV128" i="54"/>
  <c r="FU127" i="54"/>
  <c r="FW127" i="54" s="1"/>
  <c r="FR128" i="54" s="1"/>
  <c r="GC128" i="54"/>
  <c r="GB127" i="54"/>
  <c r="GD127" i="54" s="1"/>
  <c r="FY128" i="54" s="1"/>
  <c r="GE128" i="54"/>
  <c r="GG128" i="54"/>
  <c r="GH128" i="54"/>
  <c r="FT128" i="54" l="1"/>
  <c r="FQ128" i="54"/>
  <c r="FS128" i="54"/>
  <c r="GJ129" i="54"/>
  <c r="GI128" i="54"/>
  <c r="GK128" i="54" s="1"/>
  <c r="GF129" i="54" s="1"/>
  <c r="FO129" i="54"/>
  <c r="FN128" i="54"/>
  <c r="FP128" i="54" s="1"/>
  <c r="FK129" i="54" s="1"/>
  <c r="GA128" i="54"/>
  <c r="FZ128" i="54"/>
  <c r="FX128" i="54"/>
  <c r="GB128" i="54" l="1"/>
  <c r="GD128" i="54" s="1"/>
  <c r="FY129" i="54" s="1"/>
  <c r="GC129" i="54"/>
  <c r="FL129" i="54"/>
  <c r="FJ129" i="54"/>
  <c r="FM129" i="54"/>
  <c r="GG129" i="54"/>
  <c r="GE129" i="54"/>
  <c r="GH129" i="54"/>
  <c r="FU128" i="54"/>
  <c r="FW128" i="54" s="1"/>
  <c r="FR129" i="54" s="1"/>
  <c r="FV129" i="54"/>
  <c r="FZ129" i="54" l="1"/>
  <c r="GA129" i="54"/>
  <c r="FX129" i="54"/>
  <c r="FQ129" i="54"/>
  <c r="FT129" i="54"/>
  <c r="FS129" i="54"/>
  <c r="FN129" i="54"/>
  <c r="FP129" i="54" s="1"/>
  <c r="FK130" i="54" s="1"/>
  <c r="FO130" i="54"/>
  <c r="GI129" i="54"/>
  <c r="GK129" i="54" s="1"/>
  <c r="GF130" i="54" s="1"/>
  <c r="GJ130" i="54"/>
  <c r="GG130" i="54" l="1"/>
  <c r="GE130" i="54"/>
  <c r="GH130" i="54"/>
  <c r="FV130" i="54"/>
  <c r="FU129" i="54"/>
  <c r="FW129" i="54" s="1"/>
  <c r="FR130" i="54" s="1"/>
  <c r="FL130" i="54"/>
  <c r="FJ130" i="54"/>
  <c r="FM130" i="54"/>
  <c r="GC130" i="54"/>
  <c r="GB129" i="54"/>
  <c r="GD129" i="54" s="1"/>
  <c r="FY130" i="54" s="1"/>
  <c r="FX130" i="54" l="1"/>
  <c r="GA130" i="54"/>
  <c r="FZ130" i="54"/>
  <c r="FO131" i="54"/>
  <c r="FN130" i="54"/>
  <c r="FP130" i="54" s="1"/>
  <c r="FK131" i="54" s="1"/>
  <c r="FQ130" i="54"/>
  <c r="FT130" i="54"/>
  <c r="FS130" i="54"/>
  <c r="GJ131" i="54"/>
  <c r="GI130" i="54"/>
  <c r="GK130" i="54" s="1"/>
  <c r="GF131" i="54" s="1"/>
  <c r="FJ131" i="54" l="1"/>
  <c r="FM131" i="54"/>
  <c r="FL131" i="54"/>
  <c r="GE131" i="54"/>
  <c r="GG131" i="54"/>
  <c r="GH131" i="54"/>
  <c r="GB130" i="54"/>
  <c r="GC131" i="54"/>
  <c r="FV131" i="54"/>
  <c r="FU130" i="54"/>
  <c r="FW130" i="54" s="1"/>
  <c r="FR131" i="54" s="1"/>
  <c r="GD130" i="54"/>
  <c r="FY131" i="54" s="1"/>
  <c r="GJ132" i="54" l="1"/>
  <c r="GI131" i="54"/>
  <c r="GK131" i="54" s="1"/>
  <c r="GF132" i="54" s="1"/>
  <c r="FT131" i="54"/>
  <c r="FS131" i="54"/>
  <c r="FQ131" i="54"/>
  <c r="FO132" i="54"/>
  <c r="FN131" i="54"/>
  <c r="FP131" i="54" s="1"/>
  <c r="FK132" i="54" s="1"/>
  <c r="FZ131" i="54"/>
  <c r="FX131" i="54"/>
  <c r="GA131" i="54"/>
  <c r="FJ132" i="54" l="1"/>
  <c r="FM132" i="54"/>
  <c r="FL132" i="54"/>
  <c r="FV132" i="54"/>
  <c r="FU131" i="54"/>
  <c r="FW131" i="54" s="1"/>
  <c r="FR132" i="54" s="1"/>
  <c r="GE132" i="54"/>
  <c r="GG132" i="54"/>
  <c r="GH132" i="54"/>
  <c r="GB131" i="54"/>
  <c r="GD131" i="54" s="1"/>
  <c r="FY132" i="54" s="1"/>
  <c r="GC132" i="54"/>
  <c r="FX132" i="54" l="1"/>
  <c r="FZ132" i="54"/>
  <c r="GA132" i="54"/>
  <c r="FQ132" i="54"/>
  <c r="FS132" i="54"/>
  <c r="FT132" i="54"/>
  <c r="FO133" i="54"/>
  <c r="FN132" i="54"/>
  <c r="FP132" i="54" s="1"/>
  <c r="FK133" i="54" s="1"/>
  <c r="GI132" i="54"/>
  <c r="GK132" i="54" s="1"/>
  <c r="GF133" i="54" s="1"/>
  <c r="GJ133" i="54"/>
  <c r="FU132" i="54" l="1"/>
  <c r="FW132" i="54" s="1"/>
  <c r="FR133" i="54" s="1"/>
  <c r="FV133" i="54"/>
  <c r="GE133" i="54"/>
  <c r="GG133" i="54"/>
  <c r="GH133" i="54"/>
  <c r="GC133" i="54"/>
  <c r="GB132" i="54"/>
  <c r="GD132" i="54" s="1"/>
  <c r="FY133" i="54" s="1"/>
  <c r="FM133" i="54"/>
  <c r="FJ133" i="54"/>
  <c r="FL133" i="54"/>
  <c r="FX133" i="54" l="1"/>
  <c r="GA133" i="54"/>
  <c r="FZ133" i="54"/>
  <c r="GJ134" i="54"/>
  <c r="GI133" i="54"/>
  <c r="GK133" i="54" s="1"/>
  <c r="GF134" i="54" s="1"/>
  <c r="FO134" i="54"/>
  <c r="FN133" i="54"/>
  <c r="FP133" i="54" s="1"/>
  <c r="FK134" i="54" s="1"/>
  <c r="FS133" i="54"/>
  <c r="FT133" i="54"/>
  <c r="FQ133" i="54"/>
  <c r="GE134" i="54" l="1"/>
  <c r="GG134" i="54"/>
  <c r="GH134" i="54"/>
  <c r="FM134" i="54"/>
  <c r="FL134" i="54"/>
  <c r="FJ134" i="54"/>
  <c r="GB133" i="54"/>
  <c r="GD133" i="54" s="1"/>
  <c r="FY134" i="54" s="1"/>
  <c r="GC134" i="54"/>
  <c r="FU133" i="54"/>
  <c r="FW133" i="54" s="1"/>
  <c r="FR134" i="54" s="1"/>
  <c r="FV134" i="54"/>
  <c r="FO135" i="54" l="1"/>
  <c r="FN134" i="54"/>
  <c r="FP134" i="54" s="1"/>
  <c r="FK135" i="54" s="1"/>
  <c r="FS134" i="54"/>
  <c r="FQ134" i="54"/>
  <c r="FT134" i="54"/>
  <c r="GK134" i="54"/>
  <c r="GF135" i="54" s="1"/>
  <c r="GI134" i="54"/>
  <c r="GJ135" i="54"/>
  <c r="FZ134" i="54"/>
  <c r="GA134" i="54"/>
  <c r="FX134" i="54"/>
  <c r="GG135" i="54" l="1"/>
  <c r="GE135" i="54"/>
  <c r="GH135" i="54"/>
  <c r="FU134" i="54"/>
  <c r="FW134" i="54" s="1"/>
  <c r="FR135" i="54" s="1"/>
  <c r="FV135" i="54"/>
  <c r="FJ135" i="54"/>
  <c r="FL135" i="54"/>
  <c r="FM135" i="54"/>
  <c r="GB134" i="54"/>
  <c r="GD134" i="54" s="1"/>
  <c r="FY135" i="54" s="1"/>
  <c r="GC135" i="54"/>
  <c r="FX135" i="54" l="1"/>
  <c r="FZ135" i="54"/>
  <c r="GA135" i="54"/>
  <c r="FS135" i="54"/>
  <c r="FQ135" i="54"/>
  <c r="FT135" i="54"/>
  <c r="FO136" i="54"/>
  <c r="FN135" i="54"/>
  <c r="FP135" i="54" s="1"/>
  <c r="FK136" i="54" s="1"/>
  <c r="GJ136" i="54"/>
  <c r="GI135" i="54"/>
  <c r="GK135" i="54" s="1"/>
  <c r="GF136" i="54" s="1"/>
  <c r="FL136" i="54" l="1"/>
  <c r="FM136" i="54"/>
  <c r="FJ136" i="54"/>
  <c r="FV136" i="54"/>
  <c r="FU135" i="54"/>
  <c r="FW135" i="54" s="1"/>
  <c r="FR136" i="54" s="1"/>
  <c r="GH136" i="54"/>
  <c r="GG136" i="54"/>
  <c r="GE136" i="54"/>
  <c r="GC136" i="54"/>
  <c r="GB135" i="54"/>
  <c r="GD135" i="54" s="1"/>
  <c r="FY136" i="54" s="1"/>
  <c r="FZ136" i="54" l="1"/>
  <c r="FX136" i="54"/>
  <c r="GA136" i="54"/>
  <c r="FQ136" i="54"/>
  <c r="FT136" i="54"/>
  <c r="FS136" i="54"/>
  <c r="GJ137" i="54"/>
  <c r="GI136" i="54"/>
  <c r="GK136" i="54" s="1"/>
  <c r="GF137" i="54" s="1"/>
  <c r="FO137" i="54"/>
  <c r="FN136" i="54"/>
  <c r="FP136" i="54" s="1"/>
  <c r="FK137" i="54" s="1"/>
  <c r="FV137" i="54" l="1"/>
  <c r="FU136" i="54"/>
  <c r="FW136" i="54" s="1"/>
  <c r="FR137" i="54" s="1"/>
  <c r="FJ137" i="54"/>
  <c r="FM137" i="54"/>
  <c r="FL137" i="54"/>
  <c r="GG137" i="54"/>
  <c r="GH137" i="54"/>
  <c r="GE137" i="54"/>
  <c r="GB136" i="54"/>
  <c r="GD136" i="54" s="1"/>
  <c r="FY137" i="54" s="1"/>
  <c r="GC137" i="54"/>
  <c r="GA137" i="54" l="1"/>
  <c r="FZ137" i="54"/>
  <c r="FX137" i="54"/>
  <c r="GJ138" i="54"/>
  <c r="GI137" i="54"/>
  <c r="GK137" i="54" s="1"/>
  <c r="GF138" i="54" s="1"/>
  <c r="FN137" i="54"/>
  <c r="FP137" i="54" s="1"/>
  <c r="FK138" i="54" s="1"/>
  <c r="FO138" i="54"/>
  <c r="FS137" i="54"/>
  <c r="FQ137" i="54"/>
  <c r="FT137" i="54"/>
  <c r="FL138" i="54" l="1"/>
  <c r="FJ138" i="54"/>
  <c r="FM138" i="54"/>
  <c r="GE138" i="54"/>
  <c r="GG138" i="54"/>
  <c r="GH138" i="54"/>
  <c r="FU137" i="54"/>
  <c r="FW137" i="54" s="1"/>
  <c r="FR138" i="54" s="1"/>
  <c r="FV138" i="54"/>
  <c r="GB137" i="54"/>
  <c r="GD137" i="54" s="1"/>
  <c r="FY138" i="54" s="1"/>
  <c r="GC138" i="54"/>
  <c r="FQ138" i="54" l="1"/>
  <c r="FS138" i="54"/>
  <c r="FT138" i="54"/>
  <c r="GJ139" i="54"/>
  <c r="GI138" i="54"/>
  <c r="GK138" i="54" s="1"/>
  <c r="GF139" i="54" s="1"/>
  <c r="FX138" i="54"/>
  <c r="FZ138" i="54"/>
  <c r="GA138" i="54"/>
  <c r="FN138" i="54"/>
  <c r="FP138" i="54" s="1"/>
  <c r="FK139" i="54" s="1"/>
  <c r="FO139" i="54"/>
  <c r="GE139" i="54" l="1"/>
  <c r="GG139" i="54"/>
  <c r="GH139" i="54"/>
  <c r="FL139" i="54"/>
  <c r="FJ139" i="54"/>
  <c r="FM139" i="54"/>
  <c r="GC139" i="54"/>
  <c r="GB138" i="54"/>
  <c r="GD138" i="54" s="1"/>
  <c r="FY139" i="54" s="1"/>
  <c r="FV139" i="54"/>
  <c r="FU138" i="54"/>
  <c r="FW138" i="54" s="1"/>
  <c r="FR139" i="54" s="1"/>
  <c r="FX139" i="54" l="1"/>
  <c r="FZ139" i="54"/>
  <c r="GA139" i="54"/>
  <c r="FO140" i="54"/>
  <c r="FN139" i="54"/>
  <c r="FP139" i="54" s="1"/>
  <c r="FK140" i="54" s="1"/>
  <c r="GJ140" i="54"/>
  <c r="GI139" i="54"/>
  <c r="GK139" i="54" s="1"/>
  <c r="GF140" i="54" s="1"/>
  <c r="FT139" i="54"/>
  <c r="FQ139" i="54"/>
  <c r="FS139" i="54"/>
  <c r="FJ140" i="54" l="1"/>
  <c r="FL140" i="54"/>
  <c r="FM140" i="54"/>
  <c r="FV140" i="54"/>
  <c r="FU139" i="54"/>
  <c r="FW139" i="54" s="1"/>
  <c r="FR140" i="54" s="1"/>
  <c r="GB139" i="54"/>
  <c r="GD139" i="54" s="1"/>
  <c r="FY140" i="54" s="1"/>
  <c r="GC140" i="54"/>
  <c r="GE140" i="54"/>
  <c r="GG140" i="54"/>
  <c r="GH140" i="54"/>
  <c r="FZ140" i="54" l="1"/>
  <c r="GA140" i="54"/>
  <c r="FX140" i="54"/>
  <c r="FT140" i="54"/>
  <c r="FQ140" i="54"/>
  <c r="FS140" i="54"/>
  <c r="GI140" i="54"/>
  <c r="GK140" i="54" s="1"/>
  <c r="GF141" i="54" s="1"/>
  <c r="GJ141" i="54"/>
  <c r="FO141" i="54"/>
  <c r="FN140" i="54"/>
  <c r="FP140" i="54" s="1"/>
  <c r="FK141" i="54" s="1"/>
  <c r="GG141" i="54" l="1"/>
  <c r="GE141" i="54"/>
  <c r="GH141" i="54"/>
  <c r="FV141" i="54"/>
  <c r="FU140" i="54"/>
  <c r="FW140" i="54" s="1"/>
  <c r="FR141" i="54" s="1"/>
  <c r="FL141" i="54"/>
  <c r="FJ141" i="54"/>
  <c r="FM141" i="54"/>
  <c r="GB140" i="54"/>
  <c r="GD140" i="54" s="1"/>
  <c r="FY141" i="54" s="1"/>
  <c r="GC141" i="54"/>
  <c r="FX141" i="54" l="1"/>
  <c r="GA141" i="54"/>
  <c r="FZ141" i="54"/>
  <c r="FO142" i="54"/>
  <c r="FN141" i="54"/>
  <c r="FP141" i="54" s="1"/>
  <c r="FK142" i="54" s="1"/>
  <c r="FT141" i="54"/>
  <c r="FQ141" i="54"/>
  <c r="FS141" i="54"/>
  <c r="GJ142" i="54"/>
  <c r="GI141" i="54"/>
  <c r="GK141" i="54" s="1"/>
  <c r="GF142" i="54" s="1"/>
  <c r="FL142" i="54" l="1"/>
  <c r="FJ142" i="54"/>
  <c r="FM142" i="54"/>
  <c r="GH142" i="54"/>
  <c r="GG142" i="54"/>
  <c r="GE142" i="54"/>
  <c r="GC142" i="54"/>
  <c r="GB141" i="54"/>
  <c r="FV142" i="54"/>
  <c r="FU141" i="54"/>
  <c r="FW141" i="54" s="1"/>
  <c r="FR142" i="54" s="1"/>
  <c r="GD141" i="54"/>
  <c r="FY142" i="54" s="1"/>
  <c r="GJ143" i="54" l="1"/>
  <c r="GI142" i="54"/>
  <c r="GK142" i="54" s="1"/>
  <c r="GF143" i="54" s="1"/>
  <c r="FQ142" i="54"/>
  <c r="FT142" i="54"/>
  <c r="FS142" i="54"/>
  <c r="FZ142" i="54"/>
  <c r="FX142" i="54"/>
  <c r="GA142" i="54"/>
  <c r="FO143" i="54"/>
  <c r="FN142" i="54"/>
  <c r="FP142" i="54" s="1"/>
  <c r="FK143" i="54" s="1"/>
  <c r="FL143" i="54" l="1"/>
  <c r="FJ143" i="54"/>
  <c r="FM143" i="54"/>
  <c r="GE143" i="54"/>
  <c r="GG143" i="54"/>
  <c r="GH143" i="54"/>
  <c r="FV143" i="54"/>
  <c r="FU142" i="54"/>
  <c r="FW142" i="54" s="1"/>
  <c r="FR143" i="54" s="1"/>
  <c r="GC143" i="54"/>
  <c r="GB142" i="54"/>
  <c r="GD142" i="54" s="1"/>
  <c r="FY143" i="54" s="1"/>
  <c r="FX143" i="54" l="1"/>
  <c r="GA143" i="54"/>
  <c r="FZ143" i="54"/>
  <c r="GJ144" i="54"/>
  <c r="GI143" i="54"/>
  <c r="GK143" i="54" s="1"/>
  <c r="GF144" i="54" s="1"/>
  <c r="FQ143" i="54"/>
  <c r="FT143" i="54"/>
  <c r="FS143" i="54"/>
  <c r="FO144" i="54"/>
  <c r="FN143" i="54"/>
  <c r="FP143" i="54" s="1"/>
  <c r="FK144" i="54" s="1"/>
  <c r="GG144" i="54" l="1"/>
  <c r="GH144" i="54"/>
  <c r="GE144" i="54"/>
  <c r="FJ144" i="54"/>
  <c r="FL144" i="54"/>
  <c r="FM144" i="54"/>
  <c r="FV144" i="54"/>
  <c r="FU143" i="54"/>
  <c r="FW143" i="54" s="1"/>
  <c r="FR144" i="54" s="1"/>
  <c r="GC144" i="54"/>
  <c r="GB143" i="54"/>
  <c r="GD143" i="54" s="1"/>
  <c r="FY144" i="54" s="1"/>
  <c r="FN144" i="54" l="1"/>
  <c r="FP144" i="54" s="1"/>
  <c r="FK145" i="54" s="1"/>
  <c r="FO145" i="54"/>
  <c r="GA144" i="54"/>
  <c r="FX144" i="54"/>
  <c r="FZ144" i="54"/>
  <c r="FQ144" i="54"/>
  <c r="FT144" i="54"/>
  <c r="FS144" i="54"/>
  <c r="GJ145" i="54"/>
  <c r="GI144" i="54"/>
  <c r="GK144" i="54" s="1"/>
  <c r="GF145" i="54" s="1"/>
  <c r="GC145" i="54" l="1"/>
  <c r="GB144" i="54"/>
  <c r="GD144" i="54" s="1"/>
  <c r="FY145" i="54" s="1"/>
  <c r="GG145" i="54"/>
  <c r="GH145" i="54"/>
  <c r="GE145" i="54"/>
  <c r="FV145" i="54"/>
  <c r="FU144" i="54"/>
  <c r="FW144" i="54" s="1"/>
  <c r="FR145" i="54" s="1"/>
  <c r="FL145" i="54"/>
  <c r="FJ145" i="54"/>
  <c r="FM145" i="54"/>
  <c r="GA145" i="54" l="1"/>
  <c r="FZ145" i="54"/>
  <c r="FX145" i="54"/>
  <c r="FN145" i="54"/>
  <c r="FP145" i="54" s="1"/>
  <c r="FK146" i="54" s="1"/>
  <c r="FO146" i="54"/>
  <c r="GJ146" i="54"/>
  <c r="GI145" i="54"/>
  <c r="GK145" i="54" s="1"/>
  <c r="GF146" i="54" s="1"/>
  <c r="FT145" i="54"/>
  <c r="FQ145" i="54"/>
  <c r="FS145" i="54"/>
  <c r="GE146" i="54" l="1"/>
  <c r="GG146" i="54"/>
  <c r="GH146" i="54"/>
  <c r="FV146" i="54"/>
  <c r="FU145" i="54"/>
  <c r="FW145" i="54" s="1"/>
  <c r="FR146" i="54" s="1"/>
  <c r="FM146" i="54"/>
  <c r="FJ146" i="54"/>
  <c r="FL146" i="54"/>
  <c r="GC146" i="54"/>
  <c r="GB145" i="54"/>
  <c r="GD145" i="54" s="1"/>
  <c r="FY146" i="54" s="1"/>
  <c r="FT146" i="54" l="1"/>
  <c r="FQ146" i="54"/>
  <c r="FS146" i="54"/>
  <c r="FX146" i="54"/>
  <c r="FZ146" i="54"/>
  <c r="GA146" i="54"/>
  <c r="GI146" i="54"/>
  <c r="GK146" i="54" s="1"/>
  <c r="GF147" i="54" s="1"/>
  <c r="GJ147" i="54"/>
  <c r="FN146" i="54"/>
  <c r="FP146" i="54" s="1"/>
  <c r="FK147" i="54" s="1"/>
  <c r="FO147" i="54"/>
  <c r="FM147" i="54" l="1"/>
  <c r="FL147" i="54"/>
  <c r="FJ147" i="54"/>
  <c r="GB146" i="54"/>
  <c r="GD146" i="54" s="1"/>
  <c r="FY147" i="54" s="1"/>
  <c r="GC147" i="54"/>
  <c r="FU146" i="54"/>
  <c r="FW146" i="54" s="1"/>
  <c r="FR147" i="54" s="1"/>
  <c r="FV147" i="54"/>
  <c r="GG147" i="54"/>
  <c r="GE147" i="54"/>
  <c r="GH147" i="54"/>
  <c r="FT147" i="54" l="1"/>
  <c r="FQ147" i="54"/>
  <c r="FS147" i="54"/>
  <c r="FZ147" i="54"/>
  <c r="GA147" i="54"/>
  <c r="FX147" i="54"/>
  <c r="GJ148" i="54"/>
  <c r="GI147" i="54"/>
  <c r="GK147" i="54" s="1"/>
  <c r="GF148" i="54" s="1"/>
  <c r="FO148" i="54"/>
  <c r="FN147" i="54"/>
  <c r="FP147" i="54" s="1"/>
  <c r="FK148" i="54" s="1"/>
  <c r="FM148" i="54" l="1"/>
  <c r="FL148" i="54"/>
  <c r="FJ148" i="54"/>
  <c r="GE148" i="54"/>
  <c r="GH148" i="54"/>
  <c r="GG148" i="54"/>
  <c r="GB147" i="54"/>
  <c r="GD147" i="54" s="1"/>
  <c r="FY148" i="54" s="1"/>
  <c r="GC148" i="54"/>
  <c r="FV148" i="54"/>
  <c r="FU147" i="54"/>
  <c r="FW147" i="54" s="1"/>
  <c r="FR148" i="54" s="1"/>
  <c r="FZ148" i="54" l="1"/>
  <c r="FX148" i="54"/>
  <c r="GA148" i="54"/>
  <c r="GJ149" i="54"/>
  <c r="GI148" i="54"/>
  <c r="GK148" i="54" s="1"/>
  <c r="GF149" i="54" s="1"/>
  <c r="FQ148" i="54"/>
  <c r="FT148" i="54"/>
  <c r="FS148" i="54"/>
  <c r="FO149" i="54"/>
  <c r="FN148" i="54"/>
  <c r="FP148" i="54" s="1"/>
  <c r="FK149" i="54" s="1"/>
  <c r="GE149" i="54" l="1"/>
  <c r="GG149" i="54"/>
  <c r="GH149" i="54"/>
  <c r="FL149" i="54"/>
  <c r="FJ149" i="54"/>
  <c r="FM149" i="54"/>
  <c r="FV149" i="54"/>
  <c r="FU148" i="54"/>
  <c r="FW148" i="54" s="1"/>
  <c r="FR149" i="54" s="1"/>
  <c r="GC149" i="54"/>
  <c r="GB148" i="54"/>
  <c r="GD148" i="54" s="1"/>
  <c r="FY149" i="54" s="1"/>
  <c r="FQ149" i="54" l="1"/>
  <c r="FT149" i="54"/>
  <c r="FS149" i="54"/>
  <c r="FO150" i="54"/>
  <c r="FN149" i="54"/>
  <c r="FP149" i="54" s="1"/>
  <c r="FK150" i="54" s="1"/>
  <c r="FZ149" i="54"/>
  <c r="GA149" i="54"/>
  <c r="FX149" i="54"/>
  <c r="GJ150" i="54"/>
  <c r="GI149" i="54"/>
  <c r="GK149" i="54" s="1"/>
  <c r="GF150" i="54" s="1"/>
  <c r="FL150" i="54" l="1"/>
  <c r="FJ150" i="54"/>
  <c r="FM150" i="54"/>
  <c r="GC150" i="54"/>
  <c r="GB149" i="54"/>
  <c r="GD149" i="54" s="1"/>
  <c r="FY150" i="54" s="1"/>
  <c r="GG150" i="54"/>
  <c r="GH150" i="54"/>
  <c r="GE150" i="54"/>
  <c r="FV150" i="54"/>
  <c r="FU149" i="54"/>
  <c r="FW149" i="54" s="1"/>
  <c r="FR150" i="54" s="1"/>
  <c r="GA150" i="54" l="1"/>
  <c r="FZ150" i="54"/>
  <c r="FX150" i="54"/>
  <c r="GJ151" i="54"/>
  <c r="GI150" i="54"/>
  <c r="GK150" i="54" s="1"/>
  <c r="GF151" i="54" s="1"/>
  <c r="FQ150" i="54"/>
  <c r="FT150" i="54"/>
  <c r="FS150" i="54"/>
  <c r="FO151" i="54"/>
  <c r="FN150" i="54"/>
  <c r="FP150" i="54" s="1"/>
  <c r="FK151" i="54" s="1"/>
  <c r="GE151" i="54" l="1"/>
  <c r="GG151" i="54"/>
  <c r="GH151" i="54"/>
  <c r="FL151" i="54"/>
  <c r="FJ151" i="54"/>
  <c r="FM151" i="54"/>
  <c r="FV151" i="54"/>
  <c r="FU150" i="54"/>
  <c r="FW150" i="54" s="1"/>
  <c r="FR151" i="54" s="1"/>
  <c r="GB150" i="54"/>
  <c r="GD150" i="54" s="1"/>
  <c r="FY151" i="54" s="1"/>
  <c r="GC151" i="54"/>
  <c r="FT151" i="54" l="1"/>
  <c r="FQ151" i="54"/>
  <c r="FS151" i="54"/>
  <c r="FX151" i="54"/>
  <c r="FZ151" i="54"/>
  <c r="GA151" i="54"/>
  <c r="FO152" i="54"/>
  <c r="FN151" i="54"/>
  <c r="FP151" i="54" s="1"/>
  <c r="FK152" i="54" s="1"/>
  <c r="GJ152" i="54"/>
  <c r="GI151" i="54"/>
  <c r="GK151" i="54" s="1"/>
  <c r="GF152" i="54" s="1"/>
  <c r="GG152" i="54" l="1"/>
  <c r="GH152" i="54"/>
  <c r="GE152" i="54"/>
  <c r="FL152" i="54"/>
  <c r="FJ152" i="54"/>
  <c r="FM152" i="54"/>
  <c r="GC152" i="54"/>
  <c r="GB151" i="54"/>
  <c r="GD151" i="54" s="1"/>
  <c r="FY152" i="54" s="1"/>
  <c r="FV152" i="54"/>
  <c r="FU151" i="54"/>
  <c r="FW151" i="54" s="1"/>
  <c r="FR152" i="54" s="1"/>
  <c r="FT152" i="54" l="1"/>
  <c r="FS152" i="54"/>
  <c r="FQ152" i="54"/>
  <c r="FO153" i="54"/>
  <c r="FN152" i="54"/>
  <c r="FP152" i="54" s="1"/>
  <c r="FK153" i="54" s="1"/>
  <c r="GA152" i="54"/>
  <c r="FX152" i="54"/>
  <c r="FZ152" i="54"/>
  <c r="GI152" i="54"/>
  <c r="GK152" i="54" s="1"/>
  <c r="GF153" i="54" s="1"/>
  <c r="GJ153" i="54"/>
  <c r="FM153" i="54" l="1"/>
  <c r="FL153" i="54"/>
  <c r="FJ153" i="54"/>
  <c r="GG153" i="54"/>
  <c r="GE153" i="54"/>
  <c r="GH153" i="54"/>
  <c r="FV153" i="54"/>
  <c r="FU152" i="54"/>
  <c r="FW152" i="54" s="1"/>
  <c r="FR153" i="54" s="1"/>
  <c r="GB152" i="54"/>
  <c r="GD152" i="54" s="1"/>
  <c r="FY153" i="54" s="1"/>
  <c r="GC153" i="54"/>
  <c r="GJ154" i="54" l="1"/>
  <c r="GI153" i="54"/>
  <c r="GK153" i="54" s="1"/>
  <c r="GF154" i="54" s="1"/>
  <c r="GA153" i="54"/>
  <c r="FZ153" i="54"/>
  <c r="FX153" i="54"/>
  <c r="FQ153" i="54"/>
  <c r="FT153" i="54"/>
  <c r="FS153" i="54"/>
  <c r="FO154" i="54"/>
  <c r="FN153" i="54"/>
  <c r="FP153" i="54" s="1"/>
  <c r="FK154" i="54" s="1"/>
  <c r="FL154" i="54" l="1"/>
  <c r="FJ154" i="54"/>
  <c r="FM154" i="54"/>
  <c r="GG154" i="54"/>
  <c r="GE154" i="54"/>
  <c r="GH154" i="54"/>
  <c r="GC154" i="54"/>
  <c r="GB153" i="54"/>
  <c r="GD153" i="54" s="1"/>
  <c r="FY154" i="54" s="1"/>
  <c r="FV154" i="54"/>
  <c r="FU153" i="54"/>
  <c r="FW153" i="54" s="1"/>
  <c r="FR154" i="54" s="1"/>
  <c r="FS154" i="54" l="1"/>
  <c r="FQ154" i="54"/>
  <c r="FT154" i="54"/>
  <c r="GI154" i="54"/>
  <c r="GK154" i="54" s="1"/>
  <c r="GF155" i="54" s="1"/>
  <c r="GJ155" i="54"/>
  <c r="FZ154" i="54"/>
  <c r="FX154" i="54"/>
  <c r="GA154" i="54"/>
  <c r="FN154" i="54"/>
  <c r="FP154" i="54" s="1"/>
  <c r="FK155" i="54" s="1"/>
  <c r="FO155" i="54"/>
  <c r="FL155" i="54" l="1"/>
  <c r="FJ155" i="54"/>
  <c r="FM155" i="54"/>
  <c r="GC155" i="54"/>
  <c r="GB154" i="54"/>
  <c r="GD154" i="54" s="1"/>
  <c r="FY155" i="54" s="1"/>
  <c r="GE155" i="54"/>
  <c r="GG155" i="54"/>
  <c r="GH155" i="54"/>
  <c r="FU154" i="54"/>
  <c r="FW154" i="54" s="1"/>
  <c r="FR155" i="54" s="1"/>
  <c r="FV155" i="54"/>
  <c r="FX155" i="54" l="1"/>
  <c r="GA155" i="54"/>
  <c r="FZ155" i="54"/>
  <c r="FQ155" i="54"/>
  <c r="FT155" i="54"/>
  <c r="FS155" i="54"/>
  <c r="GJ156" i="54"/>
  <c r="GI155" i="54"/>
  <c r="GK155" i="54" s="1"/>
  <c r="GF156" i="54" s="1"/>
  <c r="FN155" i="54"/>
  <c r="FP155" i="54" s="1"/>
  <c r="FK156" i="54" s="1"/>
  <c r="FO156" i="54"/>
  <c r="FL156" i="54" l="1"/>
  <c r="FM156" i="54"/>
  <c r="FJ156" i="54"/>
  <c r="GG156" i="54"/>
  <c r="GH156" i="54"/>
  <c r="GE156" i="54"/>
  <c r="FU155" i="54"/>
  <c r="FW155" i="54" s="1"/>
  <c r="FR156" i="54" s="1"/>
  <c r="FV156" i="54"/>
  <c r="GB155" i="54"/>
  <c r="GD155" i="54" s="1"/>
  <c r="FY156" i="54" s="1"/>
  <c r="GC156" i="54"/>
  <c r="FX156" i="54" l="1"/>
  <c r="FZ156" i="54"/>
  <c r="GA156" i="54"/>
  <c r="GI156" i="54"/>
  <c r="GK156" i="54" s="1"/>
  <c r="GF157" i="54" s="1"/>
  <c r="GJ157" i="54"/>
  <c r="FT156" i="54"/>
  <c r="FQ156" i="54"/>
  <c r="FS156" i="54"/>
  <c r="FO157" i="54"/>
  <c r="FN156" i="54"/>
  <c r="FP156" i="54" s="1"/>
  <c r="FK157" i="54" s="1"/>
  <c r="FM157" i="54" l="1"/>
  <c r="FJ157" i="54"/>
  <c r="FL157" i="54"/>
  <c r="GE157" i="54"/>
  <c r="GG157" i="54"/>
  <c r="GH157" i="54"/>
  <c r="FU156" i="54"/>
  <c r="FW156" i="54" s="1"/>
  <c r="FR157" i="54" s="1"/>
  <c r="FV157" i="54"/>
  <c r="GC157" i="54"/>
  <c r="GB156" i="54"/>
  <c r="GD156" i="54" s="1"/>
  <c r="FY157" i="54" s="1"/>
  <c r="GI157" i="54" l="1"/>
  <c r="GK157" i="54" s="1"/>
  <c r="GF158" i="54" s="1"/>
  <c r="GJ158" i="54"/>
  <c r="FX157" i="54"/>
  <c r="FZ157" i="54"/>
  <c r="GA157" i="54"/>
  <c r="FO158" i="54"/>
  <c r="FN157" i="54"/>
  <c r="FP157" i="54" s="1"/>
  <c r="FK158" i="54" s="1"/>
  <c r="FS157" i="54"/>
  <c r="FQ157" i="54"/>
  <c r="FT157" i="54"/>
  <c r="GE158" i="54" l="1"/>
  <c r="GG158" i="54"/>
  <c r="GH158" i="54"/>
  <c r="FL158" i="54"/>
  <c r="FJ158" i="54"/>
  <c r="FM158" i="54"/>
  <c r="GB157" i="54"/>
  <c r="GD157" i="54" s="1"/>
  <c r="FY158" i="54" s="1"/>
  <c r="GC158" i="54"/>
  <c r="FU157" i="54"/>
  <c r="FW157" i="54" s="1"/>
  <c r="FR158" i="54" s="1"/>
  <c r="FV158" i="54"/>
  <c r="FN158" i="54" l="1"/>
  <c r="FP158" i="54" s="1"/>
  <c r="FK159" i="54" s="1"/>
  <c r="FO159" i="54"/>
  <c r="FS158" i="54"/>
  <c r="FT158" i="54"/>
  <c r="FQ158" i="54"/>
  <c r="GI158" i="54"/>
  <c r="GK158" i="54" s="1"/>
  <c r="GF159" i="54" s="1"/>
  <c r="GJ159" i="54"/>
  <c r="FZ158" i="54"/>
  <c r="GA158" i="54"/>
  <c r="FX158" i="54"/>
  <c r="GE159" i="54" l="1"/>
  <c r="GH159" i="54"/>
  <c r="GG159" i="54"/>
  <c r="FL159" i="54"/>
  <c r="FJ159" i="54"/>
  <c r="FM159" i="54"/>
  <c r="FV159" i="54"/>
  <c r="FU158" i="54"/>
  <c r="FW158" i="54" s="1"/>
  <c r="FR159" i="54" s="1"/>
  <c r="GC159" i="54"/>
  <c r="GB158" i="54"/>
  <c r="GD158" i="54" s="1"/>
  <c r="FY159" i="54" s="1"/>
  <c r="FX159" i="54" l="1"/>
  <c r="FZ159" i="54"/>
  <c r="GA159" i="54"/>
  <c r="FN159" i="54"/>
  <c r="FP159" i="54" s="1"/>
  <c r="FK160" i="54" s="1"/>
  <c r="FO160" i="54"/>
  <c r="GI159" i="54"/>
  <c r="GK159" i="54" s="1"/>
  <c r="GF160" i="54" s="1"/>
  <c r="GJ160" i="54"/>
  <c r="FQ159" i="54"/>
  <c r="FT159" i="54"/>
  <c r="FS159" i="54"/>
  <c r="FL160" i="54" l="1"/>
  <c r="FM160" i="54"/>
  <c r="FJ160" i="54"/>
  <c r="FV160" i="54"/>
  <c r="FU159" i="54"/>
  <c r="FW159" i="54" s="1"/>
  <c r="FR160" i="54" s="1"/>
  <c r="GC160" i="54"/>
  <c r="GB159" i="54"/>
  <c r="GD159" i="54" s="1"/>
  <c r="FY160" i="54" s="1"/>
  <c r="GE160" i="54"/>
  <c r="GG160" i="54"/>
  <c r="GH160" i="54"/>
  <c r="FS160" i="54" l="1"/>
  <c r="FQ160" i="54"/>
  <c r="FT160" i="54"/>
  <c r="GJ161" i="54"/>
  <c r="GI160" i="54"/>
  <c r="GK160" i="54" s="1"/>
  <c r="GF161" i="54" s="1"/>
  <c r="GA160" i="54"/>
  <c r="FZ160" i="54"/>
  <c r="FX160" i="54"/>
  <c r="FO161" i="54"/>
  <c r="FN160" i="54"/>
  <c r="FP160" i="54" s="1"/>
  <c r="FK161" i="54" s="1"/>
  <c r="GE161" i="54" l="1"/>
  <c r="GG161" i="54"/>
  <c r="GH161" i="54"/>
  <c r="FM161" i="54"/>
  <c r="FL161" i="54"/>
  <c r="FJ161" i="54"/>
  <c r="GB160" i="54"/>
  <c r="GD160" i="54" s="1"/>
  <c r="FY161" i="54" s="1"/>
  <c r="GC161" i="54"/>
  <c r="FU160" i="54"/>
  <c r="FW160" i="54" s="1"/>
  <c r="FR161" i="54" s="1"/>
  <c r="FV161" i="54"/>
  <c r="FO162" i="54" l="1"/>
  <c r="FN161" i="54"/>
  <c r="FP161" i="54" s="1"/>
  <c r="FK162" i="54" s="1"/>
  <c r="FQ161" i="54"/>
  <c r="FT161" i="54"/>
  <c r="FS161" i="54"/>
  <c r="GI161" i="54"/>
  <c r="GK161" i="54" s="1"/>
  <c r="GF162" i="54" s="1"/>
  <c r="GJ162" i="54"/>
  <c r="FZ161" i="54"/>
  <c r="FX161" i="54"/>
  <c r="GA161" i="54"/>
  <c r="GE162" i="54" l="1"/>
  <c r="GG162" i="54"/>
  <c r="GH162" i="54"/>
  <c r="FV162" i="54"/>
  <c r="FU161" i="54"/>
  <c r="FW161" i="54" s="1"/>
  <c r="FR162" i="54" s="1"/>
  <c r="FM162" i="54"/>
  <c r="FL162" i="54"/>
  <c r="FJ162" i="54"/>
  <c r="GB161" i="54"/>
  <c r="GD161" i="54" s="1"/>
  <c r="FY162" i="54" s="1"/>
  <c r="GC162" i="54"/>
  <c r="FS162" i="54" l="1"/>
  <c r="FQ162" i="54"/>
  <c r="FT162" i="54"/>
  <c r="FZ162" i="54"/>
  <c r="GA162" i="54"/>
  <c r="FX162" i="54"/>
  <c r="GJ163" i="54"/>
  <c r="GI162" i="54"/>
  <c r="GK162" i="54" s="1"/>
  <c r="GF163" i="54" s="1"/>
  <c r="FO163" i="54"/>
  <c r="FN162" i="54"/>
  <c r="FP162" i="54" s="1"/>
  <c r="FK163" i="54" s="1"/>
  <c r="FL163" i="54" l="1"/>
  <c r="FJ163" i="54"/>
  <c r="FM163" i="54"/>
  <c r="GE163" i="54"/>
  <c r="GG163" i="54"/>
  <c r="GH163" i="54"/>
  <c r="GC163" i="54"/>
  <c r="GB162" i="54"/>
  <c r="GD162" i="54" s="1"/>
  <c r="FY163" i="54" s="1"/>
  <c r="FV163" i="54"/>
  <c r="FU162" i="54"/>
  <c r="FW162" i="54" s="1"/>
  <c r="FR163" i="54" s="1"/>
  <c r="GJ164" i="54" l="1"/>
  <c r="GI163" i="54"/>
  <c r="GK163" i="54" s="1"/>
  <c r="GF164" i="54" s="1"/>
  <c r="FT163" i="54"/>
  <c r="FQ163" i="54"/>
  <c r="FS163" i="54"/>
  <c r="GA163" i="54"/>
  <c r="FX163" i="54"/>
  <c r="FZ163" i="54"/>
  <c r="FO164" i="54"/>
  <c r="FN163" i="54"/>
  <c r="FP163" i="54" s="1"/>
  <c r="FK164" i="54" s="1"/>
  <c r="FM164" i="54" l="1"/>
  <c r="FJ164" i="54"/>
  <c r="FL164" i="54"/>
  <c r="FU163" i="54"/>
  <c r="FW163" i="54" s="1"/>
  <c r="FR164" i="54" s="1"/>
  <c r="FV164" i="54"/>
  <c r="GE164" i="54"/>
  <c r="GG164" i="54"/>
  <c r="GH164" i="54"/>
  <c r="GB163" i="54"/>
  <c r="GD163" i="54" s="1"/>
  <c r="FY164" i="54" s="1"/>
  <c r="GC164" i="54"/>
  <c r="FQ164" i="54" l="1"/>
  <c r="FS164" i="54"/>
  <c r="FT164" i="54"/>
  <c r="FN164" i="54"/>
  <c r="FP164" i="54" s="1"/>
  <c r="FK165" i="54" s="1"/>
  <c r="FO165" i="54"/>
  <c r="FX164" i="54"/>
  <c r="FZ164" i="54"/>
  <c r="GA164" i="54"/>
  <c r="GI164" i="54"/>
  <c r="GK164" i="54" s="1"/>
  <c r="GF165" i="54" s="1"/>
  <c r="GJ165" i="54"/>
  <c r="GB164" i="54" l="1"/>
  <c r="GD164" i="54" s="1"/>
  <c r="FY165" i="54" s="1"/>
  <c r="GC165" i="54"/>
  <c r="GG165" i="54"/>
  <c r="GH165" i="54"/>
  <c r="GE165" i="54"/>
  <c r="FL165" i="54"/>
  <c r="FJ165" i="54"/>
  <c r="FM165" i="54"/>
  <c r="FU164" i="54"/>
  <c r="FW164" i="54" s="1"/>
  <c r="FR165" i="54" s="1"/>
  <c r="FV165" i="54"/>
  <c r="GA165" i="54" l="1"/>
  <c r="FZ165" i="54"/>
  <c r="FX165" i="54"/>
  <c r="FT165" i="54"/>
  <c r="FS165" i="54"/>
  <c r="FQ165" i="54"/>
  <c r="GJ166" i="54"/>
  <c r="GI165" i="54"/>
  <c r="GK165" i="54" s="1"/>
  <c r="GF166" i="54" s="1"/>
  <c r="FN165" i="54"/>
  <c r="FP165" i="54" s="1"/>
  <c r="FK166" i="54" s="1"/>
  <c r="FO166" i="54"/>
  <c r="FL166" i="54" l="1"/>
  <c r="FJ166" i="54"/>
  <c r="FM166" i="54"/>
  <c r="FU165" i="54"/>
  <c r="FW165" i="54" s="1"/>
  <c r="FR166" i="54" s="1"/>
  <c r="FV166" i="54"/>
  <c r="GC166" i="54"/>
  <c r="GB165" i="54"/>
  <c r="GD165" i="54" s="1"/>
  <c r="FY166" i="54" s="1"/>
  <c r="GE166" i="54"/>
  <c r="GH166" i="54"/>
  <c r="GG166" i="54"/>
  <c r="FQ166" i="54" l="1"/>
  <c r="FS166" i="54"/>
  <c r="FT166" i="54"/>
  <c r="FX166" i="54"/>
  <c r="FZ166" i="54"/>
  <c r="GA166" i="54"/>
  <c r="GI166" i="54"/>
  <c r="GK166" i="54" s="1"/>
  <c r="GF167" i="54" s="1"/>
  <c r="GJ167" i="54"/>
  <c r="FO167" i="54"/>
  <c r="FN166" i="54"/>
  <c r="FP166" i="54" s="1"/>
  <c r="FK167" i="54" s="1"/>
  <c r="GH167" i="54" l="1"/>
  <c r="GE167" i="54"/>
  <c r="GG167" i="54"/>
  <c r="FL167" i="54"/>
  <c r="FJ167" i="54"/>
  <c r="FM167" i="54"/>
  <c r="GC167" i="54"/>
  <c r="GB166" i="54"/>
  <c r="GD166" i="54" s="1"/>
  <c r="FY167" i="54" s="1"/>
  <c r="FV167" i="54"/>
  <c r="FU166" i="54"/>
  <c r="FW166" i="54" s="1"/>
  <c r="FR167" i="54" s="1"/>
  <c r="FN167" i="54" l="1"/>
  <c r="FP167" i="54" s="1"/>
  <c r="FK168" i="54" s="1"/>
  <c r="FO168" i="54"/>
  <c r="GJ168" i="54"/>
  <c r="GI167" i="54"/>
  <c r="GK167" i="54" s="1"/>
  <c r="GF168" i="54" s="1"/>
  <c r="FT167" i="54"/>
  <c r="FS167" i="54"/>
  <c r="FQ167" i="54"/>
  <c r="GA167" i="54"/>
  <c r="FX167" i="54"/>
  <c r="FZ167" i="54"/>
  <c r="FJ168" i="54" l="1"/>
  <c r="FM168" i="54"/>
  <c r="FL168" i="54"/>
  <c r="GG168" i="54"/>
  <c r="GH168" i="54"/>
  <c r="GE168" i="54"/>
  <c r="GC168" i="54"/>
  <c r="GB167" i="54"/>
  <c r="GD167" i="54" s="1"/>
  <c r="FY168" i="54" s="1"/>
  <c r="FU167" i="54"/>
  <c r="FW167" i="54" s="1"/>
  <c r="FR168" i="54" s="1"/>
  <c r="FV168" i="54"/>
  <c r="GJ169" i="54" l="1"/>
  <c r="GI168" i="54"/>
  <c r="GK168" i="54" s="1"/>
  <c r="GF169" i="54" s="1"/>
  <c r="FO169" i="54"/>
  <c r="FN168" i="54"/>
  <c r="FP168" i="54" s="1"/>
  <c r="FK169" i="54" s="1"/>
  <c r="FQ168" i="54"/>
  <c r="FS168" i="54"/>
  <c r="FT168" i="54"/>
  <c r="FX168" i="54"/>
  <c r="GA168" i="54"/>
  <c r="FZ168" i="54"/>
  <c r="FM169" i="54" l="1"/>
  <c r="FL169" i="54"/>
  <c r="FJ169" i="54"/>
  <c r="GG169" i="54"/>
  <c r="GH169" i="54"/>
  <c r="GE169" i="54"/>
  <c r="GC169" i="54"/>
  <c r="GB168" i="54"/>
  <c r="GD168" i="54" s="1"/>
  <c r="FY169" i="54" s="1"/>
  <c r="FU168" i="54"/>
  <c r="FW168" i="54" s="1"/>
  <c r="FR169" i="54" s="1"/>
  <c r="FV169" i="54"/>
  <c r="GJ170" i="54" l="1"/>
  <c r="GI169" i="54"/>
  <c r="GK169" i="54" s="1"/>
  <c r="GF170" i="54" s="1"/>
  <c r="FT169" i="54"/>
  <c r="FQ169" i="54"/>
  <c r="FS169" i="54"/>
  <c r="FO170" i="54"/>
  <c r="FN169" i="54"/>
  <c r="FP169" i="54" s="1"/>
  <c r="FK170" i="54" s="1"/>
  <c r="FX169" i="54"/>
  <c r="FZ169" i="54"/>
  <c r="GA169" i="54"/>
  <c r="GE170" i="54" l="1"/>
  <c r="GG170" i="54"/>
  <c r="GH170" i="54"/>
  <c r="FV170" i="54"/>
  <c r="FU169" i="54"/>
  <c r="FW169" i="54" s="1"/>
  <c r="FR170" i="54" s="1"/>
  <c r="FL170" i="54"/>
  <c r="FM170" i="54"/>
  <c r="FJ170" i="54"/>
  <c r="GC170" i="54"/>
  <c r="GB169" i="54"/>
  <c r="GD169" i="54" s="1"/>
  <c r="FY170" i="54" s="1"/>
  <c r="FN170" i="54" l="1"/>
  <c r="FP170" i="54" s="1"/>
  <c r="FK171" i="54" s="1"/>
  <c r="FO171" i="54"/>
  <c r="FT170" i="54"/>
  <c r="FQ170" i="54"/>
  <c r="FS170" i="54"/>
  <c r="GI170" i="54"/>
  <c r="GK170" i="54" s="1"/>
  <c r="GF171" i="54" s="1"/>
  <c r="GJ171" i="54"/>
  <c r="FX170" i="54"/>
  <c r="GA170" i="54"/>
  <c r="FZ170" i="54"/>
  <c r="GE171" i="54" l="1"/>
  <c r="GH171" i="54"/>
  <c r="GG171" i="54"/>
  <c r="FV171" i="54"/>
  <c r="FU170" i="54"/>
  <c r="FW170" i="54" s="1"/>
  <c r="FR171" i="54" s="1"/>
  <c r="GB170" i="54"/>
  <c r="GD170" i="54" s="1"/>
  <c r="FY171" i="54" s="1"/>
  <c r="GC171" i="54"/>
  <c r="FL171" i="54"/>
  <c r="FJ171" i="54"/>
  <c r="FM171" i="54"/>
  <c r="FX171" i="54" l="1"/>
  <c r="FZ171" i="54"/>
  <c r="GA171" i="54"/>
  <c r="FS171" i="54"/>
  <c r="FQ171" i="54"/>
  <c r="FT171" i="54"/>
  <c r="GI171" i="54"/>
  <c r="GK171" i="54" s="1"/>
  <c r="GF172" i="54" s="1"/>
  <c r="GJ172" i="54"/>
  <c r="FN171" i="54"/>
  <c r="FO172" i="54"/>
  <c r="FP171" i="54"/>
  <c r="FK172" i="54" s="1"/>
  <c r="FV172" i="54" l="1"/>
  <c r="FU171" i="54"/>
  <c r="FW171" i="54" s="1"/>
  <c r="FR172" i="54" s="1"/>
  <c r="FL172" i="54"/>
  <c r="FJ172" i="54"/>
  <c r="FM172" i="54"/>
  <c r="GB171" i="54"/>
  <c r="GD171" i="54" s="1"/>
  <c r="FY172" i="54" s="1"/>
  <c r="GC172" i="54"/>
  <c r="GE172" i="54"/>
  <c r="GH172" i="54"/>
  <c r="GG172" i="54"/>
  <c r="FZ172" i="54" l="1"/>
  <c r="FX172" i="54"/>
  <c r="GA172" i="54"/>
  <c r="GJ173" i="54"/>
  <c r="GI172" i="54"/>
  <c r="GK172" i="54" s="1"/>
  <c r="GF173" i="54" s="1"/>
  <c r="FO173" i="54"/>
  <c r="FN172" i="54"/>
  <c r="FP172" i="54" s="1"/>
  <c r="FK173" i="54" s="1"/>
  <c r="FT172" i="54"/>
  <c r="FS172" i="54"/>
  <c r="FQ172" i="54"/>
  <c r="GE173" i="54" l="1"/>
  <c r="GG173" i="54"/>
  <c r="GH173" i="54"/>
  <c r="FV173" i="54"/>
  <c r="FU172" i="54"/>
  <c r="FW172" i="54" s="1"/>
  <c r="FR173" i="54" s="1"/>
  <c r="FM173" i="54"/>
  <c r="FJ173" i="54"/>
  <c r="FL173" i="54"/>
  <c r="GC173" i="54"/>
  <c r="GB172" i="54"/>
  <c r="GD172" i="54" s="1"/>
  <c r="FY173" i="54" s="1"/>
  <c r="FQ173" i="54" l="1"/>
  <c r="FT173" i="54"/>
  <c r="FS173" i="54"/>
  <c r="FZ173" i="54"/>
  <c r="FX173" i="54"/>
  <c r="GA173" i="54"/>
  <c r="GJ174" i="54"/>
  <c r="GI173" i="54"/>
  <c r="GK173" i="54" s="1"/>
  <c r="GF174" i="54" s="1"/>
  <c r="FO174" i="54"/>
  <c r="FN173" i="54"/>
  <c r="FP173" i="54" s="1"/>
  <c r="FK174" i="54" s="1"/>
  <c r="GH174" i="54" l="1"/>
  <c r="GE174" i="54"/>
  <c r="GG174" i="54"/>
  <c r="FM174" i="54"/>
  <c r="FJ174" i="54"/>
  <c r="FL174" i="54"/>
  <c r="GC174" i="54"/>
  <c r="GB173" i="54"/>
  <c r="GD173" i="54" s="1"/>
  <c r="FY174" i="54" s="1"/>
  <c r="FV174" i="54"/>
  <c r="FU173" i="54"/>
  <c r="FW173" i="54" s="1"/>
  <c r="FR174" i="54" s="1"/>
  <c r="FO175" i="54" l="1"/>
  <c r="FN174" i="54"/>
  <c r="FP174" i="54" s="1"/>
  <c r="FK175" i="54" s="1"/>
  <c r="GJ175" i="54"/>
  <c r="GI174" i="54"/>
  <c r="GK174" i="54" s="1"/>
  <c r="GF175" i="54" s="1"/>
  <c r="FS174" i="54"/>
  <c r="FQ174" i="54"/>
  <c r="FT174" i="54"/>
  <c r="FZ174" i="54"/>
  <c r="GA174" i="54"/>
  <c r="FX174" i="54"/>
  <c r="FU174" i="54" l="1"/>
  <c r="FW174" i="54" s="1"/>
  <c r="FR175" i="54" s="1"/>
  <c r="FV175" i="54"/>
  <c r="GE175" i="54"/>
  <c r="GG175" i="54"/>
  <c r="GH175" i="54"/>
  <c r="GC175" i="54"/>
  <c r="GB174" i="54"/>
  <c r="GD174" i="54" s="1"/>
  <c r="FY175" i="54" s="1"/>
  <c r="FL175" i="54"/>
  <c r="FM175" i="54"/>
  <c r="FJ175" i="54"/>
  <c r="FX175" i="54" l="1"/>
  <c r="FZ175" i="54"/>
  <c r="GA175" i="54"/>
  <c r="FO176" i="54"/>
  <c r="FN175" i="54"/>
  <c r="FP175" i="54" s="1"/>
  <c r="FK176" i="54" s="1"/>
  <c r="GJ176" i="54"/>
  <c r="GI175" i="54"/>
  <c r="GK175" i="54" s="1"/>
  <c r="GF176" i="54" s="1"/>
  <c r="FQ175" i="54"/>
  <c r="FS175" i="54"/>
  <c r="FT175" i="54"/>
  <c r="FJ176" i="54" l="1"/>
  <c r="FL176" i="54"/>
  <c r="FM176" i="54"/>
  <c r="FV176" i="54"/>
  <c r="FU175" i="54"/>
  <c r="FW175" i="54" s="1"/>
  <c r="FR176" i="54" s="1"/>
  <c r="GC176" i="54"/>
  <c r="GB175" i="54"/>
  <c r="GD175" i="54" s="1"/>
  <c r="FY176" i="54" s="1"/>
  <c r="GE176" i="54"/>
  <c r="GG176" i="54"/>
  <c r="GH176" i="54"/>
  <c r="FS176" i="54" l="1"/>
  <c r="FT176" i="54"/>
  <c r="FQ176" i="54"/>
  <c r="GI176" i="54"/>
  <c r="GK176" i="54" s="1"/>
  <c r="GF177" i="54" s="1"/>
  <c r="GJ177" i="54"/>
  <c r="FO177" i="54"/>
  <c r="FN176" i="54"/>
  <c r="FP176" i="54" s="1"/>
  <c r="FK177" i="54" s="1"/>
  <c r="FZ176" i="54"/>
  <c r="GA176" i="54"/>
  <c r="FX176" i="54"/>
  <c r="GB176" i="54" l="1"/>
  <c r="GD176" i="54" s="1"/>
  <c r="FY177" i="54" s="1"/>
  <c r="GC177" i="54"/>
  <c r="FM177" i="54"/>
  <c r="FL177" i="54"/>
  <c r="FJ177" i="54"/>
  <c r="GH177" i="54"/>
  <c r="GG177" i="54"/>
  <c r="GE177" i="54"/>
  <c r="FU176" i="54"/>
  <c r="FW176" i="54" s="1"/>
  <c r="FR177" i="54" s="1"/>
  <c r="FV177" i="54"/>
  <c r="FO178" i="54" l="1"/>
  <c r="FN177" i="54"/>
  <c r="FP177" i="54" s="1"/>
  <c r="FK178" i="54" s="1"/>
  <c r="FZ177" i="54"/>
  <c r="GA177" i="54"/>
  <c r="FX177" i="54"/>
  <c r="FQ177" i="54"/>
  <c r="FT177" i="54"/>
  <c r="FS177" i="54"/>
  <c r="GJ178" i="54"/>
  <c r="GI177" i="54"/>
  <c r="GK177" i="54" s="1"/>
  <c r="GF178" i="54" s="1"/>
  <c r="GH178" i="54" l="1"/>
  <c r="GG178" i="54"/>
  <c r="GE178" i="54"/>
  <c r="FL178" i="54"/>
  <c r="FJ178" i="54"/>
  <c r="FM178" i="54"/>
  <c r="GC178" i="54"/>
  <c r="GB177" i="54"/>
  <c r="GD177" i="54" s="1"/>
  <c r="FY178" i="54" s="1"/>
  <c r="FV178" i="54"/>
  <c r="FU177" i="54"/>
  <c r="FW177" i="54" s="1"/>
  <c r="FR178" i="54" s="1"/>
  <c r="FX178" i="54" l="1"/>
  <c r="GA178" i="54"/>
  <c r="FZ178" i="54"/>
  <c r="FN178" i="54"/>
  <c r="FP178" i="54" s="1"/>
  <c r="FK179" i="54" s="1"/>
  <c r="FO179" i="54"/>
  <c r="FT178" i="54"/>
  <c r="FS178" i="54"/>
  <c r="FQ178" i="54"/>
  <c r="GJ179" i="54"/>
  <c r="GI178" i="54"/>
  <c r="GK178" i="54" s="1"/>
  <c r="GF179" i="54" s="1"/>
  <c r="GG179" i="54" l="1"/>
  <c r="GH179" i="54"/>
  <c r="GE179" i="54"/>
  <c r="FL179" i="54"/>
  <c r="FJ179" i="54"/>
  <c r="FM179" i="54"/>
  <c r="GB178" i="54"/>
  <c r="GD178" i="54" s="1"/>
  <c r="FY179" i="54" s="1"/>
  <c r="GC179" i="54"/>
  <c r="FV179" i="54"/>
  <c r="FU178" i="54"/>
  <c r="FW178" i="54" s="1"/>
  <c r="FR179" i="54" s="1"/>
  <c r="GA179" i="54" l="1"/>
  <c r="FX179" i="54"/>
  <c r="FZ179" i="54"/>
  <c r="FO180" i="54"/>
  <c r="FN179" i="54"/>
  <c r="FP179" i="54" s="1"/>
  <c r="FK180" i="54" s="1"/>
  <c r="FQ179" i="54"/>
  <c r="FT179" i="54"/>
  <c r="FS179" i="54"/>
  <c r="GJ180" i="54"/>
  <c r="GI179" i="54"/>
  <c r="GK179" i="54" s="1"/>
  <c r="GF180" i="54" s="1"/>
  <c r="GE180" i="54" l="1"/>
  <c r="GG180" i="54"/>
  <c r="GH180" i="54"/>
  <c r="FM180" i="54"/>
  <c r="FL180" i="54"/>
  <c r="FJ180" i="54"/>
  <c r="GC180" i="54"/>
  <c r="GB179" i="54"/>
  <c r="GD179" i="54" s="1"/>
  <c r="FY180" i="54" s="1"/>
  <c r="FU179" i="54"/>
  <c r="FW179" i="54" s="1"/>
  <c r="FR180" i="54" s="1"/>
  <c r="FV180" i="54"/>
  <c r="FO181" i="54" l="1"/>
  <c r="FN180" i="54"/>
  <c r="FP180" i="54" s="1"/>
  <c r="FK181" i="54" s="1"/>
  <c r="FX180" i="54"/>
  <c r="FZ180" i="54"/>
  <c r="GA180" i="54"/>
  <c r="FQ180" i="54"/>
  <c r="FS180" i="54"/>
  <c r="FT180" i="54"/>
  <c r="GI180" i="54"/>
  <c r="GK180" i="54" s="1"/>
  <c r="GF181" i="54" s="1"/>
  <c r="GJ181" i="54"/>
  <c r="FL181" i="54" l="1"/>
  <c r="FJ181" i="54"/>
  <c r="FM181" i="54"/>
  <c r="GB180" i="54"/>
  <c r="GD180" i="54" s="1"/>
  <c r="FY181" i="54" s="1"/>
  <c r="GC181" i="54"/>
  <c r="FU180" i="54"/>
  <c r="FW180" i="54" s="1"/>
  <c r="FR181" i="54" s="1"/>
  <c r="FV181" i="54"/>
  <c r="GE181" i="54"/>
  <c r="GG181" i="54"/>
  <c r="GH181" i="54"/>
  <c r="FT181" i="54" l="1"/>
  <c r="FS181" i="54"/>
  <c r="FQ181" i="54"/>
  <c r="GA181" i="54"/>
  <c r="FX181" i="54"/>
  <c r="FZ181" i="54"/>
  <c r="GI181" i="54"/>
  <c r="GK181" i="54" s="1"/>
  <c r="GF182" i="54" s="1"/>
  <c r="GJ182" i="54"/>
  <c r="FN181" i="54"/>
  <c r="FP181" i="54" s="1"/>
  <c r="FK182" i="54" s="1"/>
  <c r="FO182" i="54"/>
  <c r="GC182" i="54" l="1"/>
  <c r="GB181" i="54"/>
  <c r="GD181" i="54" s="1"/>
  <c r="FY182" i="54" s="1"/>
  <c r="FL182" i="54"/>
  <c r="FM182" i="54"/>
  <c r="FJ182" i="54"/>
  <c r="GE182" i="54"/>
  <c r="GG182" i="54"/>
  <c r="GH182" i="54"/>
  <c r="FV182" i="54"/>
  <c r="FU181" i="54"/>
  <c r="FW181" i="54" s="1"/>
  <c r="FR182" i="54" s="1"/>
  <c r="FT182" i="54" l="1"/>
  <c r="FQ182" i="54"/>
  <c r="FS182" i="54"/>
  <c r="FN182" i="54"/>
  <c r="FP182" i="54" s="1"/>
  <c r="FK183" i="54" s="1"/>
  <c r="FO183" i="54"/>
  <c r="FZ182" i="54"/>
  <c r="GA182" i="54"/>
  <c r="FX182" i="54"/>
  <c r="GI182" i="54"/>
  <c r="GK182" i="54" s="1"/>
  <c r="GF183" i="54" s="1"/>
  <c r="GJ183" i="54"/>
  <c r="GE183" i="54" l="1"/>
  <c r="GG183" i="54"/>
  <c r="GH183" i="54"/>
  <c r="GB182" i="54"/>
  <c r="GD182" i="54" s="1"/>
  <c r="FY183" i="54" s="1"/>
  <c r="GC183" i="54"/>
  <c r="FJ183" i="54"/>
  <c r="FL183" i="54"/>
  <c r="FM183" i="54"/>
  <c r="FU182" i="54"/>
  <c r="FW182" i="54" s="1"/>
  <c r="FR183" i="54" s="1"/>
  <c r="FV183" i="54"/>
  <c r="FZ183" i="54" l="1"/>
  <c r="GA183" i="54"/>
  <c r="FX183" i="54"/>
  <c r="FS183" i="54"/>
  <c r="FQ183" i="54"/>
  <c r="FT183" i="54"/>
  <c r="GJ184" i="54"/>
  <c r="GI183" i="54"/>
  <c r="GK183" i="54" s="1"/>
  <c r="GF184" i="54" s="1"/>
  <c r="FO184" i="54"/>
  <c r="FN183" i="54"/>
  <c r="FP183" i="54" s="1"/>
  <c r="FK184" i="54" s="1"/>
  <c r="FL184" i="54" l="1"/>
  <c r="FJ184" i="54"/>
  <c r="FM184" i="54"/>
  <c r="FU183" i="54"/>
  <c r="FW183" i="54" s="1"/>
  <c r="FR184" i="54" s="1"/>
  <c r="FV184" i="54"/>
  <c r="GH184" i="54"/>
  <c r="GG184" i="54"/>
  <c r="GE184" i="54"/>
  <c r="GC184" i="54"/>
  <c r="GB183" i="54"/>
  <c r="GD183" i="54" s="1"/>
  <c r="FY184" i="54" s="1"/>
  <c r="FT184" i="54" l="1"/>
  <c r="FQ184" i="54"/>
  <c r="FS184" i="54"/>
  <c r="FX184" i="54"/>
  <c r="GA184" i="54"/>
  <c r="FZ184" i="54"/>
  <c r="GI184" i="54"/>
  <c r="GK184" i="54" s="1"/>
  <c r="GF185" i="54" s="1"/>
  <c r="GJ185" i="54"/>
  <c r="FO185" i="54"/>
  <c r="FN184" i="54"/>
  <c r="FP184" i="54" s="1"/>
  <c r="FK185" i="54" s="1"/>
  <c r="GB184" i="54" l="1"/>
  <c r="GD184" i="54" s="1"/>
  <c r="FY185" i="54" s="1"/>
  <c r="GC185" i="54"/>
  <c r="GE185" i="54"/>
  <c r="GG185" i="54"/>
  <c r="GH185" i="54"/>
  <c r="FM185" i="54"/>
  <c r="FJ185" i="54"/>
  <c r="FL185" i="54"/>
  <c r="FV185" i="54"/>
  <c r="FU184" i="54"/>
  <c r="FW184" i="54" s="1"/>
  <c r="FR185" i="54" s="1"/>
  <c r="GI185" i="54" l="1"/>
  <c r="GK185" i="54" s="1"/>
  <c r="GF186" i="54" s="1"/>
  <c r="GJ186" i="54"/>
  <c r="FO186" i="54"/>
  <c r="FN185" i="54"/>
  <c r="FP185" i="54" s="1"/>
  <c r="FK186" i="54" s="1"/>
  <c r="FQ185" i="54"/>
  <c r="FS185" i="54"/>
  <c r="FT185" i="54"/>
  <c r="GA185" i="54"/>
  <c r="FZ185" i="54"/>
  <c r="FX185" i="54"/>
  <c r="FM186" i="54" l="1"/>
  <c r="FJ186" i="54"/>
  <c r="FL186" i="54"/>
  <c r="GE186" i="54"/>
  <c r="GG186" i="54"/>
  <c r="GH186" i="54"/>
  <c r="GC186" i="54"/>
  <c r="GB185" i="54"/>
  <c r="GD185" i="54" s="1"/>
  <c r="FY186" i="54" s="1"/>
  <c r="FU185" i="54"/>
  <c r="FW185" i="54" s="1"/>
  <c r="FR186" i="54" s="1"/>
  <c r="FV186" i="54"/>
  <c r="GJ187" i="54" l="1"/>
  <c r="GI186" i="54"/>
  <c r="GK186" i="54" s="1"/>
  <c r="GF187" i="54" s="1"/>
  <c r="FO187" i="54"/>
  <c r="FN186" i="54"/>
  <c r="FZ186" i="54"/>
  <c r="GA186" i="54"/>
  <c r="FX186" i="54"/>
  <c r="FQ186" i="54"/>
  <c r="FT186" i="54"/>
  <c r="FS186" i="54"/>
  <c r="FP186" i="54"/>
  <c r="FK187" i="54" s="1"/>
  <c r="GC187" i="54" l="1"/>
  <c r="GB186" i="54"/>
  <c r="GD186" i="54" s="1"/>
  <c r="FY187" i="54" s="1"/>
  <c r="FL187" i="54"/>
  <c r="FJ187" i="54"/>
  <c r="FM187" i="54"/>
  <c r="GG187" i="54"/>
  <c r="GH187" i="54"/>
  <c r="GE187" i="54"/>
  <c r="FU186" i="54"/>
  <c r="FW186" i="54" s="1"/>
  <c r="FR187" i="54" s="1"/>
  <c r="FV187" i="54"/>
  <c r="GI187" i="54" l="1"/>
  <c r="GJ188" i="54"/>
  <c r="FN187" i="54"/>
  <c r="FP187" i="54" s="1"/>
  <c r="FK188" i="54" s="1"/>
  <c r="FO188" i="54"/>
  <c r="FZ187" i="54"/>
  <c r="FX187" i="54"/>
  <c r="GA187" i="54"/>
  <c r="FT187" i="54"/>
  <c r="FQ187" i="54"/>
  <c r="FS187" i="54"/>
  <c r="GK187" i="54"/>
  <c r="GF188" i="54" s="1"/>
  <c r="GC188" i="54" l="1"/>
  <c r="GB187" i="54"/>
  <c r="GG188" i="54"/>
  <c r="GE188" i="54"/>
  <c r="GH188" i="54"/>
  <c r="FV188" i="54"/>
  <c r="FU187" i="54"/>
  <c r="FW187" i="54" s="1"/>
  <c r="FR188" i="54" s="1"/>
  <c r="FJ188" i="54"/>
  <c r="FL188" i="54"/>
  <c r="FM188" i="54"/>
  <c r="GD187" i="54"/>
  <c r="FY188" i="54" s="1"/>
  <c r="GA188" i="54" l="1"/>
  <c r="FX188" i="54"/>
  <c r="FZ188" i="54"/>
  <c r="GI188" i="54"/>
  <c r="GK188" i="54" s="1"/>
  <c r="GF189" i="54" s="1"/>
  <c r="GJ189" i="54"/>
  <c r="FO189" i="54"/>
  <c r="FN188" i="54"/>
  <c r="FP188" i="54" s="1"/>
  <c r="FK189" i="54" s="1"/>
  <c r="FT188" i="54"/>
  <c r="FQ188" i="54"/>
  <c r="FS188" i="54"/>
  <c r="FU188" i="54" l="1"/>
  <c r="FW188" i="54" s="1"/>
  <c r="FR189" i="54" s="1"/>
  <c r="FV189" i="54"/>
  <c r="GE189" i="54"/>
  <c r="GH189" i="54"/>
  <c r="GG189" i="54"/>
  <c r="GB188" i="54"/>
  <c r="GD188" i="54" s="1"/>
  <c r="FY189" i="54" s="1"/>
  <c r="GC189" i="54"/>
  <c r="FL189" i="54"/>
  <c r="FJ189" i="54"/>
  <c r="FM189" i="54"/>
  <c r="GJ190" i="54" l="1"/>
  <c r="GI189" i="54"/>
  <c r="GK189" i="54" s="1"/>
  <c r="GF190" i="54" s="1"/>
  <c r="FO190" i="54"/>
  <c r="FN189" i="54"/>
  <c r="FP189" i="54" s="1"/>
  <c r="FK190" i="54" s="1"/>
  <c r="FZ189" i="54"/>
  <c r="GA189" i="54"/>
  <c r="FX189" i="54"/>
  <c r="FQ189" i="54"/>
  <c r="FT189" i="54"/>
  <c r="FS189" i="54"/>
  <c r="FL190" i="54" l="1"/>
  <c r="FM190" i="54"/>
  <c r="FJ190" i="54"/>
  <c r="GE190" i="54"/>
  <c r="GH190" i="54"/>
  <c r="GG190" i="54"/>
  <c r="FV190" i="54"/>
  <c r="FU189" i="54"/>
  <c r="FW189" i="54" s="1"/>
  <c r="FR190" i="54" s="1"/>
  <c r="GB189" i="54"/>
  <c r="GD189" i="54" s="1"/>
  <c r="FY190" i="54" s="1"/>
  <c r="GC190" i="54"/>
  <c r="GJ191" i="54" l="1"/>
  <c r="GI190" i="54"/>
  <c r="GK190" i="54" s="1"/>
  <c r="GF191" i="54" s="1"/>
  <c r="FZ190" i="54"/>
  <c r="FX190" i="54"/>
  <c r="GA190" i="54"/>
  <c r="FT190" i="54"/>
  <c r="FS190" i="54"/>
  <c r="FQ190" i="54"/>
  <c r="FN190" i="54"/>
  <c r="FP190" i="54" s="1"/>
  <c r="FK191" i="54" s="1"/>
  <c r="FO191" i="54"/>
  <c r="FL191" i="54" l="1"/>
  <c r="FJ191" i="54"/>
  <c r="FM191" i="54"/>
  <c r="GC191" i="54"/>
  <c r="GB190" i="54"/>
  <c r="GD190" i="54" s="1"/>
  <c r="FY191" i="54" s="1"/>
  <c r="GH191" i="54"/>
  <c r="GE191" i="54"/>
  <c r="GG191" i="54"/>
  <c r="FU190" i="54"/>
  <c r="FW190" i="54" s="1"/>
  <c r="FR191" i="54" s="1"/>
  <c r="FV191" i="54"/>
  <c r="FX191" i="54" l="1"/>
  <c r="GA191" i="54"/>
  <c r="FZ191" i="54"/>
  <c r="FQ191" i="54"/>
  <c r="FT191" i="54"/>
  <c r="FS191" i="54"/>
  <c r="GJ192" i="54"/>
  <c r="GI191" i="54"/>
  <c r="GK191" i="54" s="1"/>
  <c r="GF192" i="54" s="1"/>
  <c r="FN191" i="54"/>
  <c r="FP191" i="54" s="1"/>
  <c r="FK192" i="54" s="1"/>
  <c r="FO192" i="54"/>
  <c r="FL192" i="54" l="1"/>
  <c r="FJ192" i="54"/>
  <c r="FM192" i="54"/>
  <c r="FU191" i="54"/>
  <c r="FW191" i="54" s="1"/>
  <c r="FR192" i="54" s="1"/>
  <c r="FV192" i="54"/>
  <c r="GB191" i="54"/>
  <c r="GD191" i="54" s="1"/>
  <c r="FY192" i="54" s="1"/>
  <c r="GC192" i="54"/>
  <c r="GE192" i="54"/>
  <c r="GH192" i="54"/>
  <c r="GG192" i="54"/>
  <c r="FX192" i="54" l="1"/>
  <c r="FZ192" i="54"/>
  <c r="GA192" i="54"/>
  <c r="FQ192" i="54"/>
  <c r="FS192" i="54"/>
  <c r="FT192" i="54"/>
  <c r="GJ193" i="54"/>
  <c r="GI192" i="54"/>
  <c r="GK192" i="54" s="1"/>
  <c r="GF193" i="54" s="1"/>
  <c r="FN192" i="54"/>
  <c r="FP192" i="54" s="1"/>
  <c r="FK193" i="54" s="1"/>
  <c r="FO193" i="54"/>
  <c r="FJ193" i="54" l="1"/>
  <c r="FL193" i="54"/>
  <c r="FM193" i="54"/>
  <c r="FU192" i="54"/>
  <c r="FW192" i="54" s="1"/>
  <c r="FR193" i="54" s="1"/>
  <c r="FV193" i="54"/>
  <c r="GC193" i="54"/>
  <c r="GB192" i="54"/>
  <c r="GD192" i="54" s="1"/>
  <c r="FY193" i="54" s="1"/>
  <c r="GH193" i="54"/>
  <c r="GE193" i="54"/>
  <c r="GG193" i="54"/>
  <c r="FX193" i="54" l="1"/>
  <c r="FZ193" i="54"/>
  <c r="GA193" i="54"/>
  <c r="FQ193" i="54"/>
  <c r="FS193" i="54"/>
  <c r="FT193" i="54"/>
  <c r="FO194" i="54"/>
  <c r="FN193" i="54"/>
  <c r="FP193" i="54" s="1"/>
  <c r="FK194" i="54" s="1"/>
  <c r="GJ194" i="54"/>
  <c r="GI193" i="54"/>
  <c r="GK193" i="54" s="1"/>
  <c r="GF194" i="54" s="1"/>
  <c r="GG194" i="54" l="1"/>
  <c r="GH194" i="54"/>
  <c r="GE194" i="54"/>
  <c r="FU193" i="54"/>
  <c r="FW193" i="54" s="1"/>
  <c r="FR194" i="54" s="1"/>
  <c r="FV194" i="54"/>
  <c r="FM194" i="54"/>
  <c r="FJ194" i="54"/>
  <c r="FL194" i="54"/>
  <c r="GC194" i="54"/>
  <c r="GB193" i="54"/>
  <c r="GD193" i="54" s="1"/>
  <c r="FY194" i="54" s="1"/>
  <c r="FQ194" i="54" l="1"/>
  <c r="FS194" i="54"/>
  <c r="FT194" i="54"/>
  <c r="FX194" i="54"/>
  <c r="FZ194" i="54"/>
  <c r="GA194" i="54"/>
  <c r="FO195" i="54"/>
  <c r="FN194" i="54"/>
  <c r="FP194" i="54" s="1"/>
  <c r="FK195" i="54" s="1"/>
  <c r="GI194" i="54"/>
  <c r="GK194" i="54" s="1"/>
  <c r="GF195" i="54" s="1"/>
  <c r="GJ195" i="54"/>
  <c r="GE195" i="54" l="1"/>
  <c r="GH195" i="54"/>
  <c r="GG195" i="54"/>
  <c r="GB194" i="54"/>
  <c r="GD194" i="54" s="1"/>
  <c r="FY195" i="54" s="1"/>
  <c r="GC195" i="54"/>
  <c r="FL195" i="54"/>
  <c r="FJ195" i="54"/>
  <c r="FM195" i="54"/>
  <c r="FV195" i="54"/>
  <c r="FU194" i="54"/>
  <c r="FW194" i="54" s="1"/>
  <c r="FR195" i="54" s="1"/>
  <c r="FX195" i="54" l="1"/>
  <c r="FZ195" i="54"/>
  <c r="GA195" i="54"/>
  <c r="FT195" i="54"/>
  <c r="FS195" i="54"/>
  <c r="FQ195" i="54"/>
  <c r="GI195" i="54"/>
  <c r="GK195" i="54" s="1"/>
  <c r="GF196" i="54" s="1"/>
  <c r="GJ196" i="54"/>
  <c r="FN195" i="54"/>
  <c r="FP195" i="54" s="1"/>
  <c r="FK196" i="54" s="1"/>
  <c r="FO196" i="54"/>
  <c r="FL196" i="54" l="1"/>
  <c r="FJ196" i="54"/>
  <c r="FM196" i="54"/>
  <c r="FV196" i="54"/>
  <c r="FU195" i="54"/>
  <c r="FW195" i="54" s="1"/>
  <c r="FR196" i="54" s="1"/>
  <c r="GC196" i="54"/>
  <c r="GB195" i="54"/>
  <c r="GD195" i="54" s="1"/>
  <c r="FY196" i="54" s="1"/>
  <c r="GG196" i="54"/>
  <c r="GE196" i="54"/>
  <c r="GH196" i="54"/>
  <c r="FT196" i="54" l="1"/>
  <c r="FS196" i="54"/>
  <c r="FQ196" i="54"/>
  <c r="GJ197" i="54"/>
  <c r="GI196" i="54"/>
  <c r="GK196" i="54" s="1"/>
  <c r="GF197" i="54" s="1"/>
  <c r="FZ196" i="54"/>
  <c r="GA196" i="54"/>
  <c r="FX196" i="54"/>
  <c r="FO197" i="54"/>
  <c r="FN196" i="54"/>
  <c r="FP196" i="54" s="1"/>
  <c r="FK197" i="54" s="1"/>
  <c r="GE197" i="54" l="1"/>
  <c r="GG197" i="54"/>
  <c r="GH197" i="54"/>
  <c r="FL197" i="54"/>
  <c r="FJ197" i="54"/>
  <c r="FM197" i="54"/>
  <c r="GC197" i="54"/>
  <c r="GB196" i="54"/>
  <c r="GD196" i="54" s="1"/>
  <c r="FY197" i="54" s="1"/>
  <c r="FV197" i="54"/>
  <c r="FU196" i="54"/>
  <c r="FW196" i="54" s="1"/>
  <c r="FR197" i="54" s="1"/>
  <c r="FN197" i="54" l="1"/>
  <c r="FP197" i="54" s="1"/>
  <c r="FK198" i="54" s="1"/>
  <c r="FO198" i="54"/>
  <c r="GJ198" i="54"/>
  <c r="GI197" i="54"/>
  <c r="GK197" i="54" s="1"/>
  <c r="GF198" i="54" s="1"/>
  <c r="FT197" i="54"/>
  <c r="FS197" i="54"/>
  <c r="FQ197" i="54"/>
  <c r="FX197" i="54"/>
  <c r="GA197" i="54"/>
  <c r="FZ197" i="54"/>
  <c r="GG198" i="54" l="1"/>
  <c r="GE198" i="54"/>
  <c r="GH198" i="54"/>
  <c r="FL198" i="54"/>
  <c r="FJ198" i="54"/>
  <c r="FM198" i="54"/>
  <c r="GC198" i="54"/>
  <c r="GB197" i="54"/>
  <c r="GD197" i="54" s="1"/>
  <c r="FY198" i="54" s="1"/>
  <c r="FV198" i="54"/>
  <c r="FU197" i="54"/>
  <c r="FW197" i="54" s="1"/>
  <c r="FR198" i="54" s="1"/>
  <c r="FN198" i="54" l="1"/>
  <c r="FP198" i="54" s="1"/>
  <c r="FK199" i="54" s="1"/>
  <c r="FO199" i="54"/>
  <c r="FT198" i="54"/>
  <c r="FQ198" i="54"/>
  <c r="FS198" i="54"/>
  <c r="FX198" i="54"/>
  <c r="FZ198" i="54"/>
  <c r="GA198" i="54"/>
  <c r="GJ199" i="54"/>
  <c r="GI198" i="54"/>
  <c r="GK198" i="54" s="1"/>
  <c r="GF199" i="54" s="1"/>
  <c r="FL199" i="54" l="1"/>
  <c r="FJ199" i="54"/>
  <c r="FM199" i="54"/>
  <c r="GG199" i="54"/>
  <c r="GH199" i="54"/>
  <c r="GE199" i="54"/>
  <c r="GB198" i="54"/>
  <c r="GD198" i="54" s="1"/>
  <c r="FY199" i="54" s="1"/>
  <c r="GC199" i="54"/>
  <c r="FV199" i="54"/>
  <c r="FU198" i="54"/>
  <c r="FW198" i="54" s="1"/>
  <c r="FR199" i="54" s="1"/>
  <c r="FT199" i="54" l="1"/>
  <c r="FQ199" i="54"/>
  <c r="FS199" i="54"/>
  <c r="GJ200" i="54"/>
  <c r="GI199" i="54"/>
  <c r="GK199" i="54" s="1"/>
  <c r="GF200" i="54" s="1"/>
  <c r="FX199" i="54"/>
  <c r="FZ199" i="54"/>
  <c r="GA199" i="54"/>
  <c r="FO200" i="54"/>
  <c r="FN199" i="54"/>
  <c r="FP199" i="54" s="1"/>
  <c r="FK200" i="54" s="1"/>
  <c r="GC200" i="54" l="1"/>
  <c r="GB199" i="54"/>
  <c r="GD199" i="54" s="1"/>
  <c r="FY200" i="54" s="1"/>
  <c r="GH200" i="54"/>
  <c r="GE200" i="54"/>
  <c r="GG200" i="54"/>
  <c r="FJ200" i="54"/>
  <c r="FL200" i="54"/>
  <c r="FM200" i="54"/>
  <c r="FV200" i="54"/>
  <c r="FU199" i="54"/>
  <c r="FW199" i="54" s="1"/>
  <c r="FR200" i="54" s="1"/>
  <c r="GJ201" i="54" l="1"/>
  <c r="GI200" i="54"/>
  <c r="FQ200" i="54"/>
  <c r="FS200" i="54"/>
  <c r="FT200" i="54"/>
  <c r="GK200" i="54"/>
  <c r="GF201" i="54" s="1"/>
  <c r="FZ200" i="54"/>
  <c r="GA200" i="54"/>
  <c r="FX200" i="54"/>
  <c r="FN200" i="54"/>
  <c r="FP200" i="54" s="1"/>
  <c r="FK201" i="54" s="1"/>
  <c r="FO201" i="54"/>
  <c r="GE201" i="54" l="1"/>
  <c r="GH201" i="54"/>
  <c r="GG201" i="54"/>
  <c r="FU200" i="54"/>
  <c r="FW200" i="54" s="1"/>
  <c r="FR201" i="54" s="1"/>
  <c r="FV201" i="54"/>
  <c r="FL201" i="54"/>
  <c r="FM201" i="54"/>
  <c r="FJ201" i="54"/>
  <c r="GC201" i="54"/>
  <c r="GB200" i="54"/>
  <c r="GD200" i="54" s="1"/>
  <c r="FY201" i="54" s="1"/>
  <c r="GA201" i="54" l="1"/>
  <c r="FX201" i="54"/>
  <c r="FZ201" i="54"/>
  <c r="FN201" i="54"/>
  <c r="FP201" i="54" s="1"/>
  <c r="FK202" i="54" s="1"/>
  <c r="FO202" i="54"/>
  <c r="FS201" i="54"/>
  <c r="FQ201" i="54"/>
  <c r="FT201" i="54"/>
  <c r="GJ202" i="54"/>
  <c r="GI201" i="54"/>
  <c r="GK201" i="54" s="1"/>
  <c r="GF202" i="54" s="1"/>
  <c r="FU201" i="54" l="1"/>
  <c r="FW201" i="54" s="1"/>
  <c r="FR202" i="54" s="1"/>
  <c r="FV202" i="54"/>
  <c r="GG202" i="54"/>
  <c r="GE202" i="54"/>
  <c r="GH202" i="54"/>
  <c r="FM202" i="54"/>
  <c r="FL202" i="54"/>
  <c r="FJ202" i="54"/>
  <c r="GB201" i="54"/>
  <c r="GD201" i="54" s="1"/>
  <c r="FY202" i="54" s="1"/>
  <c r="GC202" i="54"/>
  <c r="FZ202" i="54" l="1"/>
  <c r="FX202" i="54"/>
  <c r="GA202" i="54"/>
  <c r="FO203" i="54"/>
  <c r="FN202" i="54"/>
  <c r="FP202" i="54" s="1"/>
  <c r="FK203" i="54" s="1"/>
  <c r="GJ203" i="54"/>
  <c r="GI202" i="54"/>
  <c r="GK202" i="54" s="1"/>
  <c r="GF203" i="54" s="1"/>
  <c r="FQ202" i="54"/>
  <c r="FT202" i="54"/>
  <c r="FS202" i="54"/>
  <c r="GG203" i="54" l="1"/>
  <c r="GE203" i="54"/>
  <c r="GH203" i="54"/>
  <c r="FM203" i="54"/>
  <c r="FL203" i="54"/>
  <c r="FJ203" i="54"/>
  <c r="FV203" i="54"/>
  <c r="FU202" i="54"/>
  <c r="FW202" i="54" s="1"/>
  <c r="FR203" i="54" s="1"/>
  <c r="GC203" i="54"/>
  <c r="GB202" i="54"/>
  <c r="GD202" i="54" s="1"/>
  <c r="FY203" i="54" s="1"/>
  <c r="FX203" i="54" l="1"/>
  <c r="FZ203" i="54"/>
  <c r="GA203" i="54"/>
  <c r="FN203" i="54"/>
  <c r="FP203" i="54" s="1"/>
  <c r="FK204" i="54" s="1"/>
  <c r="FO204" i="54"/>
  <c r="FQ203" i="54"/>
  <c r="FT203" i="54"/>
  <c r="FS203" i="54"/>
  <c r="GJ204" i="54"/>
  <c r="GI203" i="54"/>
  <c r="GK203" i="54" s="1"/>
  <c r="GF204" i="54" s="1"/>
  <c r="FL204" i="54" l="1"/>
  <c r="FJ204" i="54"/>
  <c r="FM204" i="54"/>
  <c r="GE204" i="54"/>
  <c r="GH204" i="54"/>
  <c r="GG204" i="54"/>
  <c r="FV204" i="54"/>
  <c r="FU203" i="54"/>
  <c r="FW203" i="54" s="1"/>
  <c r="FR204" i="54" s="1"/>
  <c r="GC204" i="54"/>
  <c r="GB203" i="54"/>
  <c r="GD203" i="54" s="1"/>
  <c r="FY204" i="54" s="1"/>
  <c r="FX204" i="54" l="1"/>
  <c r="FZ204" i="54"/>
  <c r="GA204" i="54"/>
  <c r="GJ205" i="54"/>
  <c r="GI204" i="54"/>
  <c r="GK204" i="54" s="1"/>
  <c r="GF205" i="54" s="1"/>
  <c r="FS204" i="54"/>
  <c r="FT204" i="54"/>
  <c r="FQ204" i="54"/>
  <c r="FO205" i="54"/>
  <c r="FN204" i="54"/>
  <c r="FP204" i="54" s="1"/>
  <c r="FK205" i="54" s="1"/>
  <c r="GE205" i="54" l="1"/>
  <c r="GG205" i="54"/>
  <c r="GH205" i="54"/>
  <c r="FL205" i="54"/>
  <c r="FJ205" i="54"/>
  <c r="FM205" i="54"/>
  <c r="GB204" i="54"/>
  <c r="GD204" i="54" s="1"/>
  <c r="FY205" i="54" s="1"/>
  <c r="GC205" i="54"/>
  <c r="FU204" i="54"/>
  <c r="FW204" i="54" s="1"/>
  <c r="FR205" i="54" s="1"/>
  <c r="FV205" i="54"/>
  <c r="FZ205" i="54" l="1"/>
  <c r="GA205" i="54"/>
  <c r="FX205" i="54"/>
  <c r="FO206" i="54"/>
  <c r="FN205" i="54"/>
  <c r="FP205" i="54" s="1"/>
  <c r="FK206" i="54" s="1"/>
  <c r="GJ206" i="54"/>
  <c r="GI205" i="54"/>
  <c r="GK205" i="54" s="1"/>
  <c r="GF206" i="54" s="1"/>
  <c r="FQ205" i="54"/>
  <c r="FS205" i="54"/>
  <c r="FT205" i="54"/>
  <c r="FJ206" i="54" l="1"/>
  <c r="FL206" i="54"/>
  <c r="FM206" i="54"/>
  <c r="GG206" i="54"/>
  <c r="GH206" i="54"/>
  <c r="GE206" i="54"/>
  <c r="FU205" i="54"/>
  <c r="FW205" i="54" s="1"/>
  <c r="FR206" i="54" s="1"/>
  <c r="FV206" i="54"/>
  <c r="GC206" i="54"/>
  <c r="GB205" i="54"/>
  <c r="GD205" i="54" s="1"/>
  <c r="FY206" i="54" s="1"/>
  <c r="FX206" i="54" l="1"/>
  <c r="FZ206" i="54"/>
  <c r="GA206" i="54"/>
  <c r="GJ207" i="54"/>
  <c r="GI206" i="54"/>
  <c r="GK206" i="54" s="1"/>
  <c r="GF207" i="54" s="1"/>
  <c r="FN206" i="54"/>
  <c r="FP206" i="54" s="1"/>
  <c r="FK207" i="54" s="1"/>
  <c r="FO207" i="54"/>
  <c r="FS206" i="54"/>
  <c r="FT206" i="54"/>
  <c r="FQ206" i="54"/>
  <c r="GG207" i="54" l="1"/>
  <c r="GE207" i="54"/>
  <c r="GH207" i="54"/>
  <c r="FV207" i="54"/>
  <c r="FU206" i="54"/>
  <c r="FW206" i="54" s="1"/>
  <c r="FR207" i="54" s="1"/>
  <c r="GB206" i="54"/>
  <c r="GD206" i="54" s="1"/>
  <c r="FY207" i="54" s="1"/>
  <c r="GC207" i="54"/>
  <c r="FM207" i="54"/>
  <c r="FL207" i="54"/>
  <c r="FJ207" i="54"/>
  <c r="FX207" i="54" l="1"/>
  <c r="FZ207" i="54"/>
  <c r="GA207" i="54"/>
  <c r="FQ207" i="54"/>
  <c r="FT207" i="54"/>
  <c r="FS207" i="54"/>
  <c r="FO208" i="54"/>
  <c r="FN207" i="54"/>
  <c r="FP207" i="54" s="1"/>
  <c r="FK208" i="54" s="1"/>
  <c r="GJ208" i="54"/>
  <c r="GI207" i="54"/>
  <c r="GK207" i="54" s="1"/>
  <c r="GF208" i="54" s="1"/>
  <c r="GG208" i="54" l="1"/>
  <c r="GE208" i="54"/>
  <c r="GH208" i="54"/>
  <c r="FV208" i="54"/>
  <c r="FU207" i="54"/>
  <c r="FW207" i="54" s="1"/>
  <c r="FR208" i="54" s="1"/>
  <c r="GB207" i="54"/>
  <c r="GD207" i="54" s="1"/>
  <c r="FY208" i="54" s="1"/>
  <c r="GC208" i="54"/>
  <c r="FJ208" i="54"/>
  <c r="FM208" i="54"/>
  <c r="FL208" i="54"/>
  <c r="FX208" i="54" l="1"/>
  <c r="GA208" i="54"/>
  <c r="FZ208" i="54"/>
  <c r="FT208" i="54"/>
  <c r="FS208" i="54"/>
  <c r="FQ208" i="54"/>
  <c r="FO209" i="54"/>
  <c r="FN208" i="54"/>
  <c r="FP208" i="54" s="1"/>
  <c r="FK209" i="54" s="1"/>
  <c r="GJ209" i="54"/>
  <c r="GI208" i="54"/>
  <c r="GK208" i="54" s="1"/>
  <c r="GF209" i="54" s="1"/>
  <c r="FL209" i="54" l="1"/>
  <c r="FJ209" i="54"/>
  <c r="FM209" i="54"/>
  <c r="FV209" i="54"/>
  <c r="FU208" i="54"/>
  <c r="FW208" i="54" s="1"/>
  <c r="FR209" i="54" s="1"/>
  <c r="GC209" i="54"/>
  <c r="GB208" i="54"/>
  <c r="GD208" i="54" s="1"/>
  <c r="FY209" i="54" s="1"/>
  <c r="GE209" i="54"/>
  <c r="GG209" i="54"/>
  <c r="GH209" i="54"/>
  <c r="FS209" i="54" l="1"/>
  <c r="FQ209" i="54"/>
  <c r="FT209" i="54"/>
  <c r="GJ210" i="54"/>
  <c r="GI209" i="54"/>
  <c r="GK209" i="54" s="1"/>
  <c r="GF210" i="54" s="1"/>
  <c r="GA209" i="54"/>
  <c r="FZ209" i="54"/>
  <c r="FX209" i="54"/>
  <c r="FO210" i="54"/>
  <c r="FN209" i="54"/>
  <c r="FP209" i="54" s="1"/>
  <c r="FK210" i="54" s="1"/>
  <c r="FL210" i="54" l="1"/>
  <c r="FJ210" i="54"/>
  <c r="FM210" i="54"/>
  <c r="GE210" i="54"/>
  <c r="GG210" i="54"/>
  <c r="GH210" i="54"/>
  <c r="GC210" i="54"/>
  <c r="GB209" i="54"/>
  <c r="GD209" i="54" s="1"/>
  <c r="FY210" i="54" s="1"/>
  <c r="FU209" i="54"/>
  <c r="FW209" i="54" s="1"/>
  <c r="FR210" i="54" s="1"/>
  <c r="FV210" i="54"/>
  <c r="GJ211" i="54" l="1"/>
  <c r="GI210" i="54"/>
  <c r="GK210" i="54" s="1"/>
  <c r="GF211" i="54" s="1"/>
  <c r="FS210" i="54"/>
  <c r="FT210" i="54"/>
  <c r="FQ210" i="54"/>
  <c r="GA210" i="54"/>
  <c r="FX210" i="54"/>
  <c r="FZ210" i="54"/>
  <c r="FN210" i="54"/>
  <c r="FP210" i="54" s="1"/>
  <c r="FK211" i="54" s="1"/>
  <c r="FO211" i="54"/>
  <c r="FL211" i="54" l="1"/>
  <c r="FJ211" i="54"/>
  <c r="FM211" i="54"/>
  <c r="GH211" i="54"/>
  <c r="GE211" i="54"/>
  <c r="GG211" i="54"/>
  <c r="FV211" i="54"/>
  <c r="FU210" i="54"/>
  <c r="FW210" i="54" s="1"/>
  <c r="FR211" i="54" s="1"/>
  <c r="GB210" i="54"/>
  <c r="GD210" i="54" s="1"/>
  <c r="FY211" i="54" s="1"/>
  <c r="GC211" i="54"/>
  <c r="FZ211" i="54" l="1"/>
  <c r="GA211" i="54"/>
  <c r="FX211" i="54"/>
  <c r="GI211" i="54"/>
  <c r="GK211" i="54" s="1"/>
  <c r="GF212" i="54" s="1"/>
  <c r="GJ212" i="54"/>
  <c r="FT211" i="54"/>
  <c r="FQ211" i="54"/>
  <c r="FS211" i="54"/>
  <c r="FO212" i="54"/>
  <c r="FN211" i="54"/>
  <c r="FP211" i="54" s="1"/>
  <c r="FK212" i="54" s="1"/>
  <c r="GG212" i="54" l="1"/>
  <c r="GH212" i="54"/>
  <c r="GE212" i="54"/>
  <c r="FL212" i="54"/>
  <c r="FM212" i="54"/>
  <c r="FJ212" i="54"/>
  <c r="FU211" i="54"/>
  <c r="FW211" i="54" s="1"/>
  <c r="FR212" i="54" s="1"/>
  <c r="FV212" i="54"/>
  <c r="GC212" i="54"/>
  <c r="GB211" i="54"/>
  <c r="GD211" i="54" s="1"/>
  <c r="FY212" i="54" s="1"/>
  <c r="FS212" i="54" l="1"/>
  <c r="FQ212" i="54"/>
  <c r="FT212" i="54"/>
  <c r="FO213" i="54"/>
  <c r="FN212" i="54"/>
  <c r="FP212" i="54" s="1"/>
  <c r="FK213" i="54" s="1"/>
  <c r="FZ212" i="54"/>
  <c r="GA212" i="54"/>
  <c r="FX212" i="54"/>
  <c r="GI212" i="54"/>
  <c r="GK212" i="54" s="1"/>
  <c r="GF213" i="54" s="1"/>
  <c r="GJ213" i="54"/>
  <c r="GB212" i="54" l="1"/>
  <c r="GC213" i="54"/>
  <c r="GH213" i="54"/>
  <c r="GG213" i="54"/>
  <c r="GE213" i="54"/>
  <c r="GD212" i="54"/>
  <c r="FY213" i="54" s="1"/>
  <c r="FJ213" i="54"/>
  <c r="FM213" i="54"/>
  <c r="FL213" i="54"/>
  <c r="FV213" i="54"/>
  <c r="FU212" i="54"/>
  <c r="FW212" i="54" s="1"/>
  <c r="FR213" i="54" s="1"/>
  <c r="FX213" i="54" l="1"/>
  <c r="FZ213" i="54"/>
  <c r="GA213" i="54"/>
  <c r="GJ214" i="54"/>
  <c r="GI213" i="54"/>
  <c r="GK213" i="54" s="1"/>
  <c r="GF214" i="54" s="1"/>
  <c r="FO214" i="54"/>
  <c r="FN213" i="54"/>
  <c r="FQ213" i="54"/>
  <c r="FS213" i="54"/>
  <c r="FT213" i="54"/>
  <c r="FP213" i="54"/>
  <c r="FK214" i="54" s="1"/>
  <c r="GG214" i="54" l="1"/>
  <c r="GE214" i="54"/>
  <c r="GH214" i="54"/>
  <c r="FL214" i="54"/>
  <c r="FJ214" i="54"/>
  <c r="FM214" i="54"/>
  <c r="GC214" i="54"/>
  <c r="GB213" i="54"/>
  <c r="GD213" i="54" s="1"/>
  <c r="FY214" i="54" s="1"/>
  <c r="FV214" i="54"/>
  <c r="FU213" i="54"/>
  <c r="FW213" i="54" s="1"/>
  <c r="FR214" i="54" s="1"/>
  <c r="FO215" i="54" l="1"/>
  <c r="FN214" i="54"/>
  <c r="FP214" i="54" s="1"/>
  <c r="FK215" i="54" s="1"/>
  <c r="FQ214" i="54"/>
  <c r="FT214" i="54"/>
  <c r="FS214" i="54"/>
  <c r="FZ214" i="54"/>
  <c r="FX214" i="54"/>
  <c r="GA214" i="54"/>
  <c r="GJ215" i="54"/>
  <c r="GI214" i="54"/>
  <c r="GK214" i="54" s="1"/>
  <c r="GF215" i="54" s="1"/>
  <c r="FL215" i="54" l="1"/>
  <c r="FJ215" i="54"/>
  <c r="FM215" i="54"/>
  <c r="FU214" i="54"/>
  <c r="FW214" i="54" s="1"/>
  <c r="FR215" i="54" s="1"/>
  <c r="FV215" i="54"/>
  <c r="GE215" i="54"/>
  <c r="GG215" i="54"/>
  <c r="GH215" i="54"/>
  <c r="GB214" i="54"/>
  <c r="GD214" i="54" s="1"/>
  <c r="FY215" i="54" s="1"/>
  <c r="GC215" i="54"/>
  <c r="FX215" i="54" l="1"/>
  <c r="FZ215" i="54"/>
  <c r="GA215" i="54"/>
  <c r="FS215" i="54"/>
  <c r="FT215" i="54"/>
  <c r="FQ215" i="54"/>
  <c r="GJ216" i="54"/>
  <c r="GI215" i="54"/>
  <c r="GK215" i="54" s="1"/>
  <c r="GF216" i="54" s="1"/>
  <c r="FO216" i="54"/>
  <c r="FN215" i="54"/>
  <c r="FP215" i="54" s="1"/>
  <c r="FK216" i="54" s="1"/>
  <c r="FM216" i="54" l="1"/>
  <c r="FL216" i="54"/>
  <c r="FJ216" i="54"/>
  <c r="GH216" i="54"/>
  <c r="GE216" i="54"/>
  <c r="GG216" i="54"/>
  <c r="FU215" i="54"/>
  <c r="FW215" i="54" s="1"/>
  <c r="FR216" i="54" s="1"/>
  <c r="FV216" i="54"/>
  <c r="GB215" i="54"/>
  <c r="GD215" i="54" s="1"/>
  <c r="FY216" i="54" s="1"/>
  <c r="GC216" i="54"/>
  <c r="FZ216" i="54" l="1"/>
  <c r="FX216" i="54"/>
  <c r="GA216" i="54"/>
  <c r="GJ217" i="54"/>
  <c r="GI216" i="54"/>
  <c r="GK216" i="54" s="1"/>
  <c r="GF217" i="54" s="1"/>
  <c r="FO217" i="54"/>
  <c r="FN216" i="54"/>
  <c r="FP216" i="54" s="1"/>
  <c r="FK217" i="54" s="1"/>
  <c r="FQ216" i="54"/>
  <c r="FT216" i="54"/>
  <c r="FS216" i="54"/>
  <c r="FL217" i="54" l="1"/>
  <c r="FJ217" i="54"/>
  <c r="FM217" i="54"/>
  <c r="GG217" i="54"/>
  <c r="GE217" i="54"/>
  <c r="GH217" i="54"/>
  <c r="FV217" i="54"/>
  <c r="FU216" i="54"/>
  <c r="FW216" i="54" s="1"/>
  <c r="FR217" i="54" s="1"/>
  <c r="GB216" i="54"/>
  <c r="GD216" i="54" s="1"/>
  <c r="FY217" i="54" s="1"/>
  <c r="GC217" i="54"/>
  <c r="GJ218" i="54" l="1"/>
  <c r="GI217" i="54"/>
  <c r="GK217" i="54" s="1"/>
  <c r="GF218" i="54" s="1"/>
  <c r="FX217" i="54"/>
  <c r="FZ217" i="54"/>
  <c r="GA217" i="54"/>
  <c r="FT217" i="54"/>
  <c r="FQ217" i="54"/>
  <c r="FS217" i="54"/>
  <c r="FO218" i="54"/>
  <c r="FN217" i="54"/>
  <c r="FP217" i="54" s="1"/>
  <c r="FK218" i="54" s="1"/>
  <c r="GE218" i="54" l="1"/>
  <c r="GG218" i="54"/>
  <c r="GH218" i="54"/>
  <c r="GC218" i="54"/>
  <c r="GB217" i="54"/>
  <c r="GD217" i="54" s="1"/>
  <c r="FY218" i="54" s="1"/>
  <c r="FJ218" i="54"/>
  <c r="FL218" i="54"/>
  <c r="FM218" i="54"/>
  <c r="FV218" i="54"/>
  <c r="FU217" i="54"/>
  <c r="FW217" i="54" s="1"/>
  <c r="FR218" i="54" s="1"/>
  <c r="FZ218" i="54" l="1"/>
  <c r="FX218" i="54"/>
  <c r="GA218" i="54"/>
  <c r="FQ218" i="54"/>
  <c r="FS218" i="54"/>
  <c r="FT218" i="54"/>
  <c r="GI218" i="54"/>
  <c r="GK218" i="54" s="1"/>
  <c r="GF219" i="54" s="1"/>
  <c r="GJ219" i="54"/>
  <c r="FN218" i="54"/>
  <c r="FP218" i="54" s="1"/>
  <c r="FK219" i="54" s="1"/>
  <c r="FO219" i="54"/>
  <c r="FL219" i="54" l="1"/>
  <c r="FJ219" i="54"/>
  <c r="FM219" i="54"/>
  <c r="FV219" i="54"/>
  <c r="FU218" i="54"/>
  <c r="FW218" i="54" s="1"/>
  <c r="FR219" i="54" s="1"/>
  <c r="GH219" i="54"/>
  <c r="GE219" i="54"/>
  <c r="GG219" i="54"/>
  <c r="GB218" i="54"/>
  <c r="GD218" i="54" s="1"/>
  <c r="FY219" i="54" s="1"/>
  <c r="GC219" i="54"/>
  <c r="FS219" i="54" l="1"/>
  <c r="FQ219" i="54"/>
  <c r="FT219" i="54"/>
  <c r="FZ219" i="54"/>
  <c r="GA219" i="54"/>
  <c r="FX219" i="54"/>
  <c r="GJ220" i="54"/>
  <c r="GI219" i="54"/>
  <c r="GK219" i="54" s="1"/>
  <c r="GF220" i="54" s="1"/>
  <c r="FN219" i="54"/>
  <c r="FP219" i="54" s="1"/>
  <c r="FK220" i="54" s="1"/>
  <c r="FO220" i="54"/>
  <c r="GG220" i="54" l="1"/>
  <c r="GE220" i="54"/>
  <c r="GH220" i="54"/>
  <c r="FL220" i="54"/>
  <c r="FJ220" i="54"/>
  <c r="FM220" i="54"/>
  <c r="GC220" i="54"/>
  <c r="GB219" i="54"/>
  <c r="GD219" i="54" s="1"/>
  <c r="FY220" i="54" s="1"/>
  <c r="FV220" i="54"/>
  <c r="FU219" i="54"/>
  <c r="FW219" i="54" s="1"/>
  <c r="FR220" i="54" s="1"/>
  <c r="GA220" i="54" l="1"/>
  <c r="FZ220" i="54"/>
  <c r="FX220" i="54"/>
  <c r="FS220" i="54"/>
  <c r="FQ220" i="54"/>
  <c r="FT220" i="54"/>
  <c r="FO221" i="54"/>
  <c r="FN220" i="54"/>
  <c r="FP220" i="54" s="1"/>
  <c r="FK221" i="54" s="1"/>
  <c r="GJ221" i="54"/>
  <c r="GI220" i="54"/>
  <c r="GK220" i="54" s="1"/>
  <c r="GF221" i="54" s="1"/>
  <c r="FL221" i="54" l="1"/>
  <c r="FJ221" i="54"/>
  <c r="FM221" i="54"/>
  <c r="FV221" i="54"/>
  <c r="FU220" i="54"/>
  <c r="FW220" i="54" s="1"/>
  <c r="FR221" i="54" s="1"/>
  <c r="GG221" i="54"/>
  <c r="GH221" i="54"/>
  <c r="GE221" i="54"/>
  <c r="GC221" i="54"/>
  <c r="GB220" i="54"/>
  <c r="GD220" i="54" s="1"/>
  <c r="FY221" i="54" s="1"/>
  <c r="GJ222" i="54" l="1"/>
  <c r="GI221" i="54"/>
  <c r="GK221" i="54" s="1"/>
  <c r="GF222" i="54" s="1"/>
  <c r="FT221" i="54"/>
  <c r="FS221" i="54"/>
  <c r="FQ221" i="54"/>
  <c r="FZ221" i="54"/>
  <c r="FX221" i="54"/>
  <c r="GA221" i="54"/>
  <c r="FO222" i="54"/>
  <c r="FN221" i="54"/>
  <c r="FP221" i="54" s="1"/>
  <c r="FK222" i="54" s="1"/>
  <c r="FL222" i="54" l="1"/>
  <c r="FJ222" i="54"/>
  <c r="FM222" i="54"/>
  <c r="GC222" i="54"/>
  <c r="GB221" i="54"/>
  <c r="GD221" i="54" s="1"/>
  <c r="FY222" i="54" s="1"/>
  <c r="FV222" i="54"/>
  <c r="FU221" i="54"/>
  <c r="FW221" i="54" s="1"/>
  <c r="FR222" i="54" s="1"/>
  <c r="GH222" i="54"/>
  <c r="GE222" i="54"/>
  <c r="GG222" i="54"/>
  <c r="FX222" i="54" l="1"/>
  <c r="FZ222" i="54"/>
  <c r="GA222" i="54"/>
  <c r="GJ223" i="54"/>
  <c r="GI222" i="54"/>
  <c r="GK222" i="54" s="1"/>
  <c r="GF223" i="54" s="1"/>
  <c r="FQ222" i="54"/>
  <c r="FS222" i="54"/>
  <c r="FT222" i="54"/>
  <c r="FN222" i="54"/>
  <c r="FP222" i="54" s="1"/>
  <c r="FK223" i="54" s="1"/>
  <c r="FO223" i="54"/>
  <c r="GE223" i="54" l="1"/>
  <c r="GG223" i="54"/>
  <c r="GH223" i="54"/>
  <c r="FJ223" i="54"/>
  <c r="FM223" i="54"/>
  <c r="FL223" i="54"/>
  <c r="FU222" i="54"/>
  <c r="FW222" i="54" s="1"/>
  <c r="FR223" i="54" s="1"/>
  <c r="FV223" i="54"/>
  <c r="GC223" i="54"/>
  <c r="GB222" i="54"/>
  <c r="GD222" i="54" s="1"/>
  <c r="FY223" i="54" s="1"/>
  <c r="FZ223" i="54" l="1"/>
  <c r="GA223" i="54"/>
  <c r="FX223" i="54"/>
  <c r="FN223" i="54"/>
  <c r="FP223" i="54" s="1"/>
  <c r="FK224" i="54" s="1"/>
  <c r="FO224" i="54"/>
  <c r="GJ224" i="54"/>
  <c r="GI223" i="54"/>
  <c r="GK223" i="54" s="1"/>
  <c r="GF224" i="54" s="1"/>
  <c r="FQ223" i="54"/>
  <c r="FT223" i="54"/>
  <c r="FS223" i="54"/>
  <c r="GE224" i="54" l="1"/>
  <c r="GG224" i="54"/>
  <c r="GH224" i="54"/>
  <c r="FU223" i="54"/>
  <c r="FW223" i="54" s="1"/>
  <c r="FR224" i="54" s="1"/>
  <c r="FV224" i="54"/>
  <c r="FL224" i="54"/>
  <c r="FM224" i="54"/>
  <c r="FJ224" i="54"/>
  <c r="GB223" i="54"/>
  <c r="GD223" i="54" s="1"/>
  <c r="FY224" i="54" s="1"/>
  <c r="GC224" i="54"/>
  <c r="GA224" i="54" l="1"/>
  <c r="FZ224" i="54"/>
  <c r="FX224" i="54"/>
  <c r="FO225" i="54"/>
  <c r="FN224" i="54"/>
  <c r="FP224" i="54" s="1"/>
  <c r="FK225" i="54" s="1"/>
  <c r="FQ224" i="54"/>
  <c r="FS224" i="54"/>
  <c r="FT224" i="54"/>
  <c r="GI224" i="54"/>
  <c r="GK224" i="54" s="1"/>
  <c r="GF225" i="54" s="1"/>
  <c r="GJ225" i="54"/>
  <c r="FL225" i="54" l="1"/>
  <c r="FJ225" i="54"/>
  <c r="FM225" i="54"/>
  <c r="GH225" i="54"/>
  <c r="GG225" i="54"/>
  <c r="GE225" i="54"/>
  <c r="GC225" i="54"/>
  <c r="GB224" i="54"/>
  <c r="FV225" i="54"/>
  <c r="FU224" i="54"/>
  <c r="FW224" i="54" s="1"/>
  <c r="FR225" i="54" s="1"/>
  <c r="GD224" i="54"/>
  <c r="FY225" i="54" s="1"/>
  <c r="FZ225" i="54" l="1"/>
  <c r="GA225" i="54"/>
  <c r="FX225" i="54"/>
  <c r="GJ226" i="54"/>
  <c r="GI225" i="54"/>
  <c r="GK225" i="54" s="1"/>
  <c r="GF226" i="54" s="1"/>
  <c r="FS225" i="54"/>
  <c r="FQ225" i="54"/>
  <c r="FT225" i="54"/>
  <c r="FO226" i="54"/>
  <c r="FN225" i="54"/>
  <c r="FP225" i="54" s="1"/>
  <c r="FK226" i="54" s="1"/>
  <c r="FJ226" i="54" l="1"/>
  <c r="FL226" i="54"/>
  <c r="FM226" i="54"/>
  <c r="FV226" i="54"/>
  <c r="FU225" i="54"/>
  <c r="FW225" i="54" s="1"/>
  <c r="FR226" i="54" s="1"/>
  <c r="GG226" i="54"/>
  <c r="GE226" i="54"/>
  <c r="GH226" i="54"/>
  <c r="GB225" i="54"/>
  <c r="GD225" i="54" s="1"/>
  <c r="FY226" i="54" s="1"/>
  <c r="GC226" i="54"/>
  <c r="GJ227" i="54" l="1"/>
  <c r="GI226" i="54"/>
  <c r="FT226" i="54"/>
  <c r="FQ226" i="54"/>
  <c r="FS226" i="54"/>
  <c r="FZ226" i="54"/>
  <c r="FX226" i="54"/>
  <c r="GA226" i="54"/>
  <c r="FO227" i="54"/>
  <c r="FN226" i="54"/>
  <c r="FP226" i="54" s="1"/>
  <c r="FK227" i="54" s="1"/>
  <c r="GK226" i="54"/>
  <c r="GF227" i="54" s="1"/>
  <c r="FJ227" i="54" l="1"/>
  <c r="FM227" i="54"/>
  <c r="FL227" i="54"/>
  <c r="GC227" i="54"/>
  <c r="GB226" i="54"/>
  <c r="GD226" i="54" s="1"/>
  <c r="FY227" i="54" s="1"/>
  <c r="FV227" i="54"/>
  <c r="FU226" i="54"/>
  <c r="FW226" i="54" s="1"/>
  <c r="FR227" i="54" s="1"/>
  <c r="GG227" i="54"/>
  <c r="GH227" i="54"/>
  <c r="GE227" i="54"/>
  <c r="GA227" i="54" l="1"/>
  <c r="FZ227" i="54"/>
  <c r="FX227" i="54"/>
  <c r="GK227" i="54"/>
  <c r="GF228" i="54" s="1"/>
  <c r="FO228" i="54"/>
  <c r="FN227" i="54"/>
  <c r="FP227" i="54" s="1"/>
  <c r="FK228" i="54" s="1"/>
  <c r="GI227" i="54"/>
  <c r="GJ228" i="54"/>
  <c r="FS227" i="54"/>
  <c r="FQ227" i="54"/>
  <c r="FT227" i="54"/>
  <c r="FL228" i="54" l="1"/>
  <c r="FJ228" i="54"/>
  <c r="FM228" i="54"/>
  <c r="GG228" i="54"/>
  <c r="GE228" i="54"/>
  <c r="GH228" i="54"/>
  <c r="FV228" i="54"/>
  <c r="FU227" i="54"/>
  <c r="FW227" i="54" s="1"/>
  <c r="FR228" i="54" s="1"/>
  <c r="GB227" i="54"/>
  <c r="GD227" i="54" s="1"/>
  <c r="FY228" i="54" s="1"/>
  <c r="GC228" i="54"/>
  <c r="GJ229" i="54" l="1"/>
  <c r="GI228" i="54"/>
  <c r="GK228" i="54" s="1"/>
  <c r="GF229" i="54" s="1"/>
  <c r="FX228" i="54"/>
  <c r="FZ228" i="54"/>
  <c r="GA228" i="54"/>
  <c r="FS228" i="54"/>
  <c r="FT228" i="54"/>
  <c r="FQ228" i="54"/>
  <c r="FN228" i="54"/>
  <c r="FP228" i="54" s="1"/>
  <c r="FK229" i="54" s="1"/>
  <c r="FO229" i="54"/>
  <c r="FJ229" i="54" l="1"/>
  <c r="FL229" i="54"/>
  <c r="FM229" i="54"/>
  <c r="GE229" i="54"/>
  <c r="GG229" i="54"/>
  <c r="GH229" i="54"/>
  <c r="GB228" i="54"/>
  <c r="GD228" i="54" s="1"/>
  <c r="FY229" i="54" s="1"/>
  <c r="GC229" i="54"/>
  <c r="FV229" i="54"/>
  <c r="FU228" i="54"/>
  <c r="FW228" i="54" s="1"/>
  <c r="FR229" i="54" s="1"/>
  <c r="GJ230" i="54" l="1"/>
  <c r="GI229" i="54"/>
  <c r="GK229" i="54" s="1"/>
  <c r="GF230" i="54" s="1"/>
  <c r="FT229" i="54"/>
  <c r="FQ229" i="54"/>
  <c r="FS229" i="54"/>
  <c r="FO230" i="54"/>
  <c r="FN229" i="54"/>
  <c r="FP229" i="54" s="1"/>
  <c r="FK230" i="54" s="1"/>
  <c r="FX229" i="54"/>
  <c r="FZ229" i="54"/>
  <c r="GA229" i="54"/>
  <c r="FV230" i="54" l="1"/>
  <c r="FU229" i="54"/>
  <c r="FW229" i="54" s="1"/>
  <c r="FR230" i="54" s="1"/>
  <c r="GG230" i="54"/>
  <c r="GE230" i="54"/>
  <c r="GH230" i="54"/>
  <c r="GB229" i="54"/>
  <c r="GD229" i="54" s="1"/>
  <c r="FY230" i="54" s="1"/>
  <c r="GC230" i="54"/>
  <c r="FL230" i="54"/>
  <c r="FM230" i="54"/>
  <c r="FJ230" i="54"/>
  <c r="FX230" i="54" l="1"/>
  <c r="FZ230" i="54"/>
  <c r="GA230" i="54"/>
  <c r="FO231" i="54"/>
  <c r="FN230" i="54"/>
  <c r="FP230" i="54" s="1"/>
  <c r="FK231" i="54" s="1"/>
  <c r="GI230" i="54"/>
  <c r="GK230" i="54" s="1"/>
  <c r="GF231" i="54" s="1"/>
  <c r="GJ231" i="54"/>
  <c r="FT230" i="54"/>
  <c r="FS230" i="54"/>
  <c r="FQ230" i="54"/>
  <c r="FL231" i="54" l="1"/>
  <c r="FJ231" i="54"/>
  <c r="FM231" i="54"/>
  <c r="GG231" i="54"/>
  <c r="GE231" i="54"/>
  <c r="GH231" i="54"/>
  <c r="FU230" i="54"/>
  <c r="FW230" i="54" s="1"/>
  <c r="FR231" i="54" s="1"/>
  <c r="FV231" i="54"/>
  <c r="GB230" i="54"/>
  <c r="GD230" i="54" s="1"/>
  <c r="FY231" i="54" s="1"/>
  <c r="GC231" i="54"/>
  <c r="GA231" i="54" l="1"/>
  <c r="FX231" i="54"/>
  <c r="FZ231" i="54"/>
  <c r="GJ232" i="54"/>
  <c r="GI231" i="54"/>
  <c r="GK231" i="54" s="1"/>
  <c r="GF232" i="54" s="1"/>
  <c r="FT231" i="54"/>
  <c r="FQ231" i="54"/>
  <c r="FS231" i="54"/>
  <c r="FO232" i="54"/>
  <c r="FN231" i="54"/>
  <c r="FP231" i="54" s="1"/>
  <c r="FK232" i="54" s="1"/>
  <c r="GG232" i="54" l="1"/>
  <c r="GE232" i="54"/>
  <c r="GH232" i="54"/>
  <c r="FM232" i="54"/>
  <c r="FL232" i="54"/>
  <c r="FJ232" i="54"/>
  <c r="FV232" i="54"/>
  <c r="FU231" i="54"/>
  <c r="FW231" i="54" s="1"/>
  <c r="FR232" i="54" s="1"/>
  <c r="GC232" i="54"/>
  <c r="GB231" i="54"/>
  <c r="GD231" i="54" s="1"/>
  <c r="FY232" i="54" s="1"/>
  <c r="FO233" i="54" l="1"/>
  <c r="FN232" i="54"/>
  <c r="FP232" i="54" s="1"/>
  <c r="FK233" i="54" s="1"/>
  <c r="FX232" i="54"/>
  <c r="FZ232" i="54"/>
  <c r="GA232" i="54"/>
  <c r="FQ232" i="54"/>
  <c r="FT232" i="54"/>
  <c r="FS232" i="54"/>
  <c r="GJ233" i="54"/>
  <c r="GI232" i="54"/>
  <c r="GK232" i="54" s="1"/>
  <c r="GF233" i="54" s="1"/>
  <c r="GE233" i="54" l="1"/>
  <c r="GG233" i="54"/>
  <c r="GH233" i="54"/>
  <c r="GB232" i="54"/>
  <c r="GD232" i="54" s="1"/>
  <c r="FY233" i="54" s="1"/>
  <c r="GC233" i="54"/>
  <c r="FV233" i="54"/>
  <c r="FU232" i="54"/>
  <c r="FW232" i="54" s="1"/>
  <c r="FR233" i="54" s="1"/>
  <c r="FJ233" i="54"/>
  <c r="FL233" i="54"/>
  <c r="FM233" i="54"/>
  <c r="FZ233" i="54" l="1"/>
  <c r="FX233" i="54"/>
  <c r="GA233" i="54"/>
  <c r="FN233" i="54"/>
  <c r="FP233" i="54" s="1"/>
  <c r="FK234" i="54" s="1"/>
  <c r="FO234" i="54"/>
  <c r="GJ234" i="54"/>
  <c r="GI233" i="54"/>
  <c r="GK233" i="54" s="1"/>
  <c r="GF234" i="54" s="1"/>
  <c r="FT233" i="54"/>
  <c r="FQ233" i="54"/>
  <c r="FS233" i="54"/>
  <c r="FL234" i="54" l="1"/>
  <c r="FJ234" i="54"/>
  <c r="FM234" i="54"/>
  <c r="GH234" i="54"/>
  <c r="GE234" i="54"/>
  <c r="GG234" i="54"/>
  <c r="FU233" i="54"/>
  <c r="FW233" i="54" s="1"/>
  <c r="FR234" i="54" s="1"/>
  <c r="FV234" i="54"/>
  <c r="GC234" i="54"/>
  <c r="GB233" i="54"/>
  <c r="GD233" i="54" s="1"/>
  <c r="FY234" i="54" s="1"/>
  <c r="GJ235" i="54" l="1"/>
  <c r="GI234" i="54"/>
  <c r="GK234" i="54" s="1"/>
  <c r="GF235" i="54" s="1"/>
  <c r="FQ234" i="54"/>
  <c r="FT234" i="54"/>
  <c r="FS234" i="54"/>
  <c r="FZ234" i="54"/>
  <c r="GA234" i="54"/>
  <c r="FX234" i="54"/>
  <c r="FO235" i="54"/>
  <c r="FN234" i="54"/>
  <c r="FP234" i="54" s="1"/>
  <c r="FK235" i="54" s="1"/>
  <c r="FM235" i="54" l="1"/>
  <c r="FL235" i="54"/>
  <c r="FJ235" i="54"/>
  <c r="GC235" i="54"/>
  <c r="GB234" i="54"/>
  <c r="GD234" i="54" s="1"/>
  <c r="FY235" i="54" s="1"/>
  <c r="FV235" i="54"/>
  <c r="FU234" i="54"/>
  <c r="FW234" i="54" s="1"/>
  <c r="FR235" i="54" s="1"/>
  <c r="GG235" i="54"/>
  <c r="GE235" i="54"/>
  <c r="GH235" i="54"/>
  <c r="FX235" i="54" l="1"/>
  <c r="GA235" i="54"/>
  <c r="FZ235" i="54"/>
  <c r="GI235" i="54"/>
  <c r="GK235" i="54" s="1"/>
  <c r="GF236" i="54" s="1"/>
  <c r="GJ236" i="54"/>
  <c r="FN235" i="54"/>
  <c r="FP235" i="54" s="1"/>
  <c r="FK236" i="54" s="1"/>
  <c r="FO236" i="54"/>
  <c r="FS235" i="54"/>
  <c r="FT235" i="54"/>
  <c r="FQ235" i="54"/>
  <c r="GE236" i="54" l="1"/>
  <c r="GG236" i="54"/>
  <c r="GH236" i="54"/>
  <c r="GC236" i="54"/>
  <c r="GB235" i="54"/>
  <c r="GD235" i="54" s="1"/>
  <c r="FY236" i="54" s="1"/>
  <c r="FV236" i="54"/>
  <c r="FU235" i="54"/>
  <c r="FW235" i="54" s="1"/>
  <c r="FR236" i="54" s="1"/>
  <c r="FL236" i="54"/>
  <c r="FM236" i="54"/>
  <c r="FJ236" i="54"/>
  <c r="GA236" i="54" l="1"/>
  <c r="FZ236" i="54"/>
  <c r="FX236" i="54"/>
  <c r="FO237" i="54"/>
  <c r="FN236" i="54"/>
  <c r="FP236" i="54" s="1"/>
  <c r="FK237" i="54" s="1"/>
  <c r="GJ237" i="54"/>
  <c r="GI236" i="54"/>
  <c r="GK236" i="54" s="1"/>
  <c r="GF237" i="54" s="1"/>
  <c r="FQ236" i="54"/>
  <c r="FS236" i="54"/>
  <c r="FT236" i="54"/>
  <c r="FL237" i="54" l="1"/>
  <c r="FJ237" i="54"/>
  <c r="FM237" i="54"/>
  <c r="FU236" i="54"/>
  <c r="FW236" i="54" s="1"/>
  <c r="FR237" i="54" s="1"/>
  <c r="FV237" i="54"/>
  <c r="GB236" i="54"/>
  <c r="GD236" i="54" s="1"/>
  <c r="FY237" i="54" s="1"/>
  <c r="GC237" i="54"/>
  <c r="GG237" i="54"/>
  <c r="GE237" i="54"/>
  <c r="GH237" i="54"/>
  <c r="FT237" i="54" l="1"/>
  <c r="FS237" i="54"/>
  <c r="FQ237" i="54"/>
  <c r="GJ238" i="54"/>
  <c r="GI237" i="54"/>
  <c r="GK237" i="54" s="1"/>
  <c r="GF238" i="54" s="1"/>
  <c r="GA237" i="54"/>
  <c r="FX237" i="54"/>
  <c r="FZ237" i="54"/>
  <c r="FO238" i="54"/>
  <c r="FN237" i="54"/>
  <c r="FP237" i="54" s="1"/>
  <c r="FK238" i="54" s="1"/>
  <c r="GE238" i="54" l="1"/>
  <c r="GH238" i="54"/>
  <c r="GG238" i="54"/>
  <c r="FM238" i="54"/>
  <c r="FL238" i="54"/>
  <c r="FJ238" i="54"/>
  <c r="GC238" i="54"/>
  <c r="GB237" i="54"/>
  <c r="GD237" i="54" s="1"/>
  <c r="FY238" i="54" s="1"/>
  <c r="FV238" i="54"/>
  <c r="FU237" i="54"/>
  <c r="FW237" i="54" s="1"/>
  <c r="FR238" i="54" s="1"/>
  <c r="FO239" i="54" l="1"/>
  <c r="FN238" i="54"/>
  <c r="FP238" i="54" s="1"/>
  <c r="FK239" i="54" s="1"/>
  <c r="GI238" i="54"/>
  <c r="GK238" i="54" s="1"/>
  <c r="GF239" i="54" s="1"/>
  <c r="GJ239" i="54"/>
  <c r="FS238" i="54"/>
  <c r="FQ238" i="54"/>
  <c r="FT238" i="54"/>
  <c r="FX238" i="54"/>
  <c r="GA238" i="54"/>
  <c r="FZ238" i="54"/>
  <c r="FV239" i="54" l="1"/>
  <c r="FU238" i="54"/>
  <c r="FW238" i="54" s="1"/>
  <c r="FR239" i="54" s="1"/>
  <c r="GC239" i="54"/>
  <c r="GB238" i="54"/>
  <c r="GD238" i="54" s="1"/>
  <c r="FY239" i="54" s="1"/>
  <c r="GE239" i="54"/>
  <c r="GG239" i="54"/>
  <c r="GH239" i="54"/>
  <c r="FJ239" i="54"/>
  <c r="FM239" i="54"/>
  <c r="FL239" i="54"/>
  <c r="FX239" i="54" l="1"/>
  <c r="FZ239" i="54"/>
  <c r="GA239" i="54"/>
  <c r="FO240" i="54"/>
  <c r="FN239" i="54"/>
  <c r="FP239" i="54" s="1"/>
  <c r="FK240" i="54" s="1"/>
  <c r="GI239" i="54"/>
  <c r="GK239" i="54" s="1"/>
  <c r="GF240" i="54" s="1"/>
  <c r="GJ240" i="54"/>
  <c r="FS239" i="54"/>
  <c r="FQ239" i="54"/>
  <c r="FT239" i="54"/>
  <c r="GG240" i="54" l="1"/>
  <c r="GH240" i="54"/>
  <c r="GE240" i="54"/>
  <c r="FL240" i="54"/>
  <c r="FJ240" i="54"/>
  <c r="FM240" i="54"/>
  <c r="GC240" i="54"/>
  <c r="GB239" i="54"/>
  <c r="GD239" i="54" s="1"/>
  <c r="FY240" i="54" s="1"/>
  <c r="FV240" i="54"/>
  <c r="FU239" i="54"/>
  <c r="FW239" i="54" s="1"/>
  <c r="FR240" i="54" s="1"/>
  <c r="GA240" i="54" l="1"/>
  <c r="FX240" i="54"/>
  <c r="FZ240" i="54"/>
  <c r="FT240" i="54"/>
  <c r="FQ240" i="54"/>
  <c r="FS240" i="54"/>
  <c r="FN240" i="54"/>
  <c r="FP240" i="54" s="1"/>
  <c r="FK241" i="54" s="1"/>
  <c r="FO241" i="54"/>
  <c r="GJ241" i="54"/>
  <c r="GI240" i="54"/>
  <c r="GK240" i="54" s="1"/>
  <c r="GF241" i="54" s="1"/>
  <c r="GE241" i="54" l="1"/>
  <c r="GG241" i="54"/>
  <c r="GH241" i="54"/>
  <c r="FV241" i="54"/>
  <c r="FU240" i="54"/>
  <c r="FW240" i="54" s="1"/>
  <c r="FR241" i="54" s="1"/>
  <c r="GC241" i="54"/>
  <c r="GB240" i="54"/>
  <c r="FM241" i="54"/>
  <c r="FL241" i="54"/>
  <c r="FJ241" i="54"/>
  <c r="GD240" i="54"/>
  <c r="FY241" i="54" s="1"/>
  <c r="FQ241" i="54" l="1"/>
  <c r="FT241" i="54"/>
  <c r="FS241" i="54"/>
  <c r="FO242" i="54"/>
  <c r="FN241" i="54"/>
  <c r="FP241" i="54" s="1"/>
  <c r="FK242" i="54" s="1"/>
  <c r="GJ242" i="54"/>
  <c r="GI241" i="54"/>
  <c r="GK241" i="54" s="1"/>
  <c r="GF242" i="54" s="1"/>
  <c r="FZ241" i="54"/>
  <c r="GA241" i="54"/>
  <c r="FX241" i="54"/>
  <c r="GE242" i="54" l="1"/>
  <c r="GG242" i="54"/>
  <c r="GH242" i="54"/>
  <c r="FM242" i="54"/>
  <c r="FJ242" i="54"/>
  <c r="FL242" i="54"/>
  <c r="FV242" i="54"/>
  <c r="FU241" i="54"/>
  <c r="FW241" i="54" s="1"/>
  <c r="FR242" i="54" s="1"/>
  <c r="GC242" i="54"/>
  <c r="GB241" i="54"/>
  <c r="GD241" i="54" s="1"/>
  <c r="FY242" i="54" s="1"/>
  <c r="FX242" i="54" l="1"/>
  <c r="FZ242" i="54"/>
  <c r="GA242" i="54"/>
  <c r="FO243" i="54"/>
  <c r="FN242" i="54"/>
  <c r="FP242" i="54" s="1"/>
  <c r="FK243" i="54" s="1"/>
  <c r="FQ242" i="54"/>
  <c r="FS242" i="54"/>
  <c r="FT242" i="54"/>
  <c r="GI242" i="54"/>
  <c r="GK242" i="54" s="1"/>
  <c r="GF243" i="54" s="1"/>
  <c r="GJ243" i="54"/>
  <c r="FL243" i="54" l="1"/>
  <c r="FJ243" i="54"/>
  <c r="FM243" i="54"/>
  <c r="GG243" i="54"/>
  <c r="GE243" i="54"/>
  <c r="GH243" i="54"/>
  <c r="GB242" i="54"/>
  <c r="GD242" i="54" s="1"/>
  <c r="FY243" i="54" s="1"/>
  <c r="GC243" i="54"/>
  <c r="FV243" i="54"/>
  <c r="FU242" i="54"/>
  <c r="FW242" i="54" s="1"/>
  <c r="FR243" i="54" s="1"/>
  <c r="GI243" i="54" l="1"/>
  <c r="GK243" i="54" s="1"/>
  <c r="GF244" i="54" s="1"/>
  <c r="GJ244" i="54"/>
  <c r="FQ243" i="54"/>
  <c r="FT243" i="54"/>
  <c r="FS243" i="54"/>
  <c r="FZ243" i="54"/>
  <c r="GA243" i="54"/>
  <c r="FX243" i="54"/>
  <c r="FO244" i="54"/>
  <c r="FN243" i="54"/>
  <c r="FP243" i="54" s="1"/>
  <c r="FK244" i="54" s="1"/>
  <c r="FJ244" i="54" l="1"/>
  <c r="FM244" i="54"/>
  <c r="FL244" i="54"/>
  <c r="FV244" i="54"/>
  <c r="FU243" i="54"/>
  <c r="FW243" i="54" s="1"/>
  <c r="FR244" i="54" s="1"/>
  <c r="GB243" i="54"/>
  <c r="GD243" i="54" s="1"/>
  <c r="FY244" i="54" s="1"/>
  <c r="GC244" i="54"/>
  <c r="GG244" i="54"/>
  <c r="GE244" i="54"/>
  <c r="GH244" i="54"/>
  <c r="FX244" i="54" l="1"/>
  <c r="FZ244" i="54"/>
  <c r="GA244" i="54"/>
  <c r="FS244" i="54"/>
  <c r="FQ244" i="54"/>
  <c r="FT244" i="54"/>
  <c r="FO245" i="54"/>
  <c r="FN244" i="54"/>
  <c r="FP244" i="54" s="1"/>
  <c r="FK245" i="54" s="1"/>
  <c r="GJ245" i="54"/>
  <c r="GI244" i="54"/>
  <c r="GK244" i="54" s="1"/>
  <c r="GF245" i="54" s="1"/>
  <c r="GG245" i="54" l="1"/>
  <c r="GH245" i="54"/>
  <c r="GE245" i="54"/>
  <c r="FV245" i="54"/>
  <c r="FU244" i="54"/>
  <c r="FW244" i="54" s="1"/>
  <c r="FR245" i="54" s="1"/>
  <c r="GC245" i="54"/>
  <c r="GB244" i="54"/>
  <c r="GD244" i="54" s="1"/>
  <c r="FY245" i="54" s="1"/>
  <c r="FJ245" i="54"/>
  <c r="FM245" i="54"/>
  <c r="FL245" i="54"/>
  <c r="FZ245" i="54" l="1"/>
  <c r="FX245" i="54"/>
  <c r="GA245" i="54"/>
  <c r="FQ245" i="54"/>
  <c r="FT245" i="54"/>
  <c r="FS245" i="54"/>
  <c r="FP245" i="54"/>
  <c r="FK246" i="54" s="1"/>
  <c r="FO246" i="54"/>
  <c r="FN245" i="54"/>
  <c r="GJ246" i="54"/>
  <c r="GI245" i="54"/>
  <c r="GK245" i="54" s="1"/>
  <c r="GF246" i="54" s="1"/>
  <c r="GE246" i="54" l="1"/>
  <c r="GG246" i="54"/>
  <c r="GH246" i="54"/>
  <c r="FV246" i="54"/>
  <c r="FU245" i="54"/>
  <c r="FW245" i="54" s="1"/>
  <c r="FR246" i="54" s="1"/>
  <c r="FL246" i="54"/>
  <c r="FJ246" i="54"/>
  <c r="FM246" i="54"/>
  <c r="GC246" i="54"/>
  <c r="GB245" i="54"/>
  <c r="GD245" i="54" s="1"/>
  <c r="FY246" i="54" s="1"/>
  <c r="FZ246" i="54" l="1"/>
  <c r="GA246" i="54"/>
  <c r="FX246" i="54"/>
  <c r="FS246" i="54"/>
  <c r="FT246" i="54"/>
  <c r="FQ246" i="54"/>
  <c r="FP246" i="54"/>
  <c r="FK247" i="54" s="1"/>
  <c r="GJ247" i="54"/>
  <c r="GI246" i="54"/>
  <c r="GK246" i="54" s="1"/>
  <c r="GF247" i="54" s="1"/>
  <c r="FN246" i="54"/>
  <c r="FO247" i="54"/>
  <c r="GG247" i="54" l="1"/>
  <c r="GE247" i="54"/>
  <c r="GH247" i="54"/>
  <c r="FV247" i="54"/>
  <c r="FU246" i="54"/>
  <c r="FW246" i="54" s="1"/>
  <c r="FR247" i="54" s="1"/>
  <c r="FL247" i="54"/>
  <c r="FJ247" i="54"/>
  <c r="FM247" i="54"/>
  <c r="GC247" i="54"/>
  <c r="GB246" i="54"/>
  <c r="GD246" i="54" s="1"/>
  <c r="FY247" i="54" s="1"/>
  <c r="FX247" i="54" l="1"/>
  <c r="FZ247" i="54"/>
  <c r="GA247" i="54"/>
  <c r="FO248" i="54"/>
  <c r="FN247" i="54"/>
  <c r="FP247" i="54" s="1"/>
  <c r="FK248" i="54" s="1"/>
  <c r="FQ247" i="54"/>
  <c r="FS247" i="54"/>
  <c r="FT247" i="54"/>
  <c r="GI247" i="54"/>
  <c r="GK247" i="54" s="1"/>
  <c r="GF248" i="54" s="1"/>
  <c r="GJ248" i="54"/>
  <c r="FL248" i="54" l="1"/>
  <c r="FJ248" i="54"/>
  <c r="FM248" i="54"/>
  <c r="GE248" i="54"/>
  <c r="GG248" i="54"/>
  <c r="GH248" i="54"/>
  <c r="GB247" i="54"/>
  <c r="GD247" i="54" s="1"/>
  <c r="FY248" i="54" s="1"/>
  <c r="GC248" i="54"/>
  <c r="FV248" i="54"/>
  <c r="FU247" i="54"/>
  <c r="FW247" i="54" s="1"/>
  <c r="FR248" i="54" s="1"/>
  <c r="FZ248" i="54" l="1"/>
  <c r="GA248" i="54"/>
  <c r="FX248" i="54"/>
  <c r="GJ249" i="54"/>
  <c r="GI248" i="54"/>
  <c r="GK248" i="54" s="1"/>
  <c r="GF249" i="54" s="1"/>
  <c r="FQ248" i="54"/>
  <c r="FS248" i="54"/>
  <c r="FT248" i="54"/>
  <c r="FO249" i="54"/>
  <c r="FN248" i="54"/>
  <c r="FP248" i="54" s="1"/>
  <c r="FK249" i="54" s="1"/>
  <c r="GH249" i="54" l="1"/>
  <c r="GG249" i="54"/>
  <c r="GE249" i="54"/>
  <c r="FL249" i="54"/>
  <c r="FJ249" i="54"/>
  <c r="FM249" i="54"/>
  <c r="FV249" i="54"/>
  <c r="FU248" i="54"/>
  <c r="FW248" i="54" s="1"/>
  <c r="FR249" i="54" s="1"/>
  <c r="GC249" i="54"/>
  <c r="GB248" i="54"/>
  <c r="GD248" i="54" s="1"/>
  <c r="FY249" i="54" s="1"/>
  <c r="FX249" i="54" l="1"/>
  <c r="FZ249" i="54"/>
  <c r="GA249" i="54"/>
  <c r="FT249" i="54"/>
  <c r="FQ249" i="54"/>
  <c r="FS249" i="54"/>
  <c r="FN249" i="54"/>
  <c r="FP249" i="54" s="1"/>
  <c r="FK250" i="54" s="1"/>
  <c r="FO250" i="54"/>
  <c r="GJ250" i="54"/>
  <c r="GI249" i="54"/>
  <c r="GK249" i="54" s="1"/>
  <c r="GF250" i="54" s="1"/>
  <c r="FM250" i="54" l="1"/>
  <c r="FL250" i="54"/>
  <c r="FJ250" i="54"/>
  <c r="FV250" i="54"/>
  <c r="FU249" i="54"/>
  <c r="FW249" i="54" s="1"/>
  <c r="FR250" i="54" s="1"/>
  <c r="GC250" i="54"/>
  <c r="GB249" i="54"/>
  <c r="GD249" i="54" s="1"/>
  <c r="FY250" i="54" s="1"/>
  <c r="GE250" i="54"/>
  <c r="GG250" i="54"/>
  <c r="GH250" i="54"/>
  <c r="FQ250" i="54" l="1"/>
  <c r="FT250" i="54"/>
  <c r="FS250" i="54"/>
  <c r="GJ251" i="54"/>
  <c r="GI250" i="54"/>
  <c r="GK250" i="54" s="1"/>
  <c r="GF251" i="54" s="1"/>
  <c r="FO251" i="54"/>
  <c r="FN250" i="54"/>
  <c r="FP250" i="54" s="1"/>
  <c r="FK251" i="54" s="1"/>
  <c r="GA250" i="54"/>
  <c r="FZ250" i="54"/>
  <c r="FX250" i="54"/>
  <c r="GC251" i="54" l="1"/>
  <c r="GB250" i="54"/>
  <c r="FL251" i="54"/>
  <c r="FJ251" i="54"/>
  <c r="FM251" i="54"/>
  <c r="GD250" i="54"/>
  <c r="FY251" i="54" s="1"/>
  <c r="GE251" i="54"/>
  <c r="GG251" i="54"/>
  <c r="GH251" i="54"/>
  <c r="FV251" i="54"/>
  <c r="FU250" i="54"/>
  <c r="FW250" i="54" s="1"/>
  <c r="FR251" i="54" s="1"/>
  <c r="FZ251" i="54" l="1"/>
  <c r="FX251" i="54"/>
  <c r="GA251" i="54"/>
  <c r="FT251" i="54"/>
  <c r="FQ251" i="54"/>
  <c r="FS251" i="54"/>
  <c r="FO252" i="54"/>
  <c r="FN251" i="54"/>
  <c r="FP251" i="54" s="1"/>
  <c r="FK252" i="54" s="1"/>
  <c r="GJ252" i="54"/>
  <c r="GI251" i="54"/>
  <c r="GK251" i="54" s="1"/>
  <c r="GF252" i="54" s="1"/>
  <c r="FL252" i="54" l="1"/>
  <c r="FJ252" i="54"/>
  <c r="FM252" i="54"/>
  <c r="FV252" i="54"/>
  <c r="FU251" i="54"/>
  <c r="FW251" i="54" s="1"/>
  <c r="FR252" i="54" s="1"/>
  <c r="GE252" i="54"/>
  <c r="GG252" i="54"/>
  <c r="GH252" i="54"/>
  <c r="GC252" i="54"/>
  <c r="GB251" i="54"/>
  <c r="GD251" i="54" s="1"/>
  <c r="FY252" i="54" s="1"/>
  <c r="FX252" i="54" l="1"/>
  <c r="GA252" i="54"/>
  <c r="FZ252" i="54"/>
  <c r="FS252" i="54"/>
  <c r="FT252" i="54"/>
  <c r="FQ252" i="54"/>
  <c r="GI252" i="54"/>
  <c r="GK252" i="54" s="1"/>
  <c r="GF253" i="54" s="1"/>
  <c r="GJ253" i="54"/>
  <c r="FO253" i="54"/>
  <c r="FN252" i="54"/>
  <c r="FP252" i="54" s="1"/>
  <c r="FK253" i="54" s="1"/>
  <c r="FM253" i="54" l="1"/>
  <c r="FL253" i="54"/>
  <c r="FJ253" i="54"/>
  <c r="GH253" i="54"/>
  <c r="GE253" i="54"/>
  <c r="GG253" i="54"/>
  <c r="FV253" i="54"/>
  <c r="FU252" i="54"/>
  <c r="FW252" i="54" s="1"/>
  <c r="FR253" i="54" s="1"/>
  <c r="GC253" i="54"/>
  <c r="GB252" i="54"/>
  <c r="GD252" i="54" s="1"/>
  <c r="FY253" i="54" s="1"/>
  <c r="GI253" i="54" l="1"/>
  <c r="GJ254" i="54"/>
  <c r="GK253" i="54"/>
  <c r="GF254" i="54" s="1"/>
  <c r="FZ253" i="54"/>
  <c r="FX253" i="54"/>
  <c r="GA253" i="54"/>
  <c r="FS253" i="54"/>
  <c r="FQ253" i="54"/>
  <c r="FT253" i="54"/>
  <c r="FO254" i="54"/>
  <c r="FN253" i="54"/>
  <c r="FP253" i="54" s="1"/>
  <c r="FK254" i="54" s="1"/>
  <c r="FJ254" i="54" l="1"/>
  <c r="FL254" i="54"/>
  <c r="FM254" i="54"/>
  <c r="GC254" i="54"/>
  <c r="GB253" i="54"/>
  <c r="GD253" i="54" s="1"/>
  <c r="FY254" i="54" s="1"/>
  <c r="GH254" i="54"/>
  <c r="GE254" i="54"/>
  <c r="GG254" i="54"/>
  <c r="FU253" i="54"/>
  <c r="FW253" i="54" s="1"/>
  <c r="FR254" i="54" s="1"/>
  <c r="FV254" i="54"/>
  <c r="FZ254" i="54" l="1"/>
  <c r="GA254" i="54"/>
  <c r="FX254" i="54"/>
  <c r="FT254" i="54"/>
  <c r="FQ254" i="54"/>
  <c r="FS254" i="54"/>
  <c r="FN254" i="54"/>
  <c r="FP254" i="54" s="1"/>
  <c r="FK255" i="54" s="1"/>
  <c r="FO255" i="54"/>
  <c r="GJ255" i="54"/>
  <c r="GI254" i="54"/>
  <c r="GK254" i="54" s="1"/>
  <c r="GF255" i="54" s="1"/>
  <c r="GG255" i="54" l="1"/>
  <c r="GE255" i="54"/>
  <c r="GH255" i="54"/>
  <c r="FM255" i="54"/>
  <c r="FL255" i="54"/>
  <c r="FJ255" i="54"/>
  <c r="GD254" i="54"/>
  <c r="FY255" i="54" s="1"/>
  <c r="GC255" i="54"/>
  <c r="GB254" i="54"/>
  <c r="FV255" i="54"/>
  <c r="FU254" i="54"/>
  <c r="FW254" i="54" s="1"/>
  <c r="FR255" i="54" s="1"/>
  <c r="FO256" i="54" l="1"/>
  <c r="FN255" i="54"/>
  <c r="FP255" i="54" s="1"/>
  <c r="FK256" i="54" s="1"/>
  <c r="FX255" i="54"/>
  <c r="FZ255" i="54"/>
  <c r="GA255" i="54"/>
  <c r="FS255" i="54"/>
  <c r="FQ255" i="54"/>
  <c r="FT255" i="54"/>
  <c r="GJ256" i="54"/>
  <c r="GI255" i="54"/>
  <c r="GK255" i="54" s="1"/>
  <c r="GF256" i="54" s="1"/>
  <c r="GC256" i="54" l="1"/>
  <c r="GB255" i="54"/>
  <c r="GD255" i="54" s="1"/>
  <c r="FY256" i="54" s="1"/>
  <c r="GH256" i="54"/>
  <c r="GG256" i="54"/>
  <c r="GE256" i="54"/>
  <c r="FL256" i="54"/>
  <c r="FJ256" i="54"/>
  <c r="FM256" i="54"/>
  <c r="FV256" i="54"/>
  <c r="FU255" i="54"/>
  <c r="FW255" i="54" s="1"/>
  <c r="FR256" i="54" s="1"/>
  <c r="FZ256" i="54" l="1"/>
  <c r="GA256" i="54"/>
  <c r="FX256" i="54"/>
  <c r="GJ257" i="54"/>
  <c r="GI256" i="54"/>
  <c r="GK256" i="54" s="1"/>
  <c r="GF257" i="54" s="1"/>
  <c r="FS256" i="54"/>
  <c r="FT256" i="54"/>
  <c r="FQ256" i="54"/>
  <c r="FO257" i="54"/>
  <c r="FN256" i="54"/>
  <c r="FP256" i="54" s="1"/>
  <c r="FK257" i="54" s="1"/>
  <c r="FL257" i="54" l="1"/>
  <c r="FJ257" i="54"/>
  <c r="FM257" i="54"/>
  <c r="FV257" i="54"/>
  <c r="FU256" i="54"/>
  <c r="FW256" i="54" s="1"/>
  <c r="FR257" i="54" s="1"/>
  <c r="GE257" i="54"/>
  <c r="GG257" i="54"/>
  <c r="GH257" i="54"/>
  <c r="GC257" i="54"/>
  <c r="GB256" i="54"/>
  <c r="GD256" i="54" s="1"/>
  <c r="FY257" i="54" s="1"/>
  <c r="FQ257" i="54" l="1"/>
  <c r="FT257" i="54"/>
  <c r="FS257" i="54"/>
  <c r="FX257" i="54"/>
  <c r="FZ257" i="54"/>
  <c r="GA257" i="54"/>
  <c r="GI257" i="54"/>
  <c r="GK257" i="54" s="1"/>
  <c r="GF258" i="54" s="1"/>
  <c r="GJ258" i="54"/>
  <c r="FN257" i="54"/>
  <c r="FP257" i="54" s="1"/>
  <c r="FK258" i="54" s="1"/>
  <c r="FO258" i="54"/>
  <c r="GG258" i="54" l="1"/>
  <c r="GH258" i="54"/>
  <c r="GE258" i="54"/>
  <c r="GC258" i="54"/>
  <c r="GB257" i="54"/>
  <c r="GD257" i="54" s="1"/>
  <c r="FY258" i="54" s="1"/>
  <c r="FM258" i="54"/>
  <c r="FL258" i="54"/>
  <c r="FJ258" i="54"/>
  <c r="FU257" i="54"/>
  <c r="FW257" i="54" s="1"/>
  <c r="FR258" i="54" s="1"/>
  <c r="FV258" i="54"/>
  <c r="GA258" i="54" l="1"/>
  <c r="FX258" i="54"/>
  <c r="FZ258" i="54"/>
  <c r="FT258" i="54"/>
  <c r="FQ258" i="54"/>
  <c r="FS258" i="54"/>
  <c r="FN258" i="54"/>
  <c r="FP258" i="54" s="1"/>
  <c r="FK259" i="54" s="1"/>
  <c r="FO259" i="54"/>
  <c r="GI258" i="54"/>
  <c r="GK258" i="54" s="1"/>
  <c r="GF259" i="54" s="1"/>
  <c r="GJ259" i="54"/>
  <c r="GG259" i="54" l="1"/>
  <c r="GH259" i="54"/>
  <c r="GE259" i="54"/>
  <c r="FM259" i="54"/>
  <c r="FJ259" i="54"/>
  <c r="FL259" i="54"/>
  <c r="GC259" i="54"/>
  <c r="GB258" i="54"/>
  <c r="GD258" i="54" s="1"/>
  <c r="FY259" i="54" s="1"/>
  <c r="FV259" i="54"/>
  <c r="FU258" i="54"/>
  <c r="FW258" i="54" s="1"/>
  <c r="FR259" i="54" s="1"/>
  <c r="FN259" i="54" l="1"/>
  <c r="FO260" i="54"/>
  <c r="FZ259" i="54"/>
  <c r="FX259" i="54"/>
  <c r="GA259" i="54"/>
  <c r="FT259" i="54"/>
  <c r="FQ259" i="54"/>
  <c r="FS259" i="54"/>
  <c r="FP259" i="54"/>
  <c r="FK260" i="54" s="1"/>
  <c r="GJ260" i="54"/>
  <c r="GI259" i="54"/>
  <c r="GK259" i="54" s="1"/>
  <c r="GF260" i="54" s="1"/>
  <c r="GE260" i="54" l="1"/>
  <c r="GG260" i="54"/>
  <c r="GH260" i="54"/>
  <c r="FM260" i="54"/>
  <c r="FL260" i="54"/>
  <c r="FJ260" i="54"/>
  <c r="GB259" i="54"/>
  <c r="GD259" i="54" s="1"/>
  <c r="FY260" i="54" s="1"/>
  <c r="GC260" i="54"/>
  <c r="FV260" i="54"/>
  <c r="FU259" i="54"/>
  <c r="FW259" i="54" s="1"/>
  <c r="FR260" i="54" s="1"/>
  <c r="FX260" i="54" l="1"/>
  <c r="GA260" i="54"/>
  <c r="FZ260" i="54"/>
  <c r="FT260" i="54"/>
  <c r="FQ260" i="54"/>
  <c r="FS260" i="54"/>
  <c r="GI260" i="54"/>
  <c r="GK260" i="54" s="1"/>
  <c r="GF261" i="54" s="1"/>
  <c r="GJ261" i="54"/>
  <c r="FN260" i="54"/>
  <c r="FP260" i="54" s="1"/>
  <c r="FK261" i="54" s="1"/>
  <c r="FO261" i="54"/>
  <c r="GE261" i="54" l="1"/>
  <c r="GH261" i="54"/>
  <c r="GG261" i="54"/>
  <c r="FU260" i="54"/>
  <c r="FW260" i="54" s="1"/>
  <c r="FR261" i="54" s="1"/>
  <c r="FV261" i="54"/>
  <c r="FL261" i="54"/>
  <c r="FJ261" i="54"/>
  <c r="FM261" i="54"/>
  <c r="GB260" i="54"/>
  <c r="GD260" i="54" s="1"/>
  <c r="FY261" i="54" s="1"/>
  <c r="GC261" i="54"/>
  <c r="FO262" i="54" l="1"/>
  <c r="FN261" i="54"/>
  <c r="GJ262" i="54"/>
  <c r="GI261" i="54"/>
  <c r="GK261" i="54" s="1"/>
  <c r="GF262" i="54" s="1"/>
  <c r="FT261" i="54"/>
  <c r="FQ261" i="54"/>
  <c r="FS261" i="54"/>
  <c r="FZ261" i="54"/>
  <c r="GA261" i="54"/>
  <c r="FX261" i="54"/>
  <c r="FP261" i="54"/>
  <c r="FK262" i="54" s="1"/>
  <c r="GG262" i="54" l="1"/>
  <c r="GE262" i="54"/>
  <c r="GH262" i="54"/>
  <c r="FM262" i="54"/>
  <c r="FL262" i="54"/>
  <c r="FJ262" i="54"/>
  <c r="GC262" i="54"/>
  <c r="GB261" i="54"/>
  <c r="GD261" i="54" s="1"/>
  <c r="FY262" i="54" s="1"/>
  <c r="FV262" i="54"/>
  <c r="FU261" i="54"/>
  <c r="FW261" i="54" s="1"/>
  <c r="FR262" i="54" s="1"/>
  <c r="FO263" i="54" l="1"/>
  <c r="FN262" i="54"/>
  <c r="FP262" i="54" s="1"/>
  <c r="FK263" i="54" s="1"/>
  <c r="FQ262" i="54"/>
  <c r="FT262" i="54"/>
  <c r="FS262" i="54"/>
  <c r="FZ262" i="54"/>
  <c r="FX262" i="54"/>
  <c r="GA262" i="54"/>
  <c r="GJ263" i="54"/>
  <c r="GI262" i="54"/>
  <c r="GK262" i="54" s="1"/>
  <c r="GF263" i="54" s="1"/>
  <c r="FV263" i="54" l="1"/>
  <c r="FU262" i="54"/>
  <c r="FW262" i="54" s="1"/>
  <c r="FR263" i="54" s="1"/>
  <c r="FL263" i="54"/>
  <c r="FJ263" i="54"/>
  <c r="FM263" i="54"/>
  <c r="GG263" i="54"/>
  <c r="GH263" i="54"/>
  <c r="GE263" i="54"/>
  <c r="GC263" i="54"/>
  <c r="GB262" i="54"/>
  <c r="GD262" i="54" s="1"/>
  <c r="FY263" i="54" s="1"/>
  <c r="GJ264" i="54" l="1"/>
  <c r="GI263" i="54"/>
  <c r="GK263" i="54" s="1"/>
  <c r="GF264" i="54" s="1"/>
  <c r="FZ263" i="54"/>
  <c r="GA263" i="54"/>
  <c r="FX263" i="54"/>
  <c r="FO264" i="54"/>
  <c r="FN263" i="54"/>
  <c r="FP263" i="54" s="1"/>
  <c r="FK264" i="54" s="1"/>
  <c r="FT263" i="54"/>
  <c r="FQ263" i="54"/>
  <c r="FS263" i="54"/>
  <c r="FL264" i="54" l="1"/>
  <c r="FJ264" i="54"/>
  <c r="FM264" i="54"/>
  <c r="FV264" i="54"/>
  <c r="FU263" i="54"/>
  <c r="FW263" i="54" s="1"/>
  <c r="FR264" i="54" s="1"/>
  <c r="GE264" i="54"/>
  <c r="GG264" i="54"/>
  <c r="GH264" i="54"/>
  <c r="GC264" i="54"/>
  <c r="GB263" i="54"/>
  <c r="GD263" i="54" s="1"/>
  <c r="FY264" i="54" s="1"/>
  <c r="GJ265" i="54" l="1"/>
  <c r="GI264" i="54"/>
  <c r="GK264" i="54" s="1"/>
  <c r="GF265" i="54" s="1"/>
  <c r="FQ264" i="54"/>
  <c r="FT264" i="54"/>
  <c r="FS264" i="54"/>
  <c r="GA264" i="54"/>
  <c r="FZ264" i="54"/>
  <c r="FX264" i="54"/>
  <c r="FO265" i="54"/>
  <c r="FN264" i="54"/>
  <c r="FP264" i="54" s="1"/>
  <c r="FK265" i="54" s="1"/>
  <c r="FL265" i="54" l="1"/>
  <c r="FM265" i="54"/>
  <c r="FJ265" i="54"/>
  <c r="FV265" i="54"/>
  <c r="FU264" i="54"/>
  <c r="FW264" i="54" s="1"/>
  <c r="FR265" i="54" s="1"/>
  <c r="GG265" i="54"/>
  <c r="GH265" i="54"/>
  <c r="GE265" i="54"/>
  <c r="GC265" i="54"/>
  <c r="GB264" i="54"/>
  <c r="GD264" i="54" s="1"/>
  <c r="FY265" i="54" s="1"/>
  <c r="GJ266" i="54" l="1"/>
  <c r="GI265" i="54"/>
  <c r="FX265" i="54"/>
  <c r="GA265" i="54"/>
  <c r="FZ265" i="54"/>
  <c r="GK265" i="54"/>
  <c r="GF266" i="54" s="1"/>
  <c r="FT265" i="54"/>
  <c r="FQ265" i="54"/>
  <c r="FS265" i="54"/>
  <c r="FO266" i="54"/>
  <c r="FN265" i="54"/>
  <c r="FP265" i="54" s="1"/>
  <c r="FK266" i="54" s="1"/>
  <c r="FM266" i="54" l="1"/>
  <c r="FJ266" i="54"/>
  <c r="FL266" i="54"/>
  <c r="GH266" i="54"/>
  <c r="GE266" i="54"/>
  <c r="GG266" i="54"/>
  <c r="GB265" i="54"/>
  <c r="GD265" i="54" s="1"/>
  <c r="FY266" i="54" s="1"/>
  <c r="GC266" i="54"/>
  <c r="FV266" i="54"/>
  <c r="FU265" i="54"/>
  <c r="FW265" i="54" s="1"/>
  <c r="FR266" i="54" s="1"/>
  <c r="GI266" i="54" l="1"/>
  <c r="GK266" i="54" s="1"/>
  <c r="GF267" i="54" s="1"/>
  <c r="GJ267" i="54"/>
  <c r="FO267" i="54"/>
  <c r="FN266" i="54"/>
  <c r="FP266" i="54" s="1"/>
  <c r="FK267" i="54" s="1"/>
  <c r="FQ266" i="54"/>
  <c r="FS266" i="54"/>
  <c r="FT266" i="54"/>
  <c r="FX266" i="54"/>
  <c r="FZ266" i="54"/>
  <c r="GA266" i="54"/>
  <c r="FV267" i="54" l="1"/>
  <c r="FU266" i="54"/>
  <c r="FW266" i="54" s="1"/>
  <c r="FR267" i="54" s="1"/>
  <c r="FL267" i="54"/>
  <c r="FJ267" i="54"/>
  <c r="FM267" i="54"/>
  <c r="GB266" i="54"/>
  <c r="GD266" i="54" s="1"/>
  <c r="FY267" i="54" s="1"/>
  <c r="GC267" i="54"/>
  <c r="GG267" i="54"/>
  <c r="GH267" i="54"/>
  <c r="GE267" i="54"/>
  <c r="GA267" i="54" l="1"/>
  <c r="FZ267" i="54"/>
  <c r="FX267" i="54"/>
  <c r="GJ268" i="54"/>
  <c r="GI267" i="54"/>
  <c r="GK267" i="54" s="1"/>
  <c r="GF268" i="54" s="1"/>
  <c r="FO268" i="54"/>
  <c r="FN267" i="54"/>
  <c r="FP267" i="54" s="1"/>
  <c r="FK268" i="54" s="1"/>
  <c r="FQ267" i="54"/>
  <c r="FT267" i="54"/>
  <c r="FS267" i="54"/>
  <c r="GG268" i="54" l="1"/>
  <c r="GI268" i="54" s="1"/>
  <c r="GE268" i="54"/>
  <c r="FH5" i="54" s="1" a="1"/>
  <c r="FH5" i="54" s="1"/>
  <c r="GH268" i="54"/>
  <c r="FU267" i="54"/>
  <c r="FW267" i="54" s="1"/>
  <c r="FR268" i="54" s="1"/>
  <c r="FV268" i="54"/>
  <c r="GB267" i="54"/>
  <c r="GD267" i="54" s="1"/>
  <c r="FY268" i="54" s="1"/>
  <c r="GC268" i="54"/>
  <c r="FL268" i="54"/>
  <c r="FN268" i="54" s="1"/>
  <c r="FM268" i="54"/>
  <c r="FJ268" i="54"/>
  <c r="FG3" i="54" s="1" a="1"/>
  <c r="FG3" i="54" s="1"/>
  <c r="FS268" i="54" l="1"/>
  <c r="FU268" i="54" s="1"/>
  <c r="FQ268" i="54"/>
  <c r="FH4" i="54" s="1" a="1"/>
  <c r="FH4" i="54" s="1"/>
  <c r="FT268" i="54"/>
  <c r="FP268" i="54"/>
  <c r="GK268" i="54"/>
  <c r="FZ268" i="54"/>
  <c r="GB268" i="54" s="1"/>
  <c r="GA268" i="54"/>
  <c r="FX268" i="54"/>
  <c r="FG5" i="54" s="1" a="1"/>
  <c r="FG5" i="54" s="1"/>
  <c r="FB5" i="54" s="1" a="1"/>
  <c r="FB5" i="54" s="1"/>
  <c r="FB7" i="54" l="1" a="1"/>
  <c r="FB7" i="54" s="1"/>
  <c r="FC7" i="54" s="1"/>
  <c r="FA4" i="54" a="1"/>
  <c r="FA4" i="54" s="1"/>
  <c r="FB4" i="54" s="1"/>
  <c r="FA2" i="54" a="1"/>
  <c r="FA2" i="54" s="1"/>
  <c r="FB2" i="54" s="1"/>
  <c r="Q68" i="54"/>
  <c r="FC5" i="54"/>
  <c r="GD268" i="54"/>
  <c r="FW268" i="54"/>
  <c r="FD184" i="54" l="1" a="1"/>
  <c r="FD184" i="54" s="1"/>
  <c r="FC6" i="54"/>
  <c r="Q69" i="54"/>
  <c r="FD228" i="54" a="1"/>
  <c r="FD228" i="54" s="1"/>
  <c r="FD224" i="54" a="1"/>
  <c r="FD224" i="54" s="1"/>
  <c r="FD180" i="54" a="1"/>
  <c r="FD180" i="54" s="1"/>
  <c r="FD40" i="54" a="1"/>
  <c r="FD40" i="54" s="1"/>
  <c r="FD210" i="54" a="1"/>
  <c r="FD210" i="54" s="1"/>
  <c r="FD56" i="54" a="1"/>
  <c r="FD56" i="54" s="1"/>
  <c r="FD144" i="54" a="1"/>
  <c r="FD144" i="54" s="1"/>
  <c r="FD136" i="54" a="1"/>
  <c r="FD136" i="54" s="1"/>
  <c r="FD257" i="54" a="1"/>
  <c r="FD257" i="54" s="1"/>
  <c r="FD237" i="54" a="1"/>
  <c r="FD237" i="54" s="1"/>
  <c r="FD227" i="54" a="1"/>
  <c r="FD227" i="54" s="1"/>
  <c r="FD76" i="54" a="1"/>
  <c r="FD76" i="54" s="1"/>
  <c r="FD71" i="54" a="1"/>
  <c r="FD71" i="54" s="1"/>
  <c r="FD174" i="54" a="1"/>
  <c r="FD174" i="54" s="1"/>
  <c r="FD143" i="54" a="1"/>
  <c r="FD143" i="54" s="1"/>
  <c r="FD17" i="54" a="1"/>
  <c r="FD17" i="54" s="1"/>
  <c r="FD21" i="54" a="1"/>
  <c r="FD21" i="54" s="1"/>
  <c r="FD219" i="54" a="1"/>
  <c r="FD219" i="54" s="1"/>
  <c r="FD116" i="54" a="1"/>
  <c r="FD116" i="54" s="1"/>
  <c r="FD15" i="54" a="1"/>
  <c r="FD15" i="54" s="1"/>
  <c r="FD108" i="54" a="1"/>
  <c r="FD108" i="54" s="1"/>
  <c r="FD250" i="54" a="1"/>
  <c r="FD250" i="54" s="1"/>
  <c r="FD36" i="54" a="1"/>
  <c r="FD36" i="54" s="1"/>
  <c r="FD65" i="54" a="1"/>
  <c r="FD65" i="54" s="1"/>
  <c r="FD46" i="54" a="1"/>
  <c r="FD46" i="54" s="1"/>
  <c r="FD97" i="54" a="1"/>
  <c r="FD97" i="54" s="1"/>
  <c r="FD188" i="54" a="1"/>
  <c r="FD188" i="54" s="1"/>
  <c r="FD239" i="54" a="1"/>
  <c r="FD239" i="54" s="1"/>
  <c r="FD100" i="54" a="1"/>
  <c r="FD100" i="54" s="1"/>
  <c r="FD163" i="54" a="1"/>
  <c r="FD163" i="54" s="1"/>
  <c r="FD179" i="54" a="1"/>
  <c r="FD179" i="54" s="1"/>
  <c r="FD53" i="54" a="1"/>
  <c r="FD53" i="54" s="1"/>
  <c r="FD115" i="54" a="1"/>
  <c r="FD115" i="54" s="1"/>
  <c r="FD50" i="54" a="1"/>
  <c r="FD50" i="54" s="1"/>
  <c r="FD93" i="54" a="1"/>
  <c r="FD93" i="54" s="1"/>
  <c r="FD14" i="54" a="1"/>
  <c r="FD14" i="54" s="1"/>
  <c r="FD43" i="54" a="1"/>
  <c r="FD43" i="54" s="1"/>
  <c r="FD191" i="54" a="1"/>
  <c r="FD191" i="54" s="1"/>
  <c r="FD258" i="54" a="1"/>
  <c r="FD258" i="54" s="1"/>
  <c r="FD248" i="54" a="1"/>
  <c r="FD248" i="54" s="1"/>
  <c r="FD265" i="54" a="1"/>
  <c r="FD265" i="54" s="1"/>
  <c r="FD199" i="54" a="1"/>
  <c r="FD199" i="54" s="1"/>
  <c r="FD105" i="54" a="1"/>
  <c r="FD105" i="54" s="1"/>
  <c r="FD242" i="54" a="1"/>
  <c r="FD242" i="54" s="1"/>
  <c r="FD69" i="54" a="1"/>
  <c r="FD69" i="54" s="1"/>
  <c r="FD110" i="54" a="1"/>
  <c r="FD110" i="54" s="1"/>
  <c r="FD70" i="54" a="1"/>
  <c r="FD70" i="54" s="1"/>
  <c r="FD231" i="54" a="1"/>
  <c r="FD231" i="54" s="1"/>
  <c r="FC4" i="54"/>
  <c r="FD232" i="54" a="1"/>
  <c r="FD232" i="54" s="1"/>
  <c r="FD198" i="54" a="1"/>
  <c r="FD198" i="54" s="1"/>
  <c r="FD263" i="54" a="1"/>
  <c r="FD263" i="54" s="1"/>
  <c r="FD126" i="54" a="1"/>
  <c r="FD126" i="54" s="1"/>
  <c r="FD160" i="54" a="1"/>
  <c r="FD160" i="54" s="1"/>
  <c r="FD34" i="54" a="1"/>
  <c r="FD34" i="54" s="1"/>
  <c r="FD124" i="54" a="1"/>
  <c r="FD124" i="54" s="1"/>
  <c r="FD221" i="54" a="1"/>
  <c r="FD221" i="54" s="1"/>
  <c r="FD194" i="54" a="1"/>
  <c r="FD194" i="54" s="1"/>
  <c r="FD10" i="54" a="1"/>
  <c r="FD10" i="54" s="1"/>
  <c r="FD59" i="54" a="1"/>
  <c r="FD59" i="54" s="1"/>
  <c r="FD73" i="54" a="1"/>
  <c r="FD73" i="54" s="1"/>
  <c r="FD90" i="54" a="1"/>
  <c r="FD90" i="54" s="1"/>
  <c r="FD171" i="54" a="1"/>
  <c r="FD171" i="54" s="1"/>
  <c r="FD11" i="54" a="1"/>
  <c r="FD11" i="54" s="1"/>
  <c r="FD4" i="54" a="1"/>
  <c r="FD4" i="54" s="1"/>
  <c r="FD260" i="54" a="1"/>
  <c r="FD260" i="54" s="1"/>
  <c r="FD80" i="54" a="1"/>
  <c r="FD80" i="54" s="1"/>
  <c r="FD26" i="54" a="1"/>
  <c r="FD26" i="54" s="1"/>
  <c r="FD247" i="54" a="1"/>
  <c r="FD247" i="54" s="1"/>
  <c r="FD30" i="54" a="1"/>
  <c r="FD30" i="54" s="1"/>
  <c r="FD72" i="54" a="1"/>
  <c r="FD72" i="54" s="1"/>
  <c r="FD161" i="54" a="1"/>
  <c r="FD161" i="54" s="1"/>
  <c r="FD146" i="54" a="1"/>
  <c r="FD146" i="54" s="1"/>
  <c r="FD134" i="54" a="1"/>
  <c r="FD134" i="54" s="1"/>
  <c r="FD159" i="54" a="1"/>
  <c r="FD159" i="54" s="1"/>
  <c r="FD149" i="54" a="1"/>
  <c r="FD149" i="54" s="1"/>
  <c r="FD261" i="54" a="1"/>
  <c r="FD261" i="54" s="1"/>
  <c r="FD45" i="54" a="1"/>
  <c r="FD45" i="54" s="1"/>
  <c r="FD208" i="54" a="1"/>
  <c r="FD208" i="54" s="1"/>
  <c r="FD54" i="54" a="1"/>
  <c r="FD54" i="54" s="1"/>
  <c r="FD63" i="54" a="1"/>
  <c r="FD63" i="54" s="1"/>
  <c r="FD19" i="54" a="1"/>
  <c r="FD19" i="54" s="1"/>
  <c r="FD148" i="54" a="1"/>
  <c r="FD148" i="54" s="1"/>
  <c r="FD234" i="54" a="1"/>
  <c r="FD234" i="54" s="1"/>
  <c r="FD139" i="54" a="1"/>
  <c r="FD139" i="54" s="1"/>
  <c r="FD182" i="54" a="1"/>
  <c r="FD182" i="54" s="1"/>
  <c r="FD82" i="54" a="1"/>
  <c r="FD82" i="54" s="1"/>
  <c r="FD225" i="54" a="1"/>
  <c r="FD225" i="54" s="1"/>
  <c r="FD175" i="54" a="1"/>
  <c r="FD175" i="54" s="1"/>
  <c r="FD197" i="54" a="1"/>
  <c r="FD197" i="54" s="1"/>
  <c r="FD31" i="54" a="1"/>
  <c r="FD31" i="54" s="1"/>
  <c r="FD205" i="54" a="1"/>
  <c r="FD205" i="54" s="1"/>
  <c r="FD57" i="54" a="1"/>
  <c r="FD57" i="54" s="1"/>
  <c r="FD259" i="54" a="1"/>
  <c r="FD259" i="54" s="1"/>
  <c r="FD133" i="54" a="1"/>
  <c r="FD133" i="54" s="1"/>
  <c r="FD223" i="54" a="1"/>
  <c r="FD223" i="54" s="1"/>
  <c r="FD158" i="54" a="1"/>
  <c r="FD158" i="54" s="1"/>
  <c r="FD79" i="54" a="1"/>
  <c r="FD79" i="54" s="1"/>
  <c r="FD111" i="54" a="1"/>
  <c r="FD111" i="54" s="1"/>
  <c r="FD267" i="54" a="1"/>
  <c r="FD267" i="54" s="1"/>
  <c r="FD193" i="54" a="1"/>
  <c r="FD193" i="54" s="1"/>
  <c r="FD107" i="54" a="1"/>
  <c r="FD107" i="54" s="1"/>
  <c r="FD102" i="54" a="1"/>
  <c r="FD102" i="54" s="1"/>
  <c r="FD155" i="54" a="1"/>
  <c r="FD155" i="54" s="1"/>
  <c r="FD77" i="54" a="1"/>
  <c r="FD77" i="54" s="1"/>
  <c r="FD132" i="54" a="1"/>
  <c r="FD132" i="54" s="1"/>
  <c r="FD214" i="54" a="1"/>
  <c r="FD214" i="54" s="1"/>
  <c r="FD216" i="54" a="1"/>
  <c r="FD216" i="54" s="1"/>
  <c r="FD62" i="54" a="1"/>
  <c r="FD62" i="54" s="1"/>
  <c r="FD213" i="54" a="1"/>
  <c r="FD213" i="54" s="1"/>
  <c r="FD87" i="54" a="1"/>
  <c r="FD87" i="54" s="1"/>
  <c r="FD37" i="54" a="1"/>
  <c r="FD37" i="54" s="1"/>
  <c r="FD244" i="54" a="1"/>
  <c r="FD244" i="54" s="1"/>
  <c r="FD48" i="54" a="1"/>
  <c r="FD48" i="54" s="1"/>
  <c r="FD157" i="54" a="1"/>
  <c r="FD157" i="54" s="1"/>
  <c r="FD103" i="54" a="1"/>
  <c r="FD103" i="54" s="1"/>
  <c r="FC2" i="54"/>
  <c r="FD165" i="54" a="1"/>
  <c r="FD165" i="54" s="1"/>
  <c r="FD39" i="54" a="1"/>
  <c r="FD39" i="54" s="1"/>
  <c r="FD129" i="54" a="1"/>
  <c r="FD129" i="54" s="1"/>
  <c r="FD117" i="54" a="1"/>
  <c r="FD117" i="54" s="1"/>
  <c r="FD186" i="54" a="1"/>
  <c r="FD186" i="54" s="1"/>
  <c r="FD16" i="54" a="1"/>
  <c r="FD16" i="54" s="1"/>
  <c r="FD253" i="54" a="1"/>
  <c r="FD253" i="54" s="1"/>
  <c r="FD81" i="54" a="1"/>
  <c r="FD81" i="54" s="1"/>
  <c r="FD118" i="54" a="1"/>
  <c r="FD118" i="54" s="1"/>
  <c r="FD167" i="54" a="1"/>
  <c r="FD167" i="54" s="1"/>
  <c r="FD190" i="54" a="1"/>
  <c r="FD190" i="54" s="1"/>
  <c r="FD64" i="54" a="1"/>
  <c r="FD64" i="54" s="1"/>
  <c r="FD20" i="54" a="1"/>
  <c r="FD20" i="54" s="1"/>
  <c r="FD218" i="54" a="1"/>
  <c r="FD218" i="54" s="1"/>
  <c r="FD84" i="54" a="1"/>
  <c r="FD84" i="54" s="1"/>
  <c r="FD246" i="54" a="1"/>
  <c r="FD246" i="54" s="1"/>
  <c r="FD150" i="54" a="1"/>
  <c r="FD150" i="54" s="1"/>
  <c r="FD209" i="54" a="1"/>
  <c r="FD209" i="54" s="1"/>
  <c r="FD25" i="54" a="1"/>
  <c r="FD25" i="54" s="1"/>
  <c r="FD211" i="54" a="1"/>
  <c r="FD211" i="54" s="1"/>
  <c r="FD101" i="54" a="1"/>
  <c r="FD101" i="54" s="1"/>
  <c r="FD27" i="54" a="1"/>
  <c r="FD27" i="54" s="1"/>
  <c r="FD12" i="54" a="1"/>
  <c r="FD12" i="54" s="1"/>
  <c r="FD120" i="54" a="1"/>
  <c r="FD120" i="54" s="1"/>
  <c r="FD49" i="54" a="1"/>
  <c r="FD49" i="54" s="1"/>
  <c r="FD92" i="54" a="1"/>
  <c r="FD92" i="54" s="1"/>
  <c r="FD13" i="54" a="1"/>
  <c r="FD13" i="54" s="1"/>
  <c r="FD251" i="54" a="1"/>
  <c r="FD251" i="54" s="1"/>
  <c r="FD125" i="54" a="1"/>
  <c r="FD125" i="54" s="1"/>
  <c r="FD215" i="54" a="1"/>
  <c r="FD215" i="54" s="1"/>
  <c r="FD256" i="54" a="1"/>
  <c r="FD256" i="54" s="1"/>
  <c r="FD67" i="54" a="1"/>
  <c r="FD67" i="54" s="1"/>
  <c r="FD196" i="54" a="1"/>
  <c r="FD196" i="54" s="1"/>
  <c r="FD123" i="54" a="1"/>
  <c r="FD123" i="54" s="1"/>
  <c r="FD152" i="54" a="1"/>
  <c r="FD152" i="54" s="1"/>
  <c r="FD142" i="54" a="1"/>
  <c r="FD142" i="54" s="1"/>
  <c r="FD88" i="54" a="1"/>
  <c r="FD88" i="54" s="1"/>
  <c r="FD44" i="54" a="1"/>
  <c r="FD44" i="54" s="1"/>
  <c r="FD229" i="54" a="1"/>
  <c r="FD229" i="54" s="1"/>
  <c r="FD130" i="54" a="1"/>
  <c r="FD130" i="54" s="1"/>
  <c r="FD255" i="54" a="1"/>
  <c r="FD255" i="54" s="1"/>
  <c r="FD94" i="54" a="1"/>
  <c r="FD94" i="54" s="1"/>
  <c r="FD96" i="54" a="1"/>
  <c r="FD96" i="54" s="1"/>
  <c r="FD201" i="54" a="1"/>
  <c r="FD201" i="54" s="1"/>
  <c r="FD122" i="54" a="1"/>
  <c r="FD122" i="54" s="1"/>
  <c r="FD151" i="54" a="1"/>
  <c r="FD151" i="54" s="1"/>
  <c r="FD264" i="54" a="1"/>
  <c r="FD264" i="54" s="1"/>
  <c r="FD22" i="54" a="1"/>
  <c r="FD22" i="54" s="1"/>
  <c r="FD89" i="54" a="1"/>
  <c r="FD89" i="54" s="1"/>
  <c r="FD127" i="54" a="1"/>
  <c r="FD127" i="54" s="1"/>
  <c r="FD185" i="54" a="1"/>
  <c r="FD185" i="54" s="1"/>
  <c r="FD91" i="54" a="1"/>
  <c r="FD91" i="54" s="1"/>
  <c r="FD23" i="54" a="1"/>
  <c r="FD23" i="54" s="1"/>
  <c r="FD85" i="54" a="1"/>
  <c r="FD85" i="54" s="1"/>
  <c r="FD192" i="54" a="1"/>
  <c r="FD192" i="54" s="1"/>
  <c r="FD166" i="54" a="1"/>
  <c r="FD166" i="54" s="1"/>
  <c r="FD204" i="54" a="1"/>
  <c r="FD204" i="54" s="1"/>
  <c r="FD104" i="54" a="1"/>
  <c r="FD104" i="54" s="1"/>
  <c r="FD241" i="54" a="1"/>
  <c r="FD241" i="54" s="1"/>
  <c r="FD68" i="54" a="1"/>
  <c r="FD68" i="54" s="1"/>
  <c r="FD114" i="54" a="1"/>
  <c r="FD114" i="54" s="1"/>
  <c r="FD29" i="54" a="1"/>
  <c r="FD29" i="54" s="1"/>
  <c r="FD268" i="54" a="1"/>
  <c r="FD268" i="54" s="1"/>
  <c r="FD138" i="54" a="1"/>
  <c r="FD138" i="54" s="1"/>
  <c r="FD233" i="54" a="1"/>
  <c r="FD233" i="54" s="1"/>
  <c r="FD58" i="54" a="1"/>
  <c r="FD58" i="54" s="1"/>
  <c r="FD75" i="54" a="1"/>
  <c r="FD75" i="54" s="1"/>
  <c r="FD238" i="54" a="1"/>
  <c r="FD238" i="54" s="1"/>
  <c r="FD112" i="54" a="1"/>
  <c r="FD112" i="54" s="1"/>
  <c r="FD202" i="54" a="1"/>
  <c r="FD202" i="54" s="1"/>
  <c r="FD266" i="54" a="1"/>
  <c r="FD266" i="54" s="1"/>
  <c r="FD187" i="54" a="1"/>
  <c r="FD187" i="54" s="1"/>
  <c r="FD230" i="54" a="1"/>
  <c r="FD230" i="54" s="1"/>
  <c r="FD24" i="54" a="1"/>
  <c r="FD24" i="54" s="1"/>
  <c r="FD140" i="54" a="1"/>
  <c r="FD140" i="54" s="1"/>
  <c r="FD183" i="54" a="1"/>
  <c r="FD183" i="54" s="1"/>
  <c r="FD35" i="54" a="1"/>
  <c r="FD35" i="54" s="1"/>
  <c r="FD220" i="54" a="1"/>
  <c r="FD220" i="54" s="1"/>
  <c r="FD176" i="54" a="1"/>
  <c r="FD176" i="54" s="1"/>
  <c r="FD240" i="54" a="1"/>
  <c r="FD240" i="54" s="1"/>
  <c r="FD32" i="54" a="1"/>
  <c r="FD32" i="54" s="1"/>
  <c r="FD2" i="54" a="1"/>
  <c r="FD2" i="54" s="1"/>
  <c r="FD147" i="54" a="1"/>
  <c r="FD147" i="54" s="1"/>
  <c r="FD245" i="54" a="1"/>
  <c r="FD245" i="54" s="1"/>
  <c r="FD61" i="54" a="1"/>
  <c r="FD61" i="54" s="1"/>
  <c r="FD212" i="54" a="1"/>
  <c r="FD212" i="54" s="1"/>
  <c r="FD86" i="54" a="1"/>
  <c r="FD86" i="54" s="1"/>
  <c r="FD173" i="54" a="1"/>
  <c r="FD173" i="54" s="1"/>
  <c r="FD66" i="54" a="1"/>
  <c r="FD66" i="54" s="1"/>
  <c r="FD137" i="54" a="1"/>
  <c r="FD137" i="54" s="1"/>
  <c r="FD131" i="54" a="1"/>
  <c r="FD131" i="54" s="1"/>
  <c r="FD47" i="54" a="1"/>
  <c r="FD47" i="54" s="1"/>
  <c r="FD78" i="54" a="1"/>
  <c r="FD78" i="54" s="1"/>
  <c r="FD169" i="54" a="1"/>
  <c r="FD169" i="54" s="1"/>
  <c r="FD168" i="54" a="1"/>
  <c r="FD168" i="54" s="1"/>
  <c r="FD83" i="54" a="1"/>
  <c r="FD83" i="54" s="1"/>
  <c r="FD106" i="54" a="1"/>
  <c r="FD106" i="54" s="1"/>
  <c r="FD162" i="54" a="1"/>
  <c r="FD162" i="54" s="1"/>
  <c r="FD74" i="54" a="1"/>
  <c r="FD74" i="54" s="1"/>
  <c r="FD141" i="54" a="1"/>
  <c r="FD141" i="54" s="1"/>
  <c r="FD178" i="54" a="1"/>
  <c r="FD178" i="54" s="1"/>
  <c r="FD119" i="54" a="1"/>
  <c r="FD119" i="54" s="1"/>
  <c r="FD252" i="54" a="1"/>
  <c r="FD252" i="54" s="1"/>
  <c r="FD177" i="54" a="1"/>
  <c r="FD177" i="54" s="1"/>
  <c r="FD235" i="54" a="1"/>
  <c r="FD235" i="54" s="1"/>
  <c r="FD33" i="54" a="1"/>
  <c r="FD33" i="54" s="1"/>
  <c r="FD51" i="54" a="1"/>
  <c r="FD51" i="54" s="1"/>
  <c r="FD206" i="54" a="1"/>
  <c r="FD206" i="54" s="1"/>
  <c r="FD249" i="54" a="1"/>
  <c r="FD249" i="54" s="1"/>
  <c r="FD42" i="54" a="1"/>
  <c r="FD42" i="54" s="1"/>
  <c r="FD52" i="54" a="1"/>
  <c r="FD52" i="54" s="1"/>
  <c r="FD195" i="54" a="1"/>
  <c r="FD195" i="54" s="1"/>
  <c r="FD145" i="54" a="1"/>
  <c r="FD145" i="54" s="1"/>
  <c r="FD98" i="54" a="1"/>
  <c r="FD98" i="54" s="1"/>
  <c r="FD243" i="54" a="1"/>
  <c r="FD243" i="54" s="1"/>
  <c r="FD203" i="54" a="1"/>
  <c r="FD203" i="54" s="1"/>
  <c r="FD109" i="54" a="1"/>
  <c r="FD109" i="54" s="1"/>
  <c r="FD170" i="54" a="1"/>
  <c r="FD170" i="54" s="1"/>
  <c r="FD181" i="54" a="1"/>
  <c r="FD181" i="54" s="1"/>
  <c r="FD55" i="54" a="1"/>
  <c r="FD55" i="54" s="1"/>
  <c r="FD154" i="54" a="1"/>
  <c r="FD154" i="54" s="1"/>
  <c r="FD95" i="54" a="1"/>
  <c r="FD95" i="54" s="1"/>
  <c r="FD207" i="54" a="1"/>
  <c r="FD207" i="54" s="1"/>
  <c r="FD113" i="54" a="1"/>
  <c r="FD113" i="54" s="1"/>
  <c r="FD18" i="54" a="1"/>
  <c r="FD18" i="54" s="1"/>
  <c r="FD217" i="54" a="1"/>
  <c r="FD217" i="54" s="1"/>
  <c r="FD60" i="54" a="1"/>
  <c r="FD60" i="54" s="1"/>
  <c r="FD41" i="54" a="1"/>
  <c r="FD41" i="54" s="1"/>
  <c r="FD172" i="54" a="1"/>
  <c r="FD172" i="54" s="1"/>
  <c r="FD262" i="54" a="1"/>
  <c r="FD262" i="54" s="1"/>
  <c r="FD222" i="54" a="1"/>
  <c r="FD222" i="54" s="1"/>
  <c r="FD236" i="54" a="1"/>
  <c r="FD236" i="54" s="1"/>
  <c r="FD189" i="54" a="1"/>
  <c r="FD189" i="54" s="1"/>
  <c r="FD226" i="54" a="1"/>
  <c r="FD226" i="54" s="1"/>
  <c r="FD153" i="54" a="1"/>
  <c r="FD153" i="54" s="1"/>
  <c r="FD164" i="54" a="1"/>
  <c r="FD164" i="54" s="1"/>
  <c r="FD38" i="54" a="1"/>
  <c r="FD38" i="54" s="1"/>
  <c r="FD128" i="54" a="1"/>
  <c r="FD128" i="54" s="1"/>
  <c r="FD135" i="54" a="1"/>
  <c r="FD135" i="54" s="1"/>
  <c r="FD254" i="54" a="1"/>
  <c r="FD254" i="54" s="1"/>
  <c r="FD99" i="54" a="1"/>
  <c r="FD99" i="54" s="1"/>
  <c r="FD28" i="54" a="1"/>
  <c r="FD28" i="54" s="1"/>
  <c r="FD200" i="54" a="1"/>
  <c r="FD200" i="54" s="1"/>
  <c r="FD121" i="54" a="1"/>
  <c r="FD121" i="54" s="1"/>
  <c r="FD156" i="54" a="1"/>
  <c r="FD156" i="5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<sst xmlns="http://schemas.openxmlformats.org/spreadsheetml/2006/main" count="1466" uniqueCount="333">
  <si>
    <t>Gennemsnit</t>
  </si>
  <si>
    <t>Standardafvigelse</t>
  </si>
  <si>
    <t>Andel</t>
  </si>
  <si>
    <t>Intensitet</t>
  </si>
  <si>
    <t>Konfidensniveau</t>
  </si>
  <si>
    <t>Formålet er at fremme læring af beskrivende statistik og statistisk analyse.</t>
  </si>
  <si>
    <t>Overskrift input</t>
  </si>
  <si>
    <t>Observationssæt</t>
  </si>
  <si>
    <t>Forudsætninger</t>
  </si>
  <si>
    <t>Datatypen er interval</t>
  </si>
  <si>
    <t>Indeks</t>
  </si>
  <si>
    <t>X akse</t>
  </si>
  <si>
    <t>Analyse input</t>
  </si>
  <si>
    <t>Anvendelse af JBKstat</t>
  </si>
  <si>
    <t>Manual i brug af data arket</t>
  </si>
  <si>
    <t>Eksempel 1 (interval)</t>
  </si>
  <si>
    <t>Antal observationer</t>
  </si>
  <si>
    <t>Min</t>
  </si>
  <si>
    <t>Max</t>
  </si>
  <si>
    <t>X min</t>
  </si>
  <si>
    <t>X max</t>
  </si>
  <si>
    <t>Konfidensinterval</t>
  </si>
  <si>
    <t>Koefficient</t>
  </si>
  <si>
    <t>1. Indsæt data i tabellen på data arket</t>
  </si>
  <si>
    <t xml:space="preserve">Gå til Manual i brug af Data arket                                          </t>
  </si>
  <si>
    <t xml:space="preserve">Gå til Data                                                                                             </t>
  </si>
  <si>
    <t>Formål med JBKstat</t>
  </si>
  <si>
    <t>JBKstat er et værktøj til studerende på Erhvervsakademi Aarhus.</t>
  </si>
  <si>
    <t>95% som konfidensniveau er almindeligt, hvis ikke andet er nødvendigt</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</si>
  <si>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</si>
  <si>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</si>
  <si>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</si>
  <si>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</si>
  <si>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</si>
  <si>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</si>
  <si>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</si>
  <si>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</si>
  <si>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</si>
  <si>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</si>
  <si>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</si>
  <si>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</si>
  <si>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</si>
  <si>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</si>
  <si>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</si>
  <si>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</si>
  <si>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</si>
  <si>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</si>
  <si>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</si>
  <si>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</si>
  <si>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</si>
  <si>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</si>
  <si>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</si>
  <si>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</si>
  <si>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</si>
  <si>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</si>
  <si>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</si>
  <si>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</si>
  <si>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</si>
  <si>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</si>
  <si>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</si>
  <si>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</si>
  <si>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</si>
  <si>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</si>
  <si>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</si>
  <si>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</si>
  <si>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</si>
  <si>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</si>
  <si>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</si>
  <si>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</si>
  <si>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</si>
  <si>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</si>
  <si>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</si>
  <si>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</si>
  <si>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</si>
  <si>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</si>
  <si>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</si>
  <si>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</si>
  <si>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</si>
  <si>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</si>
  <si>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</si>
  <si>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</si>
  <si>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</si>
  <si>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</si>
  <si>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</si>
  <si>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</si>
  <si>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</si>
  <si>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</si>
  <si>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</si>
  <si>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</si>
  <si>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</si>
  <si>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</si>
  <si>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</si>
  <si>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</si>
  <si>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</si>
  <si>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</si>
  <si>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</si>
  <si>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</si>
  <si>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</si>
  <si>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</si>
  <si>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</si>
  <si>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</si>
  <si>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Det kan være en fordel at skrive datatypen ind i overskriften, hvis det ikke giver sig selv</t>
  </si>
  <si>
    <t>Det anbefales at bruge korte, beskrivende overskrifter</t>
  </si>
  <si>
    <t>Formålet med arket Data er at indeholde alt data, som bruges til videre analyse</t>
  </si>
  <si>
    <t>Formålet med arket Konfidens og Hypoteser er at analysere observationssæt</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</si>
  <si>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</si>
  <si>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</si>
  <si>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</si>
  <si>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</si>
  <si>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</si>
  <si>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</si>
  <si>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</si>
  <si>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</si>
  <si>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</si>
  <si>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</si>
  <si>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</si>
  <si>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</si>
  <si>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</si>
  <si>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</si>
  <si>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</si>
  <si>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</si>
  <si>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</si>
  <si>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</si>
  <si>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</si>
  <si>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</si>
  <si>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</si>
  <si>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</si>
  <si>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</si>
  <si>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</si>
  <si>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</si>
  <si>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</si>
  <si>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</si>
  <si>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</si>
  <si>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</si>
  <si>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</si>
  <si>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</si>
  <si>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</si>
  <si>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</si>
  <si>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</si>
  <si>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Vælg et konfidensniveau som er større end 50% og mindre end 100% (se figur 11)</t>
  </si>
  <si>
    <t>Eksempel 3 (nominal)</t>
  </si>
  <si>
    <t>Eksempel 2 (interval)</t>
  </si>
  <si>
    <t>Koefficient i regressionsmodel</t>
  </si>
  <si>
    <t>Antal variable</t>
  </si>
  <si>
    <t>Eksempel 4 (nominal)</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</si>
  <si>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</si>
  <si>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</si>
  <si>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</si>
  <si>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</si>
  <si>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</si>
  <si>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</si>
  <si>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</si>
  <si>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</si>
  <si>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</si>
  <si>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</si>
  <si>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</si>
  <si>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</si>
  <si>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</si>
  <si>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</si>
  <si>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</si>
  <si>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</si>
  <si>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</si>
  <si>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</si>
  <si>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</si>
  <si>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</si>
  <si>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</si>
  <si>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</si>
  <si>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</si>
  <si>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</si>
  <si>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</si>
  <si>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</si>
  <si>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</si>
  <si>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</si>
  <si>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</si>
  <si>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</si>
  <si>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</si>
  <si>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</si>
  <si>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</si>
  <si>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</si>
  <si>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</si>
  <si>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</si>
  <si>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</si>
  <si>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</si>
  <si>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</si>
  <si>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</si>
  <si>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</si>
  <si>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</si>
  <si>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</si>
  <si>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</si>
  <si>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</si>
  <si>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</si>
  <si>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</si>
  <si>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</si>
  <si>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</si>
  <si>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X base</t>
  </si>
  <si>
    <t>Venstre</t>
  </si>
  <si>
    <t>Højre</t>
  </si>
  <si>
    <t>Midt</t>
  </si>
  <si>
    <t>This work is licensed under a Creative Commons Attribution-ShareAlike 4.0 International Public License</t>
  </si>
  <si>
    <t>Resultater</t>
  </si>
  <si>
    <t>Fejlmargin</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</si>
  <si>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</si>
  <si>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</si>
  <si>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</si>
  <si>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</si>
  <si>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</si>
  <si>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</si>
  <si>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</si>
  <si>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</si>
  <si>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</si>
  <si>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</si>
  <si>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</si>
  <si>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</si>
  <si>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</si>
  <si>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</si>
  <si>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</si>
  <si>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</si>
  <si>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</si>
  <si>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</si>
  <si>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</si>
  <si>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</si>
  <si>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</si>
  <si>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</si>
  <si>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</si>
  <si>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</si>
  <si>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</si>
  <si>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</si>
  <si>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</si>
  <si>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</si>
  <si>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</si>
  <si>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</si>
  <si>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</si>
  <si>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</si>
  <si>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</si>
  <si>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</si>
  <si>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</si>
  <si>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</si>
  <si>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</si>
  <si>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</si>
  <si>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</si>
  <si>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</si>
  <si>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</si>
  <si>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</si>
  <si>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</si>
  <si>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</si>
  <si>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</si>
  <si>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</si>
  <si>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</si>
  <si>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</si>
  <si>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</si>
  <si>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</si>
  <si>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</si>
  <si>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</si>
  <si>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</si>
  <si>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Forudsætningerne for den lineære regression er opfyldt</t>
  </si>
  <si>
    <t>Valg om styrke for hypotesetest om gennemsnit</t>
  </si>
  <si>
    <t>Styrke</t>
  </si>
  <si>
    <t>Styrkeberegninger</t>
  </si>
  <si>
    <t>Styrkefunktion relevant</t>
  </si>
  <si>
    <t>Aktiv styrkefunktion</t>
  </si>
  <si>
    <t>Styrke venstre</t>
  </si>
  <si>
    <t>Styrke højre</t>
  </si>
  <si>
    <t>Styrke tosidet</t>
  </si>
  <si>
    <t>Styrke, aktiv</t>
  </si>
  <si>
    <t>Sand positiv
Nulhypotese accepteres
Korrekt</t>
  </si>
  <si>
    <t>Falsk negativ
Nulhypotese afvises
Fejltype 2</t>
  </si>
  <si>
    <t>Sand negativ
Nulhypotese afvises
Korrekt</t>
  </si>
  <si>
    <t>Falsk positiv
Nulhypotese accepteres
Fejltype 1</t>
  </si>
  <si>
    <t>X base venstre</t>
  </si>
  <si>
    <t>X base højre</t>
  </si>
  <si>
    <t>Tosidet approximation</t>
  </si>
  <si>
    <t>Mellemregning til approximation</t>
  </si>
  <si>
    <t>Approximeret power</t>
  </si>
  <si>
    <t>Start værdi</t>
  </si>
  <si>
    <t>Styrkefunktion, x akse</t>
  </si>
  <si>
    <t>Power</t>
  </si>
  <si>
    <t>Base position</t>
  </si>
  <si>
    <t>Mellemregning til beregnet power</t>
  </si>
  <si>
    <t>Ønsket parameterværdi</t>
  </si>
  <si>
    <t>Mulig parameterværdi, givet øvrige ønsker</t>
  </si>
  <si>
    <t>X base som procent</t>
  </si>
  <si>
    <t>Kilde</t>
  </si>
  <si>
    <t>https://www.stata.com/manuals13/psspoweroneproportion.pdf</t>
  </si>
  <si>
    <t>Valg om styrke for hypotesetest om andel</t>
  </si>
  <si>
    <t>Start værdi 1</t>
  </si>
  <si>
    <t>Start værdi 2</t>
  </si>
  <si>
    <t>Indeks for power</t>
  </si>
  <si>
    <t>Difference base</t>
  </si>
  <si>
    <t>Difference power</t>
  </si>
  <si>
    <t>Ny x base</t>
  </si>
  <si>
    <t>Ønsket difference power</t>
  </si>
  <si>
    <t>Mellemregning til approximation af højresidet</t>
  </si>
  <si>
    <t>Mellemregning til approximation af venstresidet</t>
  </si>
  <si>
    <t>Mellemregning til approximation af tosidet, (højre)</t>
  </si>
  <si>
    <t>Approximation med gradient descent til brug i forklaringer i power graf</t>
  </si>
  <si>
    <t>Fejlmargin, højre</t>
  </si>
  <si>
    <t>Fejlmargin, venstre</t>
  </si>
  <si>
    <t>Problemer med 0% grænse</t>
  </si>
  <si>
    <t>Problemer med 100% grænse</t>
  </si>
  <si>
    <t>Mellemregning til approximation af tosidet, (venstre)</t>
  </si>
  <si>
    <t>Højre, tosidet</t>
  </si>
  <si>
    <t>Venstre, tosidet</t>
  </si>
  <si>
    <t>Estimation</t>
  </si>
  <si>
    <t>Sekvens</t>
  </si>
  <si>
    <t>Inkluderet_liste</t>
  </si>
  <si>
    <t>Inkluderet</t>
  </si>
  <si>
    <t>Udeladt</t>
  </si>
  <si>
    <t>SandFalsk_liste</t>
  </si>
  <si>
    <t>Nødvendig stikprøvestørrelse for ønsket fejlmargin</t>
  </si>
  <si>
    <t>Hypotese_liste</t>
  </si>
  <si>
    <t>Fordeling_liste</t>
  </si>
  <si>
    <t>Hypotesetesetype_liste</t>
  </si>
  <si>
    <t>Beregningsmetode_liste</t>
  </si>
  <si>
    <t>Max antal observationer</t>
  </si>
  <si>
    <t>Har overskrift</t>
  </si>
  <si>
    <t>Sidste position for variabel</t>
  </si>
  <si>
    <t>Valgt variabel</t>
  </si>
  <si>
    <t>Position af valgt variabel</t>
  </si>
  <si>
    <t>Observationer, vertikal spill</t>
  </si>
  <si>
    <t>DataTitel_liste</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</si>
  <si>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</si>
  <si>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</si>
  <si>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</si>
  <si>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</si>
  <si>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</si>
  <si>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3. Fortsæt til en af de 6 øvrige ark for at udføre statistisk analyse af dine data</t>
  </si>
  <si>
    <t>Observationssæt indgår i aktiv lineær regression</t>
  </si>
  <si>
    <t>Kontrol af om værdier kan hentes</t>
  </si>
  <si>
    <t>v. 1.21.Estimation</t>
  </si>
  <si>
    <t xml:space="preserve">Gå til Estimation                                                  </t>
  </si>
  <si>
    <t>2. Analyser sandsynligheder på arket Estimation</t>
  </si>
  <si>
    <t>Manual i brug af Estimation arket</t>
  </si>
  <si>
    <t xml:space="preserve">Gå til Estimation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</si>
</sst>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
    <numFmt numFmtId="165" formatCode="0.000%"/>
    <numFmt numFmtId="166" formatCode="#,##0.000"/>
    <numFmt numFmtId="167" formatCode="#,##0.00\ &quot;kr.&quot;"/>
    <numFmt numFmtId="168" formatCode="#,##0\ &quot;kr.&quot;"/>
    <numFmt numFmtId="169" formatCode="#,##0.0000"/>
  </numFmts>
  <fonts count="23"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7" tint="0.39997558519241921"/>
        <bgColor indexed="65"/>
      </patternFill>
    </fill>
    <fill>
      <patternFill patternType="solid">
        <fgColor theme="9"/>
      </patternFill>
    </fill>
    <fill>
      <patternFill patternType="solid">
        <fgColor theme="4" tint="0.79998168889431442"/>
        <bgColor indexed="65"/>
      </patternFill>
    </fill>
    <fill>
      <patternFill patternType="solid">
        <fgColor theme="7" tint="0.79998168889431442"/>
        <bgColor indexed="65"/>
      </patternFill>
    </fill>
    <fill>
      <patternFill patternType="solid">
        <fgColor theme="7"/>
        <bgColor indexed="64"/>
      </patternFill>
    </fill>
  </fills>
  <borders count="8">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s>
  <cellStyleXfs count="31">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4"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2" fillId="0" borderId="0" applyNumberFormat="0" applyFill="0" applyBorder="0" applyAlignment="0" applyProtection="0">
      <alignment vertical="top"/>
    </xf>
    <xf numFmtId="0" fontId="1" fillId="15" borderId="0" applyNumberFormat="0" applyBorder="0" applyAlignment="0" applyProtection="0"/>
    <xf numFmtId="0" fontId="1" fillId="16" borderId="0" applyNumberFormat="0" applyBorder="0" applyAlignment="0" applyProtection="0"/>
  </cellStyleXfs>
  <cellXfs count="90">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2" borderId="0" xfId="23" applyFill="1" applyAlignment="1">
      <alignment horizontal="left" vertical="top"/>
    </xf>
    <xf numFmtId="0" fontId="1" fillId="13" borderId="0" xfId="23" applyFill="1" applyAlignment="1">
      <alignment horizontal="left" vertical="top"/>
    </xf>
    <xf numFmtId="0" fontId="1" fillId="11" borderId="0" xfId="23" applyFill="1" applyAlignment="1">
      <alignment horizontal="left" vertical="top"/>
    </xf>
    <xf numFmtId="0" fontId="10" fillId="12" borderId="0" xfId="2" applyFill="1">
      <alignment vertical="top"/>
    </xf>
    <xf numFmtId="0" fontId="13" fillId="0" borderId="0" xfId="17" applyFill="1">
      <alignment vertical="top"/>
    </xf>
    <xf numFmtId="0" fontId="10" fillId="13" borderId="0" xfId="2" applyFill="1">
      <alignment vertical="top"/>
    </xf>
    <xf numFmtId="0" fontId="10" fillId="11" borderId="0" xfId="2" applyFill="1">
      <alignment vertical="top"/>
    </xf>
    <xf numFmtId="0" fontId="19" fillId="9"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3" borderId="0" xfId="27" applyAlignment="1">
      <alignment vertical="top"/>
    </xf>
    <xf numFmtId="0" fontId="1" fillId="12" borderId="0" xfId="26" applyAlignment="1">
      <alignment vertical="top"/>
    </xf>
    <xf numFmtId="0" fontId="22" fillId="0" borderId="0" xfId="28">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6" xfId="4" applyFont="1" applyBorder="1" applyProtection="1">
      <alignment vertical="top"/>
    </xf>
    <xf numFmtId="0" fontId="0" fillId="0" borderId="5" xfId="4" applyFont="1" applyBorder="1" applyProtection="1">
      <alignment vertical="top"/>
    </xf>
    <xf numFmtId="0" fontId="13" fillId="0" borderId="0" xfId="17" applyProtection="1">
      <alignment vertical="top"/>
    </xf>
    <xf numFmtId="0" fontId="1" fillId="13" borderId="0" xfId="23" applyFill="1" applyAlignment="1" applyProtection="1">
      <alignment horizontal="left"/>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 fillId="15" borderId="0" xfId="29" applyAlignment="1">
      <alignment vertical="top"/>
    </xf>
    <xf numFmtId="0" fontId="1" fillId="16" borderId="0" xfId="30" applyAlignment="1">
      <alignment vertical="top"/>
    </xf>
    <xf numFmtId="0" fontId="1" fillId="16" borderId="0" xfId="30" applyAlignment="1">
      <alignment horizontal="left" vertical="top" indent="1"/>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11" fillId="0" borderId="2" xfId="10" applyNumberFormat="1" applyAlignment="1">
      <alignment vertical="top"/>
    </xf>
    <xf numFmtId="166" fontId="11" fillId="0" borderId="2" xfId="18" applyFont="1" applyBorder="1" applyAlignment="1">
      <alignment vertical="top"/>
    </xf>
    <xf numFmtId="165" fontId="11" fillId="0" borderId="2" xfId="10" applyNumberFormat="1" applyAlignment="1">
      <alignment vertical="top"/>
    </xf>
    <xf numFmtId="0" fontId="5" fillId="6" borderId="2" xfId="11" applyAlignment="1">
      <alignment vertical="top"/>
    </xf>
    <xf numFmtId="166" fontId="11" fillId="0" borderId="2" xfId="10" applyNumberFormat="1" applyAlignment="1">
      <alignment vertical="top"/>
    </xf>
    <xf numFmtId="0" fontId="0" fillId="0" borderId="0" xfId="0" applyBorder="1" applyProtection="1">
      <alignment vertical="top"/>
    </xf>
    <xf numFmtId="166" fontId="1" fillId="8" borderId="4" xfId="15" applyNumberFormat="1" applyBorder="1" applyAlignment="1" applyProtection="1">
      <alignment vertical="top"/>
    </xf>
    <xf numFmtId="0" fontId="7" fillId="10" borderId="7"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0" fontId="0" fillId="0" borderId="2" xfId="4" applyFont="1" applyFill="1">
      <alignment vertical="top"/>
    </xf>
    <xf numFmtId="0" fontId="11" fillId="5" borderId="2" xfId="3" applyFill="1" applyBorder="1">
      <alignment vertical="top"/>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14" fillId="17" borderId="0" xfId="23" applyFont="1" applyFill="1" applyAlignment="1">
      <alignment horizontal="left" vertical="top"/>
    </xf>
  </cellXfs>
  <cellStyles count="31">
    <cellStyle name="20% - Accent1" xfId="29" builtinId="30"/>
    <cellStyle name="20% - Accent4" xfId="30" builtinId="42"/>
    <cellStyle name="60% - Accent1" xfId="26" builtinId="32"/>
    <cellStyle name="60% - Accent4" xfId="27" builtinId="44"/>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8"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29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297"/>
      <tableStyleElement type="headerRow" dxfId="296"/>
      <tableStyleElement type="totalRow" dxfId="295"/>
      <tableStyleElement type="lastColumn" dxfId="294"/>
      <tableStyleElement type="firstRowStripe" dxfId="293"/>
      <tableStyleElement type="secondRowStripe" dxfId="292"/>
      <tableStyleElement type="firstColumnStripe" dxfId="291"/>
      <tableStyleElement type="secondColumnStripe" dxfId="290"/>
    </tableStyle>
    <tableStyle name="List 1" pivot="0" count="8" xr9:uid="{00000000-0011-0000-FFFF-FFFF01000000}">
      <tableStyleElement type="wholeTable" dxfId="289"/>
      <tableStyleElement type="headerRow" dxfId="288"/>
      <tableStyleElement type="totalRow" dxfId="287"/>
      <tableStyleElement type="lastColumn" dxfId="286"/>
      <tableStyleElement type="firstRowStripe" dxfId="285"/>
      <tableStyleElement type="secondRowStripe" dxfId="284"/>
      <tableStyleElement type="firstColumnStripe" dxfId="283"/>
      <tableStyleElement type="secondColumnStripe" dxfId="282"/>
    </tableStyle>
    <tableStyle name="List 2" pivot="0" count="8" xr9:uid="{00000000-0011-0000-FFFF-FFFF02000000}">
      <tableStyleElement type="wholeTable" dxfId="281"/>
      <tableStyleElement type="headerRow" dxfId="280"/>
      <tableStyleElement type="totalRow" dxfId="279"/>
      <tableStyleElement type="lastColumn" dxfId="278"/>
      <tableStyleElement type="firstRowStripe" dxfId="277"/>
      <tableStyleElement type="secondRowStripe" dxfId="276"/>
      <tableStyleElement type="firstColumnStripe" dxfId="275"/>
      <tableStyleElement type="secondColumnStripe" dxfId="274"/>
    </tableStyle>
    <tableStyle name="List 3" pivot="0" count="8" xr9:uid="{00000000-0011-0000-FFFF-FFFF03000000}">
      <tableStyleElement type="wholeTable" dxfId="273"/>
      <tableStyleElement type="headerRow" dxfId="272"/>
      <tableStyleElement type="totalRow" dxfId="271"/>
      <tableStyleElement type="lastColumn" dxfId="270"/>
      <tableStyleElement type="firstRowStripe" dxfId="269"/>
      <tableStyleElement type="secondRowStripe" dxfId="268"/>
      <tableStyleElement type="firstColumnStripe" dxfId="267"/>
      <tableStyleElement type="secondColumnStripe" dxfId="266"/>
    </tableStyle>
    <tableStyle name="List 4" pivot="0" count="8" xr9:uid="{00000000-0011-0000-FFFF-FFFF04000000}">
      <tableStyleElement type="wholeTable" dxfId="265"/>
      <tableStyleElement type="headerRow" dxfId="264"/>
      <tableStyleElement type="totalRow" dxfId="263"/>
      <tableStyleElement type="lastColumn" dxfId="262"/>
      <tableStyleElement type="firstRowStripe" dxfId="261"/>
      <tableStyleElement type="secondRowStripe" dxfId="260"/>
      <tableStyleElement type="firstColumnStripe" dxfId="259"/>
      <tableStyleElement type="secondColumnStripe" dxfId="258"/>
    </tableStyle>
    <tableStyle name="List 5" pivot="0" count="8" xr9:uid="{00000000-0011-0000-FFFF-FFFF05000000}">
      <tableStyleElement type="wholeTable" dxfId="257"/>
      <tableStyleElement type="headerRow" dxfId="256"/>
      <tableStyleElement type="totalRow" dxfId="255"/>
      <tableStyleElement type="lastColumn" dxfId="254"/>
      <tableStyleElement type="firstRowStripe" dxfId="253"/>
      <tableStyleElement type="secondRowStripe" dxfId="252"/>
      <tableStyleElement type="firstColumnStripe" dxfId="251"/>
      <tableStyleElement type="secondColumnStripe" dxfId="250"/>
    </tableStyle>
    <tableStyle name="List 6" pivot="0" count="8" xr9:uid="{00000000-0011-0000-FFFF-FFFF06000000}">
      <tableStyleElement type="wholeTable" dxfId="249"/>
      <tableStyleElement type="headerRow" dxfId="248"/>
      <tableStyleElement type="totalRow" dxfId="247"/>
      <tableStyleElement type="lastColumn" dxfId="246"/>
      <tableStyleElement type="firstRowStripe" dxfId="245"/>
      <tableStyleElement type="secondRowStripe" dxfId="244"/>
      <tableStyleElement type="firstColumnStripe" dxfId="243"/>
      <tableStyleElement type="secondColumnStripe" dxfId="242"/>
    </tableStyle>
    <tableStyle name="Table 0" pivot="0" count="7" xr9:uid="{00000000-0011-0000-FFFF-FFFF07000000}">
      <tableStyleElement type="wholeTable" dxfId="241"/>
      <tableStyleElement type="headerRow" dxfId="240"/>
      <tableStyleElement type="totalRow" dxfId="239"/>
      <tableStyleElement type="firstColumn" dxfId="238"/>
      <tableStyleElement type="lastColumn" dxfId="237"/>
      <tableStyleElement type="secondRowStripe" dxfId="236"/>
      <tableStyleElement type="secondColumnStripe" dxfId="235"/>
    </tableStyle>
    <tableStyle name="Table 1" pivot="0" count="7" xr9:uid="{00000000-0011-0000-FFFF-FFFF08000000}">
      <tableStyleElement type="wholeTable" dxfId="234"/>
      <tableStyleElement type="headerRow" dxfId="233"/>
      <tableStyleElement type="totalRow" dxfId="232"/>
      <tableStyleElement type="firstColumn" dxfId="231"/>
      <tableStyleElement type="lastColumn" dxfId="230"/>
      <tableStyleElement type="secondRowStripe" dxfId="229"/>
      <tableStyleElement type="secondColumnStripe" dxfId="228"/>
    </tableStyle>
    <tableStyle name="Table 2" pivot="0" count="7" xr9:uid="{00000000-0011-0000-FFFF-FFFF09000000}">
      <tableStyleElement type="wholeTable" dxfId="227"/>
      <tableStyleElement type="headerRow" dxfId="226"/>
      <tableStyleElement type="totalRow" dxfId="225"/>
      <tableStyleElement type="firstColumn" dxfId="224"/>
      <tableStyleElement type="lastColumn" dxfId="223"/>
      <tableStyleElement type="secondRowStripe" dxfId="222"/>
      <tableStyleElement type="secondColumnStripe" dxfId="221"/>
    </tableStyle>
    <tableStyle name="Table 3" pivot="0" count="7" xr9:uid="{00000000-0011-0000-FFFF-FFFF0A000000}">
      <tableStyleElement type="wholeTable" dxfId="220"/>
      <tableStyleElement type="headerRow" dxfId="219"/>
      <tableStyleElement type="totalRow" dxfId="218"/>
      <tableStyleElement type="firstColumn" dxfId="217"/>
      <tableStyleElement type="lastColumn" dxfId="216"/>
      <tableStyleElement type="secondRowStripe" dxfId="215"/>
      <tableStyleElement type="secondColumnStripe" dxfId="214"/>
    </tableStyle>
    <tableStyle name="Table 4" pivot="0" count="7" xr9:uid="{00000000-0011-0000-FFFF-FFFF0B000000}">
      <tableStyleElement type="wholeTable" dxfId="213"/>
      <tableStyleElement type="headerRow" dxfId="212"/>
      <tableStyleElement type="totalRow" dxfId="211"/>
      <tableStyleElement type="firstColumn" dxfId="210"/>
      <tableStyleElement type="lastColumn" dxfId="209"/>
      <tableStyleElement type="secondRowStripe" dxfId="208"/>
      <tableStyleElement type="secondColumnStripe" dxfId="207"/>
    </tableStyle>
    <tableStyle name="Table 5" pivot="0" count="7" xr9:uid="{00000000-0011-0000-FFFF-FFFF0C000000}">
      <tableStyleElement type="wholeTable" dxfId="206"/>
      <tableStyleElement type="headerRow" dxfId="205"/>
      <tableStyleElement type="totalRow" dxfId="204"/>
      <tableStyleElement type="firstColumn" dxfId="203"/>
      <tableStyleElement type="lastColumn" dxfId="202"/>
      <tableStyleElement type="secondRowStripe" dxfId="201"/>
      <tableStyleElement type="secondColumnStripe" dxfId="200"/>
    </tableStyle>
    <tableStyle name="Table 6" pivot="0" count="7" xr9:uid="{00000000-0011-0000-FFFF-FFFF0D000000}">
      <tableStyleElement type="wholeTable" dxfId="199"/>
      <tableStyleElement type="headerRow" dxfId="198"/>
      <tableStyleElement type="totalRow" dxfId="197"/>
      <tableStyleElement type="firstColumn" dxfId="196"/>
      <tableStyleElement type="lastColumn" dxfId="195"/>
      <tableStyleElement type="secondRowStripe" dxfId="194"/>
      <tableStyleElement type="secondColumnStripe" dxfId="193"/>
    </tableStyle>
    <tableStyle name="Table 7" pivot="0" count="7" xr9:uid="{6BE13D90-1AF0-4518-A1F1-60987CE17347}">
      <tableStyleElement type="wholeTable" dxfId="192"/>
      <tableStyleElement type="headerRow" dxfId="191"/>
      <tableStyleElement type="totalRow" dxfId="190"/>
      <tableStyleElement type="firstColumn" dxfId="189"/>
      <tableStyleElement type="lastColumn" dxfId="188"/>
      <tableStyleElement type="secondRowStripe" dxfId="187"/>
      <tableStyleElement type="secondColumnStripe" dxfId="186"/>
    </tableStyle>
  </tableStyles>
  <colors>
    <mruColors>
      <color rgb="FFFFC7CE"/>
      <color rgb="FF9C0006"/>
      <color rgb="FFD9D9D9"/>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tyles" Target="style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 Target="richData/rdrichvalue.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theme" Target="theme/theme1.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9.xml"/><Relationship Id="rId23" Type="http://schemas.microsoft.com/office/2017/06/relationships/rdRichValueTypes" Target="richData/rdRichValueTypes.xml"/><Relationship Id="rId28" Type="http://schemas.openxmlformats.org/officeDocument/2006/relationships/customXml" Target="../customXml/item4.xml"/><Relationship Id="rId10" Type="http://schemas.microsoft.com/office/2007/relationships/slicerCache" Target="slicerCaches/slicerCache4.xml"/><Relationship Id="rId19"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microsoft.com/office/2017/06/relationships/rdRichValueStructure" Target="richData/rdrichvaluestructure.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95% Konfidensinterval for gennemsnit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212"/>
                <c:pt idx="47">
                  <c:v>-0.583</c:v>
                </c:pt>
                <c:pt idx="129">
                  <c:v>1.854</c:v>
                </c:pt>
                <c:pt idx="211">
                  <c:v>4.291</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212"/>
                <c:pt idx="47">
                  <c:v>-0.583</c:v>
                </c:pt>
                <c:pt idx="129">
                  <c:v>1.854</c:v>
                </c:pt>
                <c:pt idx="211">
                  <c:v>4.291</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2.5% mindre end -0.583</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25</c:v>
                </c:pt>
              </c:numCache>
            </c:numRef>
          </c:xVal>
          <c:yVal>
            <c:numRef>
              <c:f>Estimation!$CQ$2</c:f>
              <c:numCache>
                <c:formatCode>General</c:formatCode>
                <c:ptCount val="1"/>
                <c:pt idx="0">
                  <c:v>1.7910804685522155E-2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2.5% større end 4.291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235</c:v>
                </c:pt>
              </c:numCache>
            </c:numRef>
          </c:xVal>
          <c:yVal>
            <c:numRef>
              <c:f>Estimation!$CQ$4</c:f>
              <c:numCache>
                <c:formatCode>General</c:formatCode>
                <c:ptCount val="1"/>
                <c:pt idx="0">
                  <c:v>1.6868301418220717E-2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95% mellem -0.583 og 4.291</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Populationsestimat for gennemsnit fra stikprøver af størrelsen n = 12
fra en population med gennemsnit = 1.854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95% Konfidensinterval for andel
af Eksempel 4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212"/>
                <c:pt idx="47">
                  <c:v>20.06%</c:v>
                </c:pt>
                <c:pt idx="129">
                  <c:v>41.667%</c:v>
                </c:pt>
                <c:pt idx="211">
                  <c:v>63.273%</c:v>
                </c:pt>
              </c:strCache>
            </c:strRef>
          </c:cat>
          <c:val>
            <c:numRef>
              <c:f>Estimation!$ES$10:$ES$268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212"/>
                <c:pt idx="47">
                  <c:v>20.06%</c:v>
                </c:pt>
                <c:pt idx="129">
                  <c:v>41.667%</c:v>
                </c:pt>
                <c:pt idx="211">
                  <c:v>63.273%</c:v>
                </c:pt>
              </c:strCache>
            </c:strRef>
          </c:cat>
          <c:val>
            <c:numRef>
              <c:f>Estimation!$ET$10:$ET$268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2.5% mindre end 20.06%</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25</c:v>
                </c:pt>
              </c:numCache>
            </c:numRef>
          </c:xVal>
          <c:yVal>
            <c:numRef>
              <c:f>Estimation!$EX$2</c:f>
              <c:numCache>
                <c:formatCode>General</c:formatCode>
                <c:ptCount val="1"/>
                <c:pt idx="0">
                  <c:v>1.6868301418220717E-2</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2.5% større end 63.273%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235</c:v>
                </c:pt>
              </c:numCache>
            </c:numRef>
          </c:xVal>
          <c:yVal>
            <c:numRef>
              <c:f>Estimation!$EX$4</c:f>
              <c:numCache>
                <c:formatCode>General</c:formatCode>
                <c:ptCount val="1"/>
                <c:pt idx="0">
                  <c:v>1.6868301418220717E-2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95% mellem 20.06% og 63.273%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Populationsestimat for andel fra stikprøver af størrelsen n = 20
fra en population med andel = 41.667%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gennemsnit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Estimation!$CT$9</c:f>
              <c:strCache>
                <c:ptCount val="1"/>
                <c:pt idx="0">
                  <c:v>Falsk negativ
Nulhypotese afvises
Fejltype 2</c:v>
                </c:pt>
              </c:strCache>
            </c:strRef>
          </c:tx>
          <c:spPr>
            <a:solidFill>
              <a:schemeClr val="accent5"/>
            </a:solidFill>
            <a:ln w="25400">
              <a:noFill/>
            </a:ln>
            <a:effectLst/>
          </c:spPr>
          <c:cat>
            <c:strRef>
              <c:f>Estimation!$CW$10:$CW$268</c:f>
              <c:strCache>
                <c:ptCount val="130"/>
                <c:pt idx="129">
                  <c:v>0.000</c:v>
                </c:pt>
              </c:strCache>
            </c:strRef>
          </c:cat>
          <c:val>
            <c:numRef>
              <c:f>Estimation!$CS$10:$CS$268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B88-4DEE-897B-81255767AB0E}"/>
            </c:ext>
          </c:extLst>
        </c:ser>
        <c:ser>
          <c:idx val="1"/>
          <c:order val="1"/>
          <c:tx>
            <c:strRef>
              <c:f>Estimation!$CU$9</c:f>
              <c:strCache>
                <c:ptCount val="1"/>
                <c:pt idx="0">
                  <c:v>Sand negativ
Nulhypotese afvises
Korrekt</c:v>
                </c:pt>
              </c:strCache>
            </c:strRef>
          </c:tx>
          <c:spPr>
            <a:solidFill>
              <a:schemeClr val="accent3"/>
            </a:solidFill>
            <a:ln w="25400">
              <a:noFill/>
            </a:ln>
            <a:effectLst/>
          </c:spPr>
          <c:cat>
            <c:strRef>
              <c:f>Estimation!$CW$10:$CW$268</c:f>
              <c:strCache>
                <c:ptCount val="130"/>
                <c:pt idx="129">
                  <c:v>0.000</c:v>
                </c:pt>
              </c:strCache>
            </c:strRef>
          </c:cat>
          <c:val>
            <c:numRef>
              <c:f>Estimation!$CU$10:$CU$268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B88-4DEE-897B-81255767AB0E}"/>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Estimation!$CV$5</c:f>
              <c:strCache>
                <c:ptCount val="1"/>
                <c:pt idx="0">
                  <c:v>#N/A</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Estimation!$CU$2</c:f>
              <c:numCache>
                <c:formatCode>General</c:formatCode>
                <c:ptCount val="1"/>
                <c:pt idx="0">
                  <c:v>#N/A</c:v>
                </c:pt>
              </c:numCache>
            </c:numRef>
          </c:xVal>
          <c:yVal>
            <c:numRef>
              <c:f>Estimation!$CW$2</c:f>
              <c:numCache>
                <c:formatCode>General</c:formatCode>
                <c:ptCount val="1"/>
                <c:pt idx="0">
                  <c:v>#N/A</c:v>
                </c:pt>
              </c:numCache>
            </c:numRef>
          </c:yVal>
          <c:smooth val="0"/>
          <c:extLst>
            <c:ext xmlns:c16="http://schemas.microsoft.com/office/drawing/2014/chart" uri="{C3380CC4-5D6E-409C-BE32-E72D297353CC}">
              <c16:uniqueId val="{00000003-DB88-4DEE-897B-81255767AB0E}"/>
            </c:ext>
          </c:extLst>
        </c:ser>
        <c:ser>
          <c:idx val="5"/>
          <c:order val="3"/>
          <c:tx>
            <c:strRef>
              <c:f>Estimation!$CV$6</c:f>
              <c:strCache>
                <c:ptCount val="1"/>
                <c:pt idx="0">
                  <c:v>#N/A</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Estimation!$CU$3</c:f>
              <c:numCache>
                <c:formatCode>General</c:formatCode>
                <c:ptCount val="1"/>
                <c:pt idx="0">
                  <c:v>129</c:v>
                </c:pt>
              </c:numCache>
            </c:numRef>
          </c:xVal>
          <c:yVal>
            <c:numRef>
              <c:f>Estimation!$CW$3</c:f>
              <c:numCache>
                <c:formatCode>General</c:formatCode>
                <c:ptCount val="1"/>
                <c:pt idx="0">
                  <c:v>#N/A</c:v>
                </c:pt>
              </c:numCache>
            </c:numRef>
          </c:yVal>
          <c:smooth val="0"/>
          <c:extLst>
            <c:ext xmlns:c16="http://schemas.microsoft.com/office/drawing/2014/chart" uri="{C3380CC4-5D6E-409C-BE32-E72D297353CC}">
              <c16:uniqueId val="{00000004-DB88-4DEE-897B-81255767AB0E}"/>
            </c:ext>
          </c:extLst>
        </c:ser>
        <c:ser>
          <c:idx val="4"/>
          <c:order val="4"/>
          <c:tx>
            <c:strRef>
              <c:f>Estimation!$CV$7</c:f>
              <c:strCache>
                <c:ptCount val="1"/>
                <c:pt idx="0">
                  <c:v>#N/A</c:v>
                </c:pt>
              </c:strCache>
            </c:strRef>
          </c:tx>
          <c:spPr>
            <a:ln w="28575" cap="rnd">
              <a:solidFill>
                <a:schemeClr val="accent5"/>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Estimation!$CU$4</c:f>
              <c:numCache>
                <c:formatCode>General</c:formatCode>
                <c:ptCount val="1"/>
                <c:pt idx="0">
                  <c:v>#N/A</c:v>
                </c:pt>
              </c:numCache>
            </c:numRef>
          </c:xVal>
          <c:yVal>
            <c:numRef>
              <c:f>Estimation!$CW$4</c:f>
              <c:numCache>
                <c:formatCode>General</c:formatCode>
                <c:ptCount val="1"/>
                <c:pt idx="0">
                  <c:v>#N/A</c:v>
                </c:pt>
              </c:numCache>
            </c:numRef>
          </c:yVal>
          <c:smooth val="0"/>
          <c:extLst>
            <c:ext xmlns:c16="http://schemas.microsoft.com/office/drawing/2014/chart" uri="{C3380CC4-5D6E-409C-BE32-E72D297353CC}">
              <c16:uniqueId val="{00000005-DB88-4DEE-897B-81255767AB0E}"/>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andel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7"/>
          <c:order val="0"/>
          <c:tx>
            <c:strRef>
              <c:f>Estimation!$FA$9</c:f>
              <c:strCache>
                <c:ptCount val="1"/>
                <c:pt idx="0">
                  <c:v>Falsk negativ
Nulhypotese afvises
Fejltype 2</c:v>
                </c:pt>
              </c:strCache>
            </c:strRef>
          </c:tx>
          <c:spPr>
            <a:solidFill>
              <a:schemeClr val="accent5"/>
            </a:solidFill>
            <a:ln w="25400">
              <a:noFill/>
            </a:ln>
            <a:effectLst/>
          </c:spPr>
          <c:cat>
            <c:strRef>
              <c:f>Estimation!$FD$10:$FD$268</c:f>
              <c:strCache>
                <c:ptCount val="130"/>
                <c:pt idx="129">
                  <c:v>0.000%</c:v>
                </c:pt>
              </c:strCache>
            </c:strRef>
          </c:cat>
          <c:val>
            <c:numRef>
              <c:f>Estimation!$FC$10:$FC$268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5FA-473F-85EE-48529502B1A3}"/>
            </c:ext>
          </c:extLst>
        </c:ser>
        <c:ser>
          <c:idx val="1"/>
          <c:order val="1"/>
          <c:tx>
            <c:strRef>
              <c:f>Estimation!$FB$9</c:f>
              <c:strCache>
                <c:ptCount val="1"/>
                <c:pt idx="0">
                  <c:v>Sand negativ
Nulhypotese afvises
Korrekt</c:v>
                </c:pt>
              </c:strCache>
            </c:strRef>
          </c:tx>
          <c:spPr>
            <a:solidFill>
              <a:schemeClr val="accent3"/>
            </a:solidFill>
            <a:ln w="25400">
              <a:noFill/>
            </a:ln>
            <a:effectLst/>
          </c:spPr>
          <c:cat>
            <c:strRef>
              <c:f>Estimation!$FD$10:$FD$268</c:f>
              <c:strCache>
                <c:ptCount val="130"/>
                <c:pt idx="129">
                  <c:v>0.000%</c:v>
                </c:pt>
              </c:strCache>
            </c:strRef>
          </c:cat>
          <c:val>
            <c:numRef>
              <c:f>Estimation!$FB$10:$FB$268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5FA-473F-85EE-48529502B1A3}"/>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Estimation!$FC$5</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Estimation!$FB$2</c:f>
              <c:numCache>
                <c:formatCode>General</c:formatCode>
                <c:ptCount val="1"/>
                <c:pt idx="0">
                  <c:v>#N/A</c:v>
                </c:pt>
              </c:numCache>
            </c:numRef>
          </c:xVal>
          <c:yVal>
            <c:numRef>
              <c:f>Estimation!$FD$2</c:f>
              <c:numCache>
                <c:formatCode>General</c:formatCode>
                <c:ptCount val="1"/>
                <c:pt idx="0">
                  <c:v>#N/A</c:v>
                </c:pt>
              </c:numCache>
            </c:numRef>
          </c:yVal>
          <c:smooth val="0"/>
          <c:extLst>
            <c:ext xmlns:c16="http://schemas.microsoft.com/office/drawing/2014/chart" uri="{C3380CC4-5D6E-409C-BE32-E72D297353CC}">
              <c16:uniqueId val="{00000000-35AE-403A-B110-11EFB9A99445}"/>
            </c:ext>
          </c:extLst>
        </c:ser>
        <c:ser>
          <c:idx val="3"/>
          <c:order val="3"/>
          <c:tx>
            <c:strRef>
              <c:f>Estimation!$FC$7</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Estimation!$FB$4</c:f>
              <c:numCache>
                <c:formatCode>General</c:formatCode>
                <c:ptCount val="1"/>
                <c:pt idx="0">
                  <c:v>#N/A</c:v>
                </c:pt>
              </c:numCache>
            </c:numRef>
          </c:xVal>
          <c:yVal>
            <c:numRef>
              <c:f>Estimation!$FD$4</c:f>
              <c:numCache>
                <c:formatCode>General</c:formatCode>
                <c:ptCount val="1"/>
                <c:pt idx="0">
                  <c:v>#N/A</c:v>
                </c:pt>
              </c:numCache>
            </c:numRef>
          </c:yVal>
          <c:smooth val="0"/>
          <c:extLst>
            <c:ext xmlns:c16="http://schemas.microsoft.com/office/drawing/2014/chart" uri="{C3380CC4-5D6E-409C-BE32-E72D297353CC}">
              <c16:uniqueId val="{00000001-35AE-403A-B110-11EFB9A99445}"/>
            </c:ext>
          </c:extLst>
        </c:ser>
        <c:ser>
          <c:idx val="4"/>
          <c:order val="4"/>
          <c:tx>
            <c:strRef>
              <c:f>Estimation!$FC$6</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Estimation!$FC$3</c:f>
              <c:numCache>
                <c:formatCode>General</c:formatCode>
                <c:ptCount val="1"/>
                <c:pt idx="0">
                  <c:v>130</c:v>
                </c:pt>
              </c:numCache>
            </c:numRef>
          </c:xVal>
          <c:yVal>
            <c:numRef>
              <c:f>Estimation!$FD$3</c:f>
              <c:numCache>
                <c:formatCode>General</c:formatCode>
                <c:ptCount val="1"/>
                <c:pt idx="0">
                  <c:v>#N/A</c:v>
                </c:pt>
              </c:numCache>
            </c:numRef>
          </c:yVal>
          <c:smooth val="0"/>
          <c:extLst>
            <c:ext xmlns:c16="http://schemas.microsoft.com/office/drawing/2014/chart" uri="{C3380CC4-5D6E-409C-BE32-E72D297353CC}">
              <c16:uniqueId val="{00000002-35AE-403A-B110-11EFB9A9944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creativecommons.org/licenses/by-sa/4.0/"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xdr:col>
      <xdr:colOff>1000991</xdr:colOff>
      <xdr:row>82</xdr:row>
      <xdr:rowOff>26223</xdr:rowOff>
    </xdr:from>
    <xdr:to>
      <xdr:col>12</xdr:col>
      <xdr:colOff>306532</xdr:colOff>
      <xdr:row>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151519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93</xdr:row>
      <xdr:rowOff>0</xdr:rowOff>
    </xdr:from>
    <xdr:to>
      <xdr:col>0</xdr:col>
      <xdr:colOff>4328159</xdr:colOff>
      <xdr:row>107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171164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2"/>
          <a:srcRect l="175" r="66881"/>
          <a:stretch/>
        </xdr:blipFill>
        <xdr:spPr>
          <a:xfrm>
            <a:off x="0" y="31775400"/>
            <a:ext cx="4288155" cy="2190475"/>
          </a:xfrm>
          <a:prstGeom prst="rect">
            <a:avLst/>
          </a:prstGeom>
        </xdr:spPr>
      </xdr:pic>
    </xdr:grpSp>
    <xdr:clientData/>
  </xdr:twoCellAnchor>
  <xdr:twoCellAnchor editAs="oneCell">
    <xdr:from>
      <xdr:col>0</xdr:col>
      <xdr:colOff>0</xdr:colOff>
      <xdr:row>111</xdr:row>
      <xdr:rowOff>49530</xdr:rowOff>
    </xdr:from>
    <xdr:to>
      <xdr:col>0</xdr:col>
      <xdr:colOff>4341496</xdr:colOff>
      <xdr:row>125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204235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2"/>
          <a:srcRect l="33216" r="33538"/>
          <a:stretch/>
        </xdr:blipFill>
        <xdr:spPr>
          <a:xfrm>
            <a:off x="0" y="34568130"/>
            <a:ext cx="4341496" cy="2196190"/>
          </a:xfrm>
          <a:prstGeom prst="rect">
            <a:avLst/>
          </a:prstGeom>
        </xdr:spPr>
      </xdr:pic>
    </xdr:grpSp>
    <xdr:clientData/>
  </xdr:twoCellAnchor>
  <xdr:twoCellAnchor editAs="oneCell">
    <xdr:from>
      <xdr:col>0</xdr:col>
      <xdr:colOff>0</xdr:colOff>
      <xdr:row>129</xdr:row>
      <xdr:rowOff>0</xdr:rowOff>
    </xdr:from>
    <xdr:to>
      <xdr:col>0</xdr:col>
      <xdr:colOff>4382857</xdr:colOff>
      <xdr:row>143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236315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3"/>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92</xdr:row>
      <xdr:rowOff>140679</xdr:rowOff>
    </xdr:from>
    <xdr:to>
      <xdr:col>9</xdr:col>
      <xdr:colOff>245687</xdr:colOff>
      <xdr:row>107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170761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3"/>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147</xdr:row>
      <xdr:rowOff>97165</xdr:rowOff>
    </xdr:from>
    <xdr:to>
      <xdr:col>2</xdr:col>
      <xdr:colOff>2954655</xdr:colOff>
      <xdr:row>152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269862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4"/>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155</xdr:row>
      <xdr:rowOff>1</xdr:rowOff>
    </xdr:from>
    <xdr:to>
      <xdr:col>2</xdr:col>
      <xdr:colOff>2971801</xdr:colOff>
      <xdr:row>165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283368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5"/>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6"/>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8"/>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9"/>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8018318" y="762000"/>
              <a:ext cx="2494205"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0</xdr:colOff>
      <xdr:row>48</xdr:row>
      <xdr:rowOff>0</xdr:rowOff>
    </xdr:from>
    <xdr:to>
      <xdr:col>6</xdr:col>
      <xdr:colOff>1793</xdr:colOff>
      <xdr:row>62</xdr:row>
      <xdr:rowOff>92163</xdr:rowOff>
    </xdr:to>
    <xdr:graphicFrame macro="">
      <xdr:nvGraphicFramePr>
        <xdr:cNvPr id="23" name="Styrke_g">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0</xdr:colOff>
      <xdr:row>48</xdr:row>
      <xdr:rowOff>0</xdr:rowOff>
    </xdr:from>
    <xdr:to>
      <xdr:col>20</xdr:col>
      <xdr:colOff>55133</xdr:colOff>
      <xdr:row>62</xdr:row>
      <xdr:rowOff>95973</xdr:rowOff>
    </xdr:to>
    <xdr:graphicFrame macro="">
      <xdr:nvGraphicFramePr>
        <xdr:cNvPr id="24" name="Styrke_a">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8</v>
    <v>262</v>
    <v>1</v>
  </rv>
  <rv s="0">
    <v>0</v>
    <v>8</v>
    <v>258</v>
    <v>1</v>
  </rv>
  <rv s="1">
    <v>8</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W268" totalsRowShown="0" dataDxfId="157">
  <autoFilter ref="BZ9:CW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F5A9AFB0-A8E0-478F-BC34-C8557C1B9CA3}" name="Indeks" dataDxfId="156">
      <calculatedColumnFormula>ROW(BZ10)-ROW(BZ$10)</calculatedColumnFormula>
    </tableColumn>
    <tableColumn id="2" xr3:uid="{4CB78BCE-C2DB-4BE3-909A-F49BA83A7513}" name="Indeks (1 base)" dataDxfId="155">
      <calculatedColumnFormula>Eu_tabel_g[[#This Row],[Indeks]]+1</calculatedColumnFormula>
    </tableColumn>
    <tableColumn id="3" xr3:uid="{B67ACC8F-ED1F-407D-BAD5-D9F18D360884}" name="x base" dataDxfId="154">
      <calculatedColumnFormula>CB$5+(CB$7-CB$5)/CB$3*BZ10</calculatedColumnFormula>
    </tableColumn>
    <tableColumn id="4" xr3:uid="{0A3D46C0-40C8-4B33-9EFD-905BF96B3D5E}" name="Normalfordeling" dataDxfId="153">
      <calculatedColumnFormula>IF(CC$3,_xlfn.NORM.DIST(CB10,CC$5,CC$7,FALSE),NA())</calculatedColumnFormula>
    </tableColumn>
    <tableColumn id="5" xr3:uid="{B4A01262-A796-4C45-8CE6-1D80372099E6}" name="t-fordeling" dataDxfId="152">
      <calculatedColumnFormula>IF(CD$3,_xlfn.T.DIST(CB10,CD$5,FALSE),NA())</calculatedColumnFormula>
    </tableColumn>
    <tableColumn id="6" xr3:uid="{E554D212-0C92-4875-B253-2E569806BAE9}" name="Chi-i-anden-fordeling" dataDxfId="151">
      <calculatedColumnFormula>IF(CE$3,_xlfn.CHISQ.DIST(CB10,CE$5,FALSE),NA())</calculatedColumnFormula>
    </tableColumn>
    <tableColumn id="7" xr3:uid="{CA1F6272-3F4A-4206-9D21-9E8D0A89E354}" name="F-fordeling" dataDxfId="150">
      <calculatedColumnFormula>IF(CF$3,_xlfn.F.DIST(CB10,CF$5,CF$7,FALSE),NA())</calculatedColumnFormula>
    </tableColumn>
    <tableColumn id="8" xr3:uid="{552F0111-FCDD-49C7-A7C8-1742D0A7EE58}" name="Mindre end teststørrelse" dataDxfId="149">
      <calculatedColumnFormula>CB10&lt;CG$3</calculatedColumnFormula>
    </tableColumn>
    <tableColumn id="9" xr3:uid="{FC0C923B-0BA5-46A8-8957-C57FBCC1A57D}" name="Større end teststørrelse" dataDxfId="148">
      <calculatedColumnFormula>CB10&gt;CG$3</calculatedColumnFormula>
    </tableColumn>
    <tableColumn id="10" xr3:uid="{3A5ED543-574B-4F93-B8A9-6AE26314E002}" name="Forskellig fra teststørrelse" dataDxfId="147">
      <calculatedColumnFormula>OR(CB10&lt;CI$3,CB10&gt;CI$5)</calculatedColumnFormula>
    </tableColumn>
    <tableColumn id="11" xr3:uid="{D80DB855-8C47-4C30-BEA6-A756CD4C3558}" name="Lig med teststørrelse" dataDxfId="146">
      <calculatedColumnFormula>AND(CB10&gt;CI$3,CB10&lt;CI$5)</calculatedColumnFormula>
    </tableColumn>
    <tableColumn id="12" xr3:uid="{6FB3C166-50C3-431A-8080-CB59F544D2E5}" name="Valgt fordeling" dataDxfId="145">
      <calculatedColumnFormula>_xlfn.AGGREGATE(9,6,CC10:CF10)</calculatedColumnFormula>
    </tableColumn>
    <tableColumn id="13" xr3:uid="{9D2DE2D1-6EBC-4C86-98D3-DC86001D26EE}" name="Alternativ hypotese" dataDxfId="144">
      <calculatedColumnFormula>IF(INDEX(CG10:CJ10,CK$7),CK10,NA())</calculatedColumnFormula>
    </tableColumn>
    <tableColumn id="14" xr3:uid="{2D271E37-6776-45F4-B1E6-892BC648A5CE}" name="Nulhypotese" dataDxfId="143">
      <calculatedColumnFormula>IF(INDEX(CG10:CJ10,CL$7),CK10,NA())</calculatedColumnFormula>
    </tableColumn>
    <tableColumn id="15" xr3:uid="{107246DD-5D5E-4664-8D88-AED4668487C2}" name="x akse label" dataDxfId="142" dataCellStyle="Note">
      <calculatedColumnFormula>_xlfn.SWITCH(BZ10,CN$2,CN$5,CN$3,CN$6,CN$4,CN$7,"")</calculatedColumnFormula>
    </tableColumn>
    <tableColumn id="16" xr3:uid="{D8CC3A5C-23BA-4012-BBD1-DA8E8C4E7C4E}" name="Styrke venstre" dataDxfId="141">
      <calculatedColumnFormula>_xlfn.NORM.DIST(_xlfn.NORM.INV(1-Eu_g_konfidensniveau,0,1)-Eu_tabel_g[[#This Row],[x base]],0,1,TRUE)</calculatedColumnFormula>
    </tableColumn>
    <tableColumn id="17" xr3:uid="{EC0072AA-8386-489F-9A83-5819B2211A55}" name="Styrke højre" dataDxfId="140">
      <calculatedColumnFormula>1-_xlfn.NORM.DIST(_xlfn.NORM.INV(Eu_g_konfidensniveau,0,1)-Eu_tabel_g[[#This Row],[x base]],0,1,TRUE)</calculatedColumnFormula>
    </tableColumn>
    <tableColumn id="18" xr3:uid="{915EC348-07DD-4660-83F1-B08EA8ACC349}" name="Styrke tosidet" dataDxfId="139">
      <calculatedColumnFormula>_xlfn.NORM.DIST(_xlfn.NORM.INV((1-Eu_g_konfidensniveau)/2,0,1)-Eu_tabel_g[[#This Row],[x base]],0,1,TRUE)+1-_xlfn.NORM.DIST(_xlfn.NORM.INV(1-(1-Eu_g_konfidensniveau)/2,0,1)-Eu_tabel_g[[#This Row],[x base]],0,1,TRUE)</calculatedColumnFormula>
    </tableColumn>
    <tableColumn id="19" xr3:uid="{4A3361CB-7557-40F8-BA27-CEC52174B7FD}" name="Styrke, aktiv" dataDxfId="138">
      <calculatedColumnFormula array="1">IF($CR$3,INDEX(Eu_tabel_g[[#This Row],[Styrke venstre]:[Styrke tosidet]],CR$7),NA())</calculatedColumnFormula>
    </tableColumn>
    <tableColumn id="20" xr3:uid="{8A7EBA54-E153-49DB-813D-DD2A7E93F28A}" name="Sand positiv_x000a_Nulhypotese accepteres_x000a_Korrekt" dataDxfId="137">
      <calculatedColumnFormula>Eu_tabel_g[[#This Row],[Falsk positiv
Nulhypotese accepteres
Fejltype 1]]</calculatedColumnFormula>
    </tableColumn>
    <tableColumn id="21" xr3:uid="{EC721823-8F83-4356-99C0-953F5003F1DC}" name="Falsk negativ_x000a_Nulhypotese afvises_x000a_Fejltype 2" dataDxfId="136">
      <calculatedColumnFormula>IF(CHOOSE(CR$7,Eu_tabel_g[[#This Row],[x base]]&gt;0,Eu_tabel_g[[#This Row],[x base]]&lt;0,Eu_tabel_g[[#This Row],[x base]]=0),Eu_tabel_g[[#This Row],[Styrke, aktiv]],NA())</calculatedColumnFormula>
    </tableColumn>
    <tableColumn id="22" xr3:uid="{68E166B2-2605-4242-940D-06BE3435A7B5}" name="Sand negativ_x000a_Nulhypotese afvises_x000a_Korrekt" dataDxfId="135">
      <calculatedColumnFormula>IFERROR(IF($CR$3,Eu_tabel_g[[#This Row],[Styrke, aktiv]],NA()),NA())</calculatedColumnFormula>
    </tableColumn>
    <tableColumn id="23" xr3:uid="{ACC3E1DD-B845-4E16-8D04-1C7F41221CAA}" name="Falsk positiv_x000a_Nulhypotese accepteres_x000a_Fejltype 1" dataDxfId="134">
      <calculatedColumnFormula>IF(ISNA(Eu_tabel_g[[#This Row],[Sand negativ
Nulhypotese afvises
Korrekt]]),NA(),IF($CR$3,1,NA()))</calculatedColumnFormula>
    </tableColumn>
    <tableColumn id="24" xr3:uid="{E3D90310-856A-4C01-B62A-F8D26D6AC47B}" name="Styrkefunktion, x akse" dataDxfId="133" dataCellStyle="Comma">
      <calculatedColumnFormula array="1">_xlfn.SWITCH(BZ10,_xlfn.IFNA(CU$2,-99),CU$5,_xlfn.IFNA(CU$3,-99),CU$6,_xlfn.IFNA(CU$4,-99),CU$7,"")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32">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31">
      <calculatedColumnFormula>ROW(DN10)-ROW(DN$10)</calculatedColumnFormula>
    </tableColumn>
    <tableColumn id="2" xr3:uid="{A6F0F190-E297-4170-8177-E7217214EB82}" name="Indeks (1 base)" dataDxfId="130">
      <calculatedColumnFormula>DN10+1</calculatedColumnFormula>
    </tableColumn>
    <tableColumn id="3" xr3:uid="{B5855230-CCF0-4845-B788-BA2F01B3FAF8}" name="x base" dataDxfId="129">
      <calculatedColumnFormula>DP$5+(DP$7-DP$5)/DP$3*DN10</calculatedColumnFormula>
    </tableColumn>
    <tableColumn id="4" xr3:uid="{AEA57CCF-1E76-4E8C-8D78-7D8DD9686F18}" name="Normalfordeling" dataDxfId="128">
      <calculatedColumnFormula>IF(DQ$3,_xlfn.NORM.DIST(DP10,DQ$5,DQ$7,FALSE),NA())</calculatedColumnFormula>
    </tableColumn>
    <tableColumn id="5" xr3:uid="{D3A322D8-1BEF-4423-888A-F0EA353B2782}" name="t-fordeling" dataDxfId="127">
      <calculatedColumnFormula>IF(DR$3,_xlfn.T.DIST(DP10,DR$5,FALSE),NA())</calculatedColumnFormula>
    </tableColumn>
    <tableColumn id="6" xr3:uid="{A9FE156B-26A0-4F18-B47C-F0F1708CA93D}" name="Chi-i-anden-fordeling" dataDxfId="126">
      <calculatedColumnFormula>IF(DS$3,_xlfn.CHISQ.DIST(DP10,DS$5,FALSE),NA())</calculatedColumnFormula>
    </tableColumn>
    <tableColumn id="7" xr3:uid="{B9AB77ED-ADBD-404B-96D0-4C8CD292336D}" name="F-fordeling" dataDxfId="125">
      <calculatedColumnFormula>IF(DT$3,_xlfn.F.DIST(DP10,DT$5,DT$7,FALSE),NA())</calculatedColumnFormula>
    </tableColumn>
    <tableColumn id="8" xr3:uid="{9FF80ECD-0AF9-4987-8FE8-663C5C79EE1F}" name="Mindre end teststørrelse" dataDxfId="124">
      <calculatedColumnFormula>DP10&lt;DU$3</calculatedColumnFormula>
    </tableColumn>
    <tableColumn id="9" xr3:uid="{FE7E41B4-23C8-46FA-B60A-CF5518FF0863}" name="Større end teststørrelse" dataDxfId="123">
      <calculatedColumnFormula>DP10&gt;DU$3</calculatedColumnFormula>
    </tableColumn>
    <tableColumn id="10" xr3:uid="{1D421A77-8F6B-4097-A8CA-D620E5022E42}" name="Forskellig fra teststørrelse" dataDxfId="122">
      <calculatedColumnFormula>OR(DP10&lt;DW$3,DP10&gt;DW$5)</calculatedColumnFormula>
    </tableColumn>
    <tableColumn id="11" xr3:uid="{E0365AB4-8EA2-4AF2-BF00-37D6949F705C}" name="Lig med teststørrelse" dataDxfId="121">
      <calculatedColumnFormula>AND(DP10&gt;DW$3,DP10&lt;DW$5)</calculatedColumnFormula>
    </tableColumn>
    <tableColumn id="12" xr3:uid="{1D356D5B-8FBE-4378-8F48-D7A2C35731D3}" name="Valgt fordeling" dataDxfId="120">
      <calculatedColumnFormula>_xlfn.AGGREGATE(9,6,DQ10:DT10)</calculatedColumnFormula>
    </tableColumn>
    <tableColumn id="13" xr3:uid="{A1AB737B-E61E-4FC7-826C-5588CADC749B}" name="Alternativ hypotese" dataDxfId="119">
      <calculatedColumnFormula>IF(INDEX(DU10:DX10,DY$7),DY10,NA())</calculatedColumnFormula>
    </tableColumn>
    <tableColumn id="14" xr3:uid="{04BB390A-33D5-4D50-8B04-F8BB1A2F592C}" name="Nulhypotese" dataDxfId="118">
      <calculatedColumnFormula>IF(INDEX(DU10:DX10,DZ$7),DY10,NA())</calculatedColumnFormula>
    </tableColumn>
    <tableColumn id="15" xr3:uid="{DE002016-2D0F-40EC-82F3-9A7E4E62656C}" name="x akse label" dataDxfId="117"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FE268" totalsRowShown="0" dataDxfId="116">
  <autoFilter ref="EG9:FE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FF45FCA6-3192-4830-A091-6989DD291D03}" name="Indeks" dataDxfId="115">
      <calculatedColumnFormula>ROW(EG10)-ROW(EG$10)</calculatedColumnFormula>
    </tableColumn>
    <tableColumn id="2" xr3:uid="{C7E566D5-E9DA-4ACF-97F3-ECDFE88466E5}" name="Indeks (1 base)" dataDxfId="114">
      <calculatedColumnFormula>EG10+1</calculatedColumnFormula>
    </tableColumn>
    <tableColumn id="3" xr3:uid="{45B9890A-475E-46F9-87FC-5CC50D4491F3}" name="x base" dataDxfId="113">
      <calculatedColumnFormula>EI$5+(EI$7-EI$5)/EI$3*EG10</calculatedColumnFormula>
    </tableColumn>
    <tableColumn id="4" xr3:uid="{64C88137-E023-472A-999B-78C9BE1EA69A}" name="Normalfordeling" dataDxfId="112">
      <calculatedColumnFormula>IF(EJ$3,_xlfn.NORM.DIST(EI10,EJ$5,EJ$7,FALSE),NA())</calculatedColumnFormula>
    </tableColumn>
    <tableColumn id="5" xr3:uid="{874D946D-A35B-4F75-8B2C-6C530511C762}" name="t-fordeling" dataDxfId="111">
      <calculatedColumnFormula>IF(EK$3,_xlfn.T.DIST(EI10,EK$5,FALSE),NA())</calculatedColumnFormula>
    </tableColumn>
    <tableColumn id="6" xr3:uid="{FBD61756-64D7-4B48-8F8C-8BEA43E96AAC}" name="Chi-i-anden-fordeling" dataDxfId="110">
      <calculatedColumnFormula>IF(EL$3,_xlfn.CHISQ.DIST(EI10,EL$5,FALSE),NA())</calculatedColumnFormula>
    </tableColumn>
    <tableColumn id="7" xr3:uid="{429540FA-5C76-419F-A633-10E9CFEA4E46}" name="F-fordeling" dataDxfId="109">
      <calculatedColumnFormula>IF(EM$3,_xlfn.F.DIST(EI10,EM$5,EM$7,FALSE),NA())</calculatedColumnFormula>
    </tableColumn>
    <tableColumn id="8" xr3:uid="{26B3681C-D389-4687-82DD-39FC433C5DBA}" name="Mindre end teststørrelse" dataDxfId="108">
      <calculatedColumnFormula>EI10&lt;EN$3</calculatedColumnFormula>
    </tableColumn>
    <tableColumn id="9" xr3:uid="{E04065F8-B982-42F0-8F65-91860AFDC327}" name="Større end teststørrelse" dataDxfId="107">
      <calculatedColumnFormula>EI10&gt;EN$3</calculatedColumnFormula>
    </tableColumn>
    <tableColumn id="10" xr3:uid="{6F595B56-D869-4D3F-8FC6-AC81CCAFB79B}" name="Forskellig fra teststørrelse" dataDxfId="106">
      <calculatedColumnFormula>OR(EI10&lt;EP$3,EI10&gt;EP$5)</calculatedColumnFormula>
    </tableColumn>
    <tableColumn id="11" xr3:uid="{C4625EC6-4800-4868-B3BF-3D9ACC0C28DA}" name="Lig med teststørrelse" dataDxfId="105">
      <calculatedColumnFormula>AND(EI10&gt;EP$3,EI10&lt;EP$5)</calculatedColumnFormula>
    </tableColumn>
    <tableColumn id="12" xr3:uid="{15FE9138-38B2-4665-BC9A-E71175AF135A}" name="Valgt fordeling" dataDxfId="104">
      <calculatedColumnFormula>_xlfn.AGGREGATE(9,6,EJ10:EM10)</calculatedColumnFormula>
    </tableColumn>
    <tableColumn id="13" xr3:uid="{151FC6AE-E51A-4A1E-ADBA-1DFA7770135F}" name="Alternativ hypotese" dataDxfId="103">
      <calculatedColumnFormula>IF(INDEX(EN10:EQ10,ER$7),ER10,NA())</calculatedColumnFormula>
    </tableColumn>
    <tableColumn id="14" xr3:uid="{C1830440-7530-4F70-9DEE-92FD58226A31}" name="Nulhypotese" dataDxfId="102">
      <calculatedColumnFormula>IF(INDEX(EN10:EQ10,ES$7),ER10,NA())</calculatedColumnFormula>
    </tableColumn>
    <tableColumn id="15" xr3:uid="{93445498-7900-457B-A486-B1917CB1229B}" name="x akse label" dataDxfId="101" dataCellStyle="Note">
      <calculatedColumnFormula>_xlfn.SWITCH(EG10,EU$2,EU$5,EU$3,EU$6,EU$4,EU$7,"")</calculatedColumnFormula>
    </tableColumn>
    <tableColumn id="16" xr3:uid="{56148C3A-4FF5-4398-8B18-9494DC4D298E}" name="Styrke venstre" dataDxfId="100">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7" xr3:uid="{FAB0A27C-EE1D-4FA2-BEEB-05CDF938E5DE}" name="Styrke højre" dataDxfId="99">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8" xr3:uid="{4473571C-7EB9-4A17-9DB3-8F173862FF3E}" name="Styrke tosidet" dataDxfId="98">
      <calculatedColumnFormula>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calculatedColumnFormula>
    </tableColumn>
    <tableColumn id="19" xr3:uid="{79D672F6-3294-4520-8B2C-3BA2CE63A96B}" name="Styrke, aktiv" dataDxfId="97">
      <calculatedColumnFormula array="1">IF($CR$3,INDEX(Eu_tabel_a[[#This Row],[Styrke venstre]:[Styrke tosidet]],EY$7),NA())</calculatedColumnFormula>
    </tableColumn>
    <tableColumn id="20" xr3:uid="{1B868863-2992-406B-9D52-812CFAE9730F}" name="Sand positiv_x000a_Nulhypotese accepteres_x000a_Korrekt" dataDxfId="96">
      <calculatedColumnFormula>IF(EY$3,IF(CHOOSE(EY$7,Eu_tabel_a[[#This Row],[x base]]&gt;0,Eu_tabel_a[[#This Row],[x base]]&lt;0,Eu_tabel_a[[#This Row],[x base]]=0),1,NA()),NA())</calculatedColumnFormula>
    </tableColumn>
    <tableColumn id="21" xr3:uid="{EF9C1DB2-3351-463C-AD7E-C87A70ED2405}" name="Falsk negativ_x000a_Nulhypotese afvises_x000a_Fejltype 2" dataDxfId="95">
      <calculatedColumnFormula>IF(CHOOSE(EY$7,Eu_tabel_a[[#This Row],[x base]]&gt;0,Eu_tabel_a[[#This Row],[x base]]&lt;0,Eu_tabel_a[[#This Row],[x base]]=0),Eu_tabel_a[[#This Row],[Styrke, aktiv]],NA())</calculatedColumnFormula>
    </tableColumn>
    <tableColumn id="22" xr3:uid="{4CE5BFA2-0447-423E-9DFE-778A8BD4215B}" name="Sand negativ_x000a_Nulhypotese afvises_x000a_Korrekt" dataDxfId="94">
      <calculatedColumnFormula>IFERROR(IF($EY$3,Eu_tabel_a[[#This Row],[Styrke, aktiv]],NA()),NA())</calculatedColumnFormula>
    </tableColumn>
    <tableColumn id="23" xr3:uid="{10EED5DC-4971-4072-8058-45D0BB1EF07C}" name="Falsk positiv_x000a_Nulhypotese accepteres_x000a_Fejltype 1" dataDxfId="93">
      <calculatedColumnFormula>IF(ISNA(Eu_tabel_a[[#This Row],[Sand negativ
Nulhypotese afvises
Korrekt]]),NA(),IF(EY$3,1,NA()))</calculatedColumnFormula>
    </tableColumn>
    <tableColumn id="24" xr3:uid="{513808F9-CD04-40C8-973F-650D024A70FD}" name="Styrkefunktion, x akse" dataDxfId="92" dataCellStyle="Percent">
      <calculatedColumnFormula array="1">IFERROR(_xlfn.SWITCH(Eu_tabel_a[[#This Row],[Indeks]],_xlfn.IFNA(FB$2,-99),FB$5,_xlfn.IFNA(FB$3,-99),FB$6,_xlfn.IFNA(FB$4,-99),FB$7,""),"")</calculatedColumnFormula>
    </tableColumn>
    <tableColumn id="25" xr3:uid="{56B8EC52-C1AF-4C5C-9E9B-0655F778EE44}" name="X base som procent" dataDxfId="91">
      <calculatedColumnFormula>Eu_tabel_a[[#This Row],[x base]]*SQRT(Eu_a_h0_x*(1-Eu_a_h0_x)/Eu_a_n_x)+Eu_a_h0_x</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90">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89">
      <calculatedColumnFormula>ROW(GP10)-ROW(GP$10)</calculatedColumnFormula>
    </tableColumn>
    <tableColumn id="2" xr3:uid="{3BFC3FA8-6500-4111-8481-E89C6615ED80}" name="Indeks (1 base)" dataDxfId="88">
      <calculatedColumnFormula>GP10+1</calculatedColumnFormula>
    </tableColumn>
    <tableColumn id="3" xr3:uid="{DB9ADD36-6F52-45EE-A5B5-6C2BE95E226C}" name="x base" dataDxfId="87">
      <calculatedColumnFormula>GR$5+(GR$7-GR$5)/GR$3*GP10</calculatedColumnFormula>
    </tableColumn>
    <tableColumn id="4" xr3:uid="{AD9838F5-EC4E-4B70-A56A-AB3F8DD2BA58}" name="Normalfordeling" dataDxfId="86">
      <calculatedColumnFormula>IF(GS$3,_xlfn.NORM.DIST(GR10,GS$5,GS$7,FALSE),NA())</calculatedColumnFormula>
    </tableColumn>
    <tableColumn id="5" xr3:uid="{E8FB1C91-39AA-4676-931D-1503393BEF99}" name="t-fordeling" dataDxfId="85">
      <calculatedColumnFormula>IF(GT$3,_xlfn.T.DIST(GR10,GT$5,FALSE),NA())</calculatedColumnFormula>
    </tableColumn>
    <tableColumn id="6" xr3:uid="{0C833CC3-7808-448F-A2BF-D50F639C4F4E}" name="Chi-i-anden-fordeling" dataDxfId="84">
      <calculatedColumnFormula>IF(GU$3,_xlfn.CHISQ.DIST(GR10,GU$5,FALSE),NA())</calculatedColumnFormula>
    </tableColumn>
    <tableColumn id="7" xr3:uid="{FB80F99B-4027-4C7F-ACBD-760C2071A70C}" name="F-fordeling" dataDxfId="83">
      <calculatedColumnFormula>IF(GV$3,_xlfn.F.DIST(GR10,GV$5,GV$7,FALSE),NA())</calculatedColumnFormula>
    </tableColumn>
    <tableColumn id="8" xr3:uid="{2FEA6396-AC40-4023-8940-1FAD7FF67740}" name="Mindre end teststørrelse" dataDxfId="82">
      <calculatedColumnFormula>GR10&lt;GW$3</calculatedColumnFormula>
    </tableColumn>
    <tableColumn id="9" xr3:uid="{2E46ACF3-5A14-496F-821C-2DA8D03CAB8E}" name="Større end teststørrelse" dataDxfId="81">
      <calculatedColumnFormula>GR10&gt;GW$3</calculatedColumnFormula>
    </tableColumn>
    <tableColumn id="10" xr3:uid="{C058AD47-0ED7-4D7A-9053-6A0BC9C1BF6A}" name="Forskellig fra teststørrelse" dataDxfId="80">
      <calculatedColumnFormula>OR(GR10&lt;GY$3,GR10&gt;GY$5)</calculatedColumnFormula>
    </tableColumn>
    <tableColumn id="11" xr3:uid="{61656F48-09BD-41D5-83ED-FACB82A5F713}" name="Lig med teststørrelse" dataDxfId="79">
      <calculatedColumnFormula>AND(GR10&gt;GY$3,GR10&lt;GY$5)</calculatedColumnFormula>
    </tableColumn>
    <tableColumn id="12" xr3:uid="{75B39E9A-633B-4D7E-9FC8-44162CD3B6B5}" name="Valgt fordeling" dataDxfId="78">
      <calculatedColumnFormula>_xlfn.AGGREGATE(9,6,GS10:GV10)</calculatedColumnFormula>
    </tableColumn>
    <tableColumn id="13" xr3:uid="{1E0FB3EC-77CC-4D10-9C85-179F20F27BCA}" name="Alternativ hypotese" dataDxfId="77">
      <calculatedColumnFormula>IF(INDEX(GW10:GZ10,HA$7),HA10,NA())</calculatedColumnFormula>
    </tableColumn>
    <tableColumn id="14" xr3:uid="{6DEDEF03-8A96-43D3-A35F-BCF02B6E8B50}" name="Nulhypotese" dataDxfId="76">
      <calculatedColumnFormula>IF(INDEX(GW10:GZ10,HB$7),HA10,NA())</calculatedColumnFormula>
    </tableColumn>
    <tableColumn id="15" xr3:uid="{AC1CC8CF-C584-4C78-B85E-D541B25416E9}" name="x akse label" dataDxfId="75"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74">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73">
      <calculatedColumnFormula>ROW(HJ10)-ROW(HJ$10)</calculatedColumnFormula>
    </tableColumn>
    <tableColumn id="2" xr3:uid="{8071E5EC-3F64-4EBA-B3DE-340611D73417}" name="Indeks (1 base)" dataDxfId="72">
      <calculatedColumnFormula>HJ10+1</calculatedColumnFormula>
    </tableColumn>
    <tableColumn id="3" xr3:uid="{0ADE1142-02D0-42B5-A6CE-972F8684B063}" name="x base" dataDxfId="71">
      <calculatedColumnFormula>HL$5+(HL$7-HL$5)/HL$3*HJ10</calculatedColumnFormula>
    </tableColumn>
    <tableColumn id="4" xr3:uid="{3DEC9560-9DD0-42E4-B1EB-ECD443DF1C2C}" name="Normalfordeling" dataDxfId="70">
      <calculatedColumnFormula>IF(HM$3,_xlfn.NORM.DIST(HL10,HM$5,HM$7,FALSE),NA())</calculatedColumnFormula>
    </tableColumn>
    <tableColumn id="5" xr3:uid="{8E643917-38BB-47CE-AE66-56750BB0A792}" name="t-fordeling" dataDxfId="69">
      <calculatedColumnFormula>IF(HN$3,_xlfn.T.DIST(HL10,HN$5,FALSE),NA())</calculatedColumnFormula>
    </tableColumn>
    <tableColumn id="6" xr3:uid="{1192E536-D976-4A7A-AE85-A1E8CE70EA7A}" name="Chi-i-anden-fordeling" dataDxfId="68">
      <calculatedColumnFormula>IF(HO$3,_xlfn.CHISQ.DIST(HL10,HO$5,FALSE),NA())</calculatedColumnFormula>
    </tableColumn>
    <tableColumn id="7" xr3:uid="{0009C0B0-04D3-49B3-8EDB-ADB4CB32BE09}" name="F-fordeling" dataDxfId="67">
      <calculatedColumnFormula>IF(HP$3,_xlfn.F.DIST(HL10,HP$5,HP$7,FALSE),NA())</calculatedColumnFormula>
    </tableColumn>
    <tableColumn id="8" xr3:uid="{7EE4D5E0-12D0-421E-897A-A9ABABF928BC}" name="Mindre end teststørrelse" dataDxfId="66">
      <calculatedColumnFormula>HL10&lt;HQ$3</calculatedColumnFormula>
    </tableColumn>
    <tableColumn id="9" xr3:uid="{5EA54593-E0CF-46CF-B415-F10487FDA7DD}" name="Større end teststørrelse" dataDxfId="65">
      <calculatedColumnFormula>HL10&gt;HQ$3</calculatedColumnFormula>
    </tableColumn>
    <tableColumn id="10" xr3:uid="{A0735F21-3BC8-4A57-9F60-B0FF78DC0F5C}" name="Forskellig fra teststørrelse" dataDxfId="64">
      <calculatedColumnFormula>OR(HL10&lt;HS$3,HL10&gt;HS$5)</calculatedColumnFormula>
    </tableColumn>
    <tableColumn id="11" xr3:uid="{3D3961D8-0550-4FC0-9834-EBD42204F996}" name="Lig med teststørrelse" dataDxfId="63">
      <calculatedColumnFormula>AND(HL10&gt;HS$3,HL10&lt;HS$5)</calculatedColumnFormula>
    </tableColumn>
    <tableColumn id="12" xr3:uid="{107107F3-05DA-43F1-AFE6-BC4510A037E0}" name="Valgt fordeling" dataDxfId="62">
      <calculatedColumnFormula>_xlfn.AGGREGATE(9,6,HM10:HP10)</calculatedColumnFormula>
    </tableColumn>
    <tableColumn id="13" xr3:uid="{9408DF12-0091-4E20-B53E-4192D455FA43}" name="Alternativ hypotese" dataDxfId="61">
      <calculatedColumnFormula>IF(INDEX(HQ10:HT10,HU$7),HU10,NA())</calculatedColumnFormula>
    </tableColumn>
    <tableColumn id="14" xr3:uid="{3B6CEE31-FCE6-460D-A15D-549765031A1C}" name="Nulhypotese" dataDxfId="60">
      <calculatedColumnFormula>IF(INDEX(HQ10:HT10,HV$7),HU10,NA())</calculatedColumnFormula>
    </tableColumn>
    <tableColumn id="15" xr3:uid="{EA58CBFE-DDD1-425C-A6DC-B1FE3C68E5B3}" name="x akse label" dataDxfId="59"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E9D6567-89C1-4611-893A-4DA410BC6740}" name="Styrkeberegning_G" displayName="Styrkeberegning_G" ref="DA9:DC268" totalsRowShown="0">
  <autoFilter ref="DA9:DC268" xr:uid="{E2DCFD28-A9EC-4F62-BEAD-DDF315EC7159}">
    <filterColumn colId="0" hiddenButton="1"/>
    <filterColumn colId="1" hiddenButton="1"/>
    <filterColumn colId="2" hiddenButton="1"/>
  </autoFilter>
  <tableColumns count="3">
    <tableColumn id="1" xr3:uid="{0BC27401-50C8-4247-BDC3-C6B50219F793}" name="Approximeret power" dataCellStyle="Percent">
      <calculatedColumnFormula>_xlfn.NORM.DIST(_xlfn.NORM.INV((1-Eu_g_konfidensniveau)/2,0,1)-DB10,0,1,TRUE)+1-_xlfn.NORM.DIST(_xlfn.NORM.INV(1-(1-Eu_g_konfidensniveau)/2,0,1)-DB10,0,1,TRUE)</calculatedColumnFormula>
    </tableColumn>
    <tableColumn id="2" xr3:uid="{3D9C3680-2731-4720-B8A4-394D14A06941}" name="X base venstre">
      <calculatedColumnFormula>IF(ROW(Styrkeberegning_G[[#This Row],[X base venstre]])=ROW(Styrkeberegning_G[[#Headers],[X base venstre]])+1,DB$7/(DA$7/$B$67),DB9/(DA9/$B$67))</calculatedColumnFormula>
    </tableColumn>
    <tableColumn id="3" xr3:uid="{B9B48F5E-643A-4C91-A0EC-4CCBF38C97EA}" name="X base højre">
      <calculatedColumnFormula>Styrkeberegning_G[[#This Row],[X base venstre]]*-1</calculatedColumnFormula>
    </tableColum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58" dataCellStyle="Comma"/>
    <tableColumn id="6" xr3:uid="{A8E94ABF-D01D-47F1-8AC9-E62FC8B7641F}" name="Parameter 2"/>
    <tableColumn id="7" xr3:uid="{6C714228-221D-4463-825A-EE3F88DE4C46}" name="Teststørrelse"/>
    <tableColumn id="8" xr3:uid="{CFCCE973-6615-4892-9AF5-BBFA96E9EB46}" name="Teststørrelse omvendt" dataDxfId="57">
      <calculatedColumnFormula>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56"/>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OR(MATCH(#REF!,HypoteseRetning_liste,0)=2,MATCH(#REF!,HypoteseRetning_liste,0)=3)</calculatedColumnFormula>
    </tableColumn>
    <tableColumn id="17" xr3:uid="{EED3E31E-CC81-4871-8A79-5BBDFEB73D73}" name="p-værdi">
      <calculatedColumnFormula>CHOOSE(MATCH(#REF!,HypoteseRetning_liste,0),NA(),IF(#REF!,#REF!,#REF!),IF(#REF!,#REF!,#REF!),1-#REF!)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CHOOSE(MATCH(#REF!,Fordeling_liste,0),_xlfn.NORM.INV(0.5,#REF!,#REF!),_xlfn.T.INV(0.5,#REF!),_xlfn.CHISQ.INV(0.5,#REF!),_xlfn.F.INV(0.5,#REF!,#REF!))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CHOOSE(MATCH(#REF!,Fordeling_liste,0),_xlfn.NORM.DIST(#REF!,#REF!,#REF!,TRUE),_xlfn.T.DIST(#REF!,#REF!,TRUE),_xlfn.CHISQ.DIST(#REF!,#REF!,TRUE),_xlfn.F.DIST(#REF!,#REF!,#REF!,TRUE))</calculatedColumnFormula>
    </tableColumn>
    <tableColumn id="26" xr3:uid="{EE571DEF-891E-4CFC-8E37-5F8ADFD181F1}" name="Mindre end højre %">
      <calculatedColumnFormula>CHOOSE(MATCH(#REF!,Fordeling_liste,0),_xlfn.NORM.DIST(#REF!,#REF!,#REF!,TRUE),_xlfn.T.DIST(#REF!,#REF!,TRUE),_xlfn.CHISQ.DIST(#REF!,#REF!,TRUE),_xlfn.F.DIST(#REF!,#REF!,#REF!,TRUE))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IF(OR(MATCH(#REF!,HypoteseRetning_liste,0)=2,MATCH(#REF!,HypoteseRetning_liste,0)=3),IF(#REF!=#REF!,ROUND(#REF!,5)*100&amp;"% mindre end "&amp;#REF!,ROUND(#REF!,5)*100&amp;"% mindre end "&amp;#REF!),ROUND(#REF!,5)*100&amp;"% mindre end "&amp;#REF!)</calculatedColumnFormula>
    </tableColumn>
    <tableColumn id="31" xr3:uid="{1B2CEC9D-A9D2-4678-8F03-D2ABB7DA37FB}" name="Midtpunkt forklaring">
      <calculatedColumnFormula>IF(OR(MATCH(#REF!,HypoteseRetning_liste,0)=1,MATCH(#REF!,HypoteseRetning_liste,0)=4),ROUND(#REF!,5)*100&amp;"% mellem "&amp;#REF!&amp;" og "&amp;#REF!," ")</calculatedColumnFormula>
    </tableColumn>
    <tableColumn id="32" xr3:uid="{D4493720-4666-4BA9-9A7E-80336F4D5BB0}"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OR(MATCH(#REF!,HypoteseRetning_liste,0)=2,MATCH(#REF!,HypoteseRetning_liste,0)=3)</calculatedColumnFormula>
    </tableColumn>
    <tableColumn id="17" xr3:uid="{FB495F39-19FD-4BAB-AA41-E64F8354C8BE}" name="p-værdi" dataCellStyle="Normal">
      <calculatedColumnFormula>CHOOSE(MATCH(#REF!,HypoteseRetning_liste,0),NA(),IF(#REF!,#REF!,#REF!),IF(#REF!,#REF!,#REF!),1-#REF!)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CHOOSE(MATCH(#REF!,Fordeling_liste,0),_xlfn.NORM.INV(0.5,#REF!,#REF!),_xlfn.T.INV(0.5,#REF!),_xlfn.CHISQ.INV(0.5,#REF!),_xlfn.F.INV(0.5,#REF!,#REF!))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CHOOSE(MATCH(#REF!,Fordeling_liste,0),_xlfn.NORM.DIST(#REF!,#REF!,#REF!,TRUE),_xlfn.T.DIST(#REF!,#REF!,TRUE),_xlfn.CHISQ.DIST(#REF!,#REF!,TRUE),_xlfn.F.DIST(#REF!,#REF!,#REF!,TRUE))</calculatedColumnFormula>
    </tableColumn>
    <tableColumn id="26" xr3:uid="{9E865BB9-EEC0-4508-9B1C-2BBEAEE8D012}" name="Mindre end højre %" dataCellStyle="Normal">
      <calculatedColumnFormula>CHOOSE(MATCH(#REF!,Fordeling_liste,0),_xlfn.NORM.DIST(#REF!,#REF!,#REF!,TRUE),_xlfn.T.DIST(#REF!,#REF!,TRUE),_xlfn.CHISQ.DIST(#REF!,#REF!,TRUE),_xlfn.F.DIST(#REF!,#REF!,#REF!,TRUE))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IF(OR(MATCH(#REF!,HypoteseRetning_liste,0)=2,MATCH(#REF!,HypoteseRetning_liste,0)=3),IF(#REF!=#REF!,ROUND(#REF!,5)*100&amp;"%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IF(OR(MATCH(#REF!,HypoteseRetning_liste,0)=1,MATCH(#REF!,HypoteseRetning_liste,0)=4),ROUND(#REF!,5)*100&amp;"% mellem "&amp;#REF!&amp;" og "&amp;#REF!," ")</calculatedColumnFormula>
    </tableColumn>
    <tableColumn id="32" xr3:uid="{F5F75F28-0A96-4788-A012-DCD308D3EC34}" name="Højre forklaring" dataCellStyle="Normal">
      <calculatedColumnFormula>IF(OR(MATCH(#REF!,HypoteseRetning_liste,0)=2,MATCH(#REF!,HypoteseRetning_liste,0)=3),IF(#REF!=#REF!,ROUND(#REF!,5)*100&amp;"%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55" dataCellStyle="Normal Fill"/>
    <tableColumn id="8" xr3:uid="{8B7B8B66-6785-4BD8-A0EC-2E7F860D2B64}"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54" dataCellStyle="Percent"/>
    <tableColumn id="10" xr3:uid="{275E0CEF-84DD-4826-8D61-13D25D0FDE5D}" name="Midtpunkt label base"/>
    <tableColumn id="11" xr3:uid="{CF245EE8-CCEF-4875-9AFB-F0CA2CFF61F5}" name="Højre label base" dataDxfId="53"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OR(MATCH(#REF!,HypoteseRetning_liste,0)=2,MATCH(#REF!,HypoteseRetning_liste,0)=3)</calculatedColumnFormula>
    </tableColumn>
    <tableColumn id="17" xr3:uid="{24878F9B-9DE3-4B01-B7C3-2236276B62D1}" name="p-værdi" dataDxfId="52" dataCellStyle="Percent">
      <calculatedColumnFormula>CHOOSE(MATCH(#REF!,HypoteseRetning_liste,0),NA(),IF(#REF!,#REF!,#REF!),IF(#REF!,#REF!,#REF!),1-#REF!)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CHOOSE(MATCH(#REF!,Fordeling_liste,0),_xlfn.NORM.INV(0.5,#REF!,#REF!),_xlfn.T.INV(0.5,#REF!),_xlfn.CHISQ.INV(0.5,#REF!),_xlfn.F.INV(0.5,#REF!,#REF!))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51" dataCellStyle="Percent">
      <calculatedColumnFormula>CHOOSE(MATCH(#REF!,Fordeling_liste,0),_xlfn.NORM.DIST(#REF!,#REF!,#REF!,TRUE),_xlfn.T.DIST(#REF!,#REF!,TRUE),_xlfn.CHISQ.DIST(#REF!,#REF!,TRUE),_xlfn.F.DIST(#REF!,#REF!,#REF!,TRUE))</calculatedColumnFormula>
    </tableColumn>
    <tableColumn id="26" xr3:uid="{D3BFB010-6560-472D-BA31-BC0628BFFCBE}" name="Mindre end højre %" dataDxfId="50" dataCellStyle="Percent">
      <calculatedColumnFormula>CHOOSE(MATCH(#REF!,Fordeling_liste,0),_xlfn.NORM.DIST(#REF!,#REF!,#REF!,TRUE),_xlfn.T.DIST(#REF!,#REF!,TRUE),_xlfn.CHISQ.DIST(#REF!,#REF!,TRUE),_xlfn.F.DIST(#REF!,#REF!,#REF!,TRUE))</calculatedColumnFormula>
    </tableColumn>
    <tableColumn id="27" xr3:uid="{481983A9-06D9-4CBE-8CCC-5A6838A36EAC}" name="Midt %" dataDxfId="49" dataCellStyle="Percent">
      <calculatedColumnFormula>#REF!-#REF!</calculatedColumnFormula>
    </tableColumn>
    <tableColumn id="28" xr3:uid="{E5B356DC-BC1B-46D6-A9F9-94C1CC647AFD}" name="Større end venstre %" dataDxfId="48" dataCellStyle="Percent">
      <calculatedColumnFormula>1-#REF!</calculatedColumnFormula>
    </tableColumn>
    <tableColumn id="29" xr3:uid="{D09F6B33-0E2E-41E4-AFC4-01A2D60EB350}" name="Større end højre %" dataDxfId="47" dataCellStyle="Percent">
      <calculatedColumnFormula>1-#REF!</calculatedColumnFormula>
    </tableColumn>
    <tableColumn id="30" xr3:uid="{5B13D91C-C766-49EF-B60F-5B9BCB77B8C5}"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67F9A13-593A-4BA9-A6A4-A276EF8330D3}" name="Midtpunkt forklaring">
      <calculatedColumnFormula>IF(OR(MATCH(#REF!,HypoteseRetning_liste,0)=1,MATCH(#REF!,HypoteseRetning_liste,0)=4),ROUND(#REF!,5)*100&amp;"% mellem "&amp;#REF!&amp;" og "&amp;#REF!," ")</calculatedColumnFormula>
    </tableColumn>
    <tableColumn id="32" xr3:uid="{A5BAF18C-D7B1-4214-B92C-8CD9D49F79D9}"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46">
      <calculatedColumnFormula>"Datatypen er nominal, hvor succes er "&amp;TRUE&amp;" og øvrige værdier er "&amp;FALSE</calculatedColumnFormula>
    </tableColumn>
    <tableColumn id="43" xr3:uid="{E38F355E-467F-4CD3-9B2A-6BC63809D68F}" name="Kontrol af forudsætning 1" dataDxfId="45"/>
    <tableColumn id="44" xr3:uid="{E060AACD-2C83-4776-8B0A-3BFA5AD042A1}" name="Forudsætning 2" dataDxfId="44"/>
    <tableColumn id="45" xr3:uid="{FB840B8D-7131-4A35-A30A-0158F8C09E0B}" name="Kontrol af forudsætning 2" dataDxfId="43"/>
    <tableColumn id="46" xr3:uid="{04AC5123-42DB-4EE2-B906-AB0144CD90E1}" name="Forudsætning 3" dataDxfId="42"/>
    <tableColumn id="47" xr3:uid="{548B7C41-69AF-4F61-87A8-ABFD05C18480}" name="Kontrol af forudsætning 3" dataDxfId="41"/>
    <tableColumn id="48" xr3:uid="{03439727-C15E-46BF-A104-B258172A3D3F}" name="Forudsætning 4" dataDxfId="40"/>
    <tableColumn id="49" xr3:uid="{AC8D25F9-92E3-4360-8440-3F115071D567}" name="Kontrol af forudsætning 4" dataDxfId="39"/>
    <tableColumn id="50" xr3:uid="{623DAC51-38D9-48E0-A24C-F8FE3B5D3CB5}" name="Stikprøvestørrelse for ønsket fejlmargin" dataDxfId="38"/>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37" dataCellStyle="Comma"/>
    <tableColumn id="10" xr3:uid="{5DB766AB-7405-408D-AC2C-AF0BA9265091}" name="Midtpunkt label base"/>
    <tableColumn id="11" xr3:uid="{2123234F-8C6F-46CE-AA00-4FB106537B66}" name="Højre label base" dataDxfId="36"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OR(MATCH(#REF!,HypoteseRetning_liste,0)=2,MATCH(#REF!,HypoteseRetning_liste,0)=3)</calculatedColumnFormula>
    </tableColumn>
    <tableColumn id="17" xr3:uid="{B8990F1C-C350-4010-B32F-4049EA2582F7}" name="p-værdi" dataDxfId="35" dataCellStyle="Percent">
      <calculatedColumnFormula>CHOOSE(MATCH(#REF!,HypoteseRetning_liste,0),NA(),IF(#REF!,#REF!,#REF!),IF(#REF!,#REF!,#REF!),1-#REF!)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CHOOSE(MATCH(#REF!,Fordeling_liste,0),_xlfn.NORM.INV(0.5,#REF!,#REF!),_xlfn.T.INV(0.5,#REF!),_xlfn.CHISQ.INV(0.5,#REF!),_xlfn.F.INV(0.5,#REF!,#REF!))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34" dataCellStyle="Percent">
      <calculatedColumnFormula>CHOOSE(MATCH(#REF!,Fordeling_liste,0),_xlfn.NORM.DIST(#REF!,#REF!,#REF!,TRUE),_xlfn.T.DIST(#REF!,#REF!,TRUE),_xlfn.CHISQ.DIST(#REF!,#REF!,TRUE),_xlfn.F.DIST(#REF!,#REF!,#REF!,TRUE))</calculatedColumnFormula>
    </tableColumn>
    <tableColumn id="26" xr3:uid="{5A32BE1A-754A-4DFF-B966-52A7FD662E8A}" name="Mindre end højre %" dataDxfId="33" dataCellStyle="Percent">
      <calculatedColumnFormula>CHOOSE(MATCH(#REF!,Fordeling_liste,0),_xlfn.NORM.DIST(#REF!,#REF!,#REF!,TRUE),_xlfn.T.DIST(#REF!,#REF!,TRUE),_xlfn.CHISQ.DIST(#REF!,#REF!,TRUE),_xlfn.F.DIST(#REF!,#REF!,#REF!,TRUE))</calculatedColumnFormula>
    </tableColumn>
    <tableColumn id="27" xr3:uid="{9B46090C-DACF-4DDD-A1C0-D64B15B93DAF}" name="Midt %" dataDxfId="32" dataCellStyle="Percent">
      <calculatedColumnFormula>#REF!-#REF!</calculatedColumnFormula>
    </tableColumn>
    <tableColumn id="28" xr3:uid="{D39064F1-12A9-4A98-9386-7ACC29D7BD48}" name="Større end venstre %" dataDxfId="31" dataCellStyle="Percent">
      <calculatedColumnFormula>1-#REF!</calculatedColumnFormula>
    </tableColumn>
    <tableColumn id="29" xr3:uid="{F8DA1A7A-0309-456D-B887-FC0842F99A93}" name="Større end højre %" dataDxfId="30" dataCellStyle="Percent">
      <calculatedColumnFormula>1-#REF!</calculatedColumnFormula>
    </tableColumn>
    <tableColumn id="30" xr3:uid="{A304FC68-12CC-4B58-8056-F8B273D924AC}"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17912E8-2BEC-491D-96AF-C4E099BB125C}" name="Midtpunkt forklaring">
      <calculatedColumnFormula>IF(OR(MATCH(#REF!,HypoteseRetning_liste,0)=1,MATCH(#REF!,HypoteseRetning_liste,0)=4),ROUND(#REF!,5)*100&amp;"% mellem "&amp;#REF!&amp;" og "&amp;#REF!," ")</calculatedColumnFormula>
    </tableColumn>
    <tableColumn id="32" xr3:uid="{7F9AF521-DD57-4D37-9597-66085D5DA203}"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29"/>
    <tableColumn id="43" xr3:uid="{0B7EE534-61E1-4BEF-AA08-6572B69664A5}" name="Kontrol af forudsætning 1" dataDxfId="28"/>
    <tableColumn id="44" xr3:uid="{89557286-E63D-4615-900A-22E3CBC2BD57}" name="Forudsætning 2" dataDxfId="27"/>
    <tableColumn id="45" xr3:uid="{09E4C8CB-09CB-4971-A1A8-F264E93F4588}" name="Kontrol af forudsætning 2" dataDxfId="26"/>
    <tableColumn id="46" xr3:uid="{290F1F69-7704-465A-A5E6-B21EA2725B00}" name="Forudsætning 3" dataDxfId="25"/>
    <tableColumn id="47" xr3:uid="{9EB2F98F-D56A-447C-8F50-4FEA6420561D}" name="Kontrol af forudsætning 3" dataDxfId="24"/>
    <tableColumn id="48" xr3:uid="{FC4460B9-D9FB-4F1B-ABB3-958B6FD7C176}" name="Forudsætning 4" dataDxfId="23"/>
    <tableColumn id="49" xr3:uid="{81A33DAE-627C-41C5-948B-3E2FCC59B290}" name="Kontrol af forudsætning 4" dataDxfId="22"/>
    <tableColumn id="50" xr3:uid="{F0B3FD9E-062F-4A51-B5BF-45744B1BAC4E}" name="Stikprøvestørrelse for ønsket fejlmargin" dataDxfId="21"/>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20" headerRowBorderDxfId="19" tableBorderDxfId="18">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17">
      <calculatedColumnFormula>Eu_k_n-Eu_k_antal_koefficienter</calculatedColumnFormula>
    </tableColumn>
    <tableColumn id="6" xr3:uid="{4B1A6027-6637-46CB-AD68-0F75F7D9E067}" name="Parameter 2"/>
    <tableColumn id="7" xr3:uid="{96EA9441-C288-4440-8939-DAF8CA1CC3D4}" name="Teststørrelse" dataDxfId="16">
      <calculatedColumnFormula>(Eu_k_k-Eu_k_h0)/Eu_k_s</calculatedColumnFormula>
    </tableColumn>
    <tableColumn id="8" xr3:uid="{206CEDCA-4EE3-43FC-8A06-24B978A101A7}"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OR(MATCH(#REF!,HypoteseRetning_liste,0)=2,MATCH(#REF!,HypoteseRetning_liste,0)=3)</calculatedColumnFormula>
    </tableColumn>
    <tableColumn id="17" xr3:uid="{569616CB-8B81-47D2-B40E-B772DFB3E360}" name="p-værdi" dataDxfId="15" dataCellStyle="Percent">
      <calculatedColumnFormula>CHOOSE(MATCH(#REF!,HypoteseRetning_liste,0),NA(),IF(#REF!,#REF!,#REF!),IF(#REF!,#REF!,#REF!),1-#REF!)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CHOOSE(MATCH(#REF!,Fordeling_liste,0),_xlfn.NORM.INV(0.5,#REF!,#REF!),_xlfn.T.INV(0.5,#REF!),_xlfn.CHISQ.INV(0.5,#REF!),_xlfn.F.INV(0.5,#REF!,#REF!))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14" dataCellStyle="Percent">
      <calculatedColumnFormula>CHOOSE(MATCH(#REF!,Fordeling_liste,0),_xlfn.NORM.DIST(#REF!,#REF!,#REF!,TRUE),_xlfn.T.DIST(#REF!,#REF!,TRUE),_xlfn.CHISQ.DIST(#REF!,#REF!,TRUE),_xlfn.F.DIST(#REF!,#REF!,#REF!,TRUE))</calculatedColumnFormula>
    </tableColumn>
    <tableColumn id="26" xr3:uid="{ADF82714-06A0-4965-8819-1DB972250636}" name="Mindre end højre %" dataDxfId="13" dataCellStyle="Percent">
      <calculatedColumnFormula>CHOOSE(MATCH(#REF!,Fordeling_liste,0),_xlfn.NORM.DIST(#REF!,#REF!,#REF!,TRUE),_xlfn.T.DIST(#REF!,#REF!,TRUE),_xlfn.CHISQ.DIST(#REF!,#REF!,TRUE),_xlfn.F.DIST(#REF!,#REF!,#REF!,TRUE))</calculatedColumnFormula>
    </tableColumn>
    <tableColumn id="27" xr3:uid="{D515268A-EE91-4D5D-B6AB-1664AABB19B5}" name="Midt %" dataDxfId="12" dataCellStyle="Percent">
      <calculatedColumnFormula>#REF!-#REF!</calculatedColumnFormula>
    </tableColumn>
    <tableColumn id="28" xr3:uid="{920517E3-6D50-4502-A479-DC83F27BDE1B}" name="Større end venstre %" dataDxfId="11" dataCellStyle="Percent">
      <calculatedColumnFormula>1-#REF!</calculatedColumnFormula>
    </tableColumn>
    <tableColumn id="29" xr3:uid="{6238BCBD-14AD-4B2B-8500-6DC22BDF7C9B}" name="Større end højre %" dataDxfId="10" dataCellStyle="Percent">
      <calculatedColumnFormula>1-#REF!</calculatedColumnFormula>
    </tableColumn>
    <tableColumn id="30" xr3:uid="{18DF4910-F810-49C4-B932-55AF3CA6A2DF}" name="Venstre forklaring">
      <calculatedColumnFormula>IF(OR(MATCH(#REF!,HypoteseRetning_liste,0)=2,MATCH(#REF!,HypoteseRetning_liste,0)=3),IF(#REF!=#REF!,ROUND(#REF!,5)*100&amp;"% mindre end "&amp;#REF!,ROUND(#REF!,5)*100&amp;"% mindre end "&amp;#REF!),ROUND(#REF!,5)*100&amp;"% mindre end "&amp;#REF!)</calculatedColumnFormula>
    </tableColumn>
    <tableColumn id="31" xr3:uid="{91C31E9B-90E7-4214-83C4-14951F5E0D7C}" name="Midtpunkt forklaring">
      <calculatedColumnFormula>IF(OR(MATCH(#REF!,HypoteseRetning_liste,0)=1,MATCH(#REF!,HypoteseRetning_liste,0)=4),ROUND(#REF!,5)*100&amp;"% mellem "&amp;#REF!&amp;" og "&amp;#REF!," ")</calculatedColumnFormula>
    </tableColumn>
    <tableColumn id="32" xr3:uid="{877E35CA-0D36-491A-BBFD-A2AA77E0AF87}"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9">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8"/>
    <tableColumn id="43" xr3:uid="{06E8D855-928A-48DC-A4C2-34AA43F63F95}" name="Kontrol af forudsætning 1" dataDxfId="7">
      <calculatedColumnFormula>NOT(ISNA(K_average))</calculatedColumnFormula>
    </tableColumn>
    <tableColumn id="44" xr3:uid="{4F143FE8-DEAD-4D76-AF8C-5EECD53EA624}" name="Forudsætning 2" dataDxfId="6"/>
    <tableColumn id="45" xr3:uid="{EE021FC8-1C84-492A-9DF6-DD1B9AD8AA28}" name="Kontrol af forudsætning 2" dataDxfId="5"/>
    <tableColumn id="46" xr3:uid="{CF7BF2CF-34A5-4426-B490-79C78B94478A}" name="Forudsætning 3" dataDxfId="4"/>
    <tableColumn id="47" xr3:uid="{48240B19-A03D-4E5C-839C-E3E5B9140974}" name="Kontrol af forudsætning 3" dataDxfId="3"/>
    <tableColumn id="48" xr3:uid="{42FB01B5-F304-4C50-A9F7-2EA42019A380}" name="Forudsætning 4" dataDxfId="2"/>
    <tableColumn id="49" xr3:uid="{7E5E3D81-E354-44DF-A3F3-35A86FD4A30C}" name="Kontrol af forudsætning 4" dataDxfId="1"/>
    <tableColumn id="50" xr3:uid="{6BDBF149-F00A-4F27-8F90-5E7BECE7C246}" name="Stikprøvestørrelse for ønsket fejlmargin" dataDxfId="0"/>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D180"/>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26</v>
      </c>
      <c r="C1" s="1" t="s">
        <v>328</v>
      </c>
    </row>
    <row r="2" spans="1:4" x14ac:dyDescent="0.2">
      <c r="A2" s="4" t="s">
        <v>27</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13</v>
      </c>
      <c r="B9" s="4"/>
    </row>
    <row r="10" spans="1:4" x14ac:dyDescent="0.2">
      <c r="A10" t="s">
        <v>23</v>
      </c>
      <c r="B10" s="4"/>
      <c r="C10" s="11" t="s">
        <v>25</v>
      </c>
      <c r="D10" s="9" t="s">
        <v>24</v>
      </c>
    </row>
    <row r="11" spans="1:4" x14ac:dyDescent="0.2">
      <c r="A11" t="s">
        <v>330</v>
      </c>
      <c r="B11" s="4"/>
      <c r="C11" s="89" t="s">
        <v>329</v>
      </c>
      <c r="D11" s="10" t="s">
        <v>204</v>
      </c>
    </row>
    <row r="21" spans="1:2" x14ac:dyDescent="0.2">
      <c r="B21" s="4"/>
    </row>
    <row r="22" spans="1:2" x14ac:dyDescent="0.2">
      <c r="B22" s="4"/>
    </row>
    <row r="23" spans="1:2" x14ac:dyDescent="0.2">
      <c r="B23" s="4"/>
    </row>
    <row r="24" spans="1:2" x14ac:dyDescent="0.2">
      <c r="B24" s="4"/>
    </row>
    <row r="25" spans="1:2" x14ac:dyDescent="0.2">
      <c r="A25" s="25" t="s">
        <v>198</v>
      </c>
      <c r="B25" s="4"/>
    </row>
    <row r="26" spans="1:2" x14ac:dyDescent="0.2">
      <c r="B26" s="4"/>
    </row>
    <row r="27" spans="1:2" s="24" customFormat="1" ht="18.75" x14ac:dyDescent="0.2">
      <c r="A27" s="12" t="s">
        <v>14</v>
      </c>
    </row>
    <row r="28" spans="1:2" x14ac:dyDescent="0.2">
      <c r="A28" s="4" t="s">
        <v>103</v>
      </c>
      <c r="B28" s="4"/>
    </row>
    <row r="29" spans="1:2" x14ac:dyDescent="0.2">
      <c r="B29" s="4"/>
    </row>
    <row r="30" spans="1:2" ht="18.75" x14ac:dyDescent="0.2">
      <c r="A30" s="15" t="s">
        <v>25</v>
      </c>
      <c r="B30" s="4"/>
    </row>
    <row r="31" spans="1:2" x14ac:dyDescent="0.2">
      <c r="A31" s="4"/>
      <c r="B31" s="4"/>
    </row>
    <row r="32" spans="1:2" x14ac:dyDescent="0.2">
      <c r="A32" s="3" t="s">
        <v>321</v>
      </c>
      <c r="B32" s="4"/>
    </row>
    <row r="33" spans="1:3" x14ac:dyDescent="0.2">
      <c r="A33" s="2" t="s">
        <v>6</v>
      </c>
      <c r="B33" s="4"/>
      <c r="C33" s="6" t="s">
        <v>320</v>
      </c>
    </row>
    <row r="34" spans="1:3" x14ac:dyDescent="0.2">
      <c r="B34" s="4"/>
      <c r="C34" s="4" t="s">
        <v>102</v>
      </c>
    </row>
    <row r="35" spans="1:3" x14ac:dyDescent="0.2">
      <c r="B35" s="4"/>
      <c r="C35" s="4" t="s">
        <v>101</v>
      </c>
    </row>
    <row r="36" spans="1:3" x14ac:dyDescent="0.2">
      <c r="B36" s="4"/>
    </row>
    <row r="37" spans="1:3" x14ac:dyDescent="0.2">
      <c r="A37" s="3" t="s">
        <v>322</v>
      </c>
      <c r="B37" s="4"/>
    </row>
    <row r="38" spans="1:3" x14ac:dyDescent="0.2">
      <c r="B38" s="4"/>
      <c r="C38" s="4" t="s">
        <v>323</v>
      </c>
    </row>
    <row r="39" spans="1:3" x14ac:dyDescent="0.2">
      <c r="B39" s="4"/>
      <c r="C39" s="4" t="s">
        <v>324</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325</v>
      </c>
      <c r="B57" s="4"/>
    </row>
    <row r="58" spans="1:3" x14ac:dyDescent="0.2">
      <c r="B58" s="4"/>
      <c r="C58" s="4" t="s">
        <v>94</v>
      </c>
    </row>
    <row r="59" spans="1:3" x14ac:dyDescent="0.2">
      <c r="B59" s="4"/>
      <c r="C59" s="13" t="s">
        <v>93</v>
      </c>
    </row>
    <row r="64" spans="1:3" s="48" customFormat="1" x14ac:dyDescent="0.2"/>
    <row r="69" spans="1:2" x14ac:dyDescent="0.2">
      <c r="B69" s="4"/>
    </row>
    <row r="70" spans="1:2" x14ac:dyDescent="0.2">
      <c r="B70" s="4"/>
    </row>
    <row r="71" spans="1:2" x14ac:dyDescent="0.2">
      <c r="B71" s="4"/>
    </row>
    <row r="72" spans="1:2" x14ac:dyDescent="0.2">
      <c r="B72" s="4"/>
    </row>
    <row r="73" spans="1:2" x14ac:dyDescent="0.2">
      <c r="B73" s="4"/>
    </row>
    <row r="74" spans="1:2" x14ac:dyDescent="0.2">
      <c r="B74" s="4"/>
    </row>
    <row r="75" spans="1:2" x14ac:dyDescent="0.2">
      <c r="B75" s="4"/>
    </row>
    <row r="76" spans="1:2" s="23" customFormat="1" ht="18.75" x14ac:dyDescent="0.2">
      <c r="A76" s="14" t="s">
        <v>331</v>
      </c>
    </row>
    <row r="77" spans="1:2" x14ac:dyDescent="0.2">
      <c r="A77" s="4" t="s">
        <v>104</v>
      </c>
      <c r="B77" s="4"/>
    </row>
    <row r="78" spans="1:2" x14ac:dyDescent="0.2">
      <c r="B78" s="4"/>
    </row>
    <row r="79" spans="1:2" ht="18.75" x14ac:dyDescent="0.2">
      <c r="A79" s="16" t="s">
        <v>332</v>
      </c>
      <c r="B79" s="4"/>
    </row>
    <row r="80" spans="1:2" x14ac:dyDescent="0.2">
      <c r="B80" s="4"/>
    </row>
    <row r="81" spans="1:3" x14ac:dyDescent="0.2">
      <c r="B81" s="4"/>
    </row>
    <row r="82" spans="1:3" x14ac:dyDescent="0.2">
      <c r="A82" s="3" t="s">
        <v>97</v>
      </c>
      <c r="B82" s="4"/>
    </row>
    <row r="83" spans="1:3" x14ac:dyDescent="0.2">
      <c r="A83" s="2" t="s">
        <v>12</v>
      </c>
      <c r="B83" s="4"/>
      <c r="C83" s="4" t="s">
        <v>100</v>
      </c>
    </row>
    <row r="84" spans="1:3" x14ac:dyDescent="0.2">
      <c r="B84" s="4"/>
      <c r="C84" s="4" t="s">
        <v>95</v>
      </c>
    </row>
    <row r="86" spans="1:3" x14ac:dyDescent="0.2">
      <c r="A86" s="3" t="s">
        <v>99</v>
      </c>
      <c r="B86" s="4"/>
    </row>
    <row r="87" spans="1:3" x14ac:dyDescent="0.2">
      <c r="A87" s="2" t="s">
        <v>12</v>
      </c>
      <c r="B87" s="4"/>
      <c r="C87" s="4" t="s">
        <v>96</v>
      </c>
    </row>
    <row r="88" spans="1:3" x14ac:dyDescent="0.2">
      <c r="B88" s="4"/>
      <c r="C88" s="4"/>
    </row>
    <row r="89" spans="1:3" x14ac:dyDescent="0.2">
      <c r="A89" s="3" t="s">
        <v>98</v>
      </c>
      <c r="B89" s="4"/>
    </row>
    <row r="90" spans="1:3" x14ac:dyDescent="0.2">
      <c r="A90" s="2" t="s">
        <v>12</v>
      </c>
      <c r="C90" s="4" t="s">
        <v>139</v>
      </c>
    </row>
    <row r="91" spans="1:3" x14ac:dyDescent="0.2">
      <c r="C91" s="4" t="s">
        <v>28</v>
      </c>
    </row>
    <row r="92" spans="1:3" x14ac:dyDescent="0.2">
      <c r="C92" s="4"/>
    </row>
    <row r="93" spans="1:3" x14ac:dyDescent="0.2">
      <c r="A93" s="3" t="s">
        <v>105</v>
      </c>
      <c r="C93" s="4"/>
    </row>
    <row r="94" spans="1:3" x14ac:dyDescent="0.2">
      <c r="C94" s="4" t="s">
        <v>112</v>
      </c>
    </row>
    <row r="95" spans="1:3" x14ac:dyDescent="0.2">
      <c r="C95" s="4" t="s">
        <v>115</v>
      </c>
    </row>
    <row r="96" spans="1:3" x14ac:dyDescent="0.2">
      <c r="C96" s="4"/>
    </row>
    <row r="97" spans="1:3" x14ac:dyDescent="0.2">
      <c r="C97" s="4"/>
    </row>
    <row r="98" spans="1:3" x14ac:dyDescent="0.2">
      <c r="C98" s="4"/>
    </row>
    <row r="99" spans="1:3" x14ac:dyDescent="0.2">
      <c r="C99" s="4"/>
    </row>
    <row r="100" spans="1:3" x14ac:dyDescent="0.2">
      <c r="C100" s="4"/>
    </row>
    <row r="101" spans="1:3" x14ac:dyDescent="0.2">
      <c r="C101" s="4"/>
    </row>
    <row r="102" spans="1:3" x14ac:dyDescent="0.2">
      <c r="C102" s="4"/>
    </row>
    <row r="103" spans="1:3" x14ac:dyDescent="0.2">
      <c r="C103" s="4"/>
    </row>
    <row r="104" spans="1:3" x14ac:dyDescent="0.2">
      <c r="C104" s="4"/>
    </row>
    <row r="105" spans="1:3" x14ac:dyDescent="0.2">
      <c r="C105" s="4"/>
    </row>
    <row r="106" spans="1:3" x14ac:dyDescent="0.2">
      <c r="C106" s="4"/>
    </row>
    <row r="107" spans="1:3" x14ac:dyDescent="0.2">
      <c r="C107" s="4"/>
    </row>
    <row r="108" spans="1:3" x14ac:dyDescent="0.2">
      <c r="C108" s="4"/>
    </row>
    <row r="109" spans="1:3" x14ac:dyDescent="0.2">
      <c r="C109" s="4"/>
    </row>
    <row r="111" spans="1:3" x14ac:dyDescent="0.2">
      <c r="A111" s="3" t="s">
        <v>106</v>
      </c>
      <c r="C111" s="4"/>
    </row>
    <row r="112" spans="1:3" x14ac:dyDescent="0.2">
      <c r="C112" s="4" t="s">
        <v>111</v>
      </c>
    </row>
    <row r="113" spans="3:3" x14ac:dyDescent="0.2">
      <c r="C113" s="4" t="s">
        <v>114</v>
      </c>
    </row>
    <row r="114" spans="3:3" x14ac:dyDescent="0.2">
      <c r="C114" s="4"/>
    </row>
    <row r="115" spans="3:3" x14ac:dyDescent="0.2">
      <c r="C115" s="4"/>
    </row>
    <row r="116" spans="3:3" x14ac:dyDescent="0.2">
      <c r="C116" s="4"/>
    </row>
    <row r="117" spans="3:3" x14ac:dyDescent="0.2">
      <c r="C117" s="4"/>
    </row>
    <row r="118" spans="3:3" x14ac:dyDescent="0.2">
      <c r="C118" s="4"/>
    </row>
    <row r="119" spans="3:3" x14ac:dyDescent="0.2">
      <c r="C119" s="4"/>
    </row>
    <row r="120" spans="3:3" x14ac:dyDescent="0.2">
      <c r="C120" s="4"/>
    </row>
    <row r="121" spans="3:3" x14ac:dyDescent="0.2">
      <c r="C121" s="4"/>
    </row>
    <row r="122" spans="3:3" x14ac:dyDescent="0.2">
      <c r="C122" s="4"/>
    </row>
    <row r="123" spans="3:3" x14ac:dyDescent="0.2">
      <c r="C123" s="4"/>
    </row>
    <row r="124" spans="3:3" x14ac:dyDescent="0.2">
      <c r="C124" s="4"/>
    </row>
    <row r="125" spans="3:3" x14ac:dyDescent="0.2">
      <c r="C125" s="4"/>
    </row>
    <row r="126" spans="3:3" x14ac:dyDescent="0.2">
      <c r="C126" s="4"/>
    </row>
    <row r="127" spans="3:3" x14ac:dyDescent="0.2">
      <c r="C127" s="4"/>
    </row>
    <row r="128" spans="3:3" x14ac:dyDescent="0.2">
      <c r="C128" s="4"/>
    </row>
    <row r="129" spans="1:3" x14ac:dyDescent="0.2">
      <c r="A129" s="3" t="s">
        <v>107</v>
      </c>
      <c r="C129" s="4"/>
    </row>
    <row r="130" spans="1:3" x14ac:dyDescent="0.2">
      <c r="C130" s="4" t="s">
        <v>113</v>
      </c>
    </row>
    <row r="131" spans="1:3" x14ac:dyDescent="0.2">
      <c r="C131" s="4" t="s">
        <v>109</v>
      </c>
    </row>
    <row r="132" spans="1:3" x14ac:dyDescent="0.2">
      <c r="C132" s="4" t="s">
        <v>110</v>
      </c>
    </row>
    <row r="133" spans="1:3" x14ac:dyDescent="0.2">
      <c r="C133" s="4" t="s">
        <v>116</v>
      </c>
    </row>
    <row r="134" spans="1:3" x14ac:dyDescent="0.2">
      <c r="C134" s="4" t="s">
        <v>117</v>
      </c>
    </row>
    <row r="135" spans="1:3" x14ac:dyDescent="0.2">
      <c r="C135" s="4"/>
    </row>
    <row r="136" spans="1:3" x14ac:dyDescent="0.2">
      <c r="C136" s="4"/>
    </row>
    <row r="137" spans="1:3" x14ac:dyDescent="0.2">
      <c r="C137" s="4"/>
    </row>
    <row r="138" spans="1:3" x14ac:dyDescent="0.2">
      <c r="C138" s="4"/>
    </row>
    <row r="139" spans="1:3" x14ac:dyDescent="0.2">
      <c r="C139" s="4"/>
    </row>
    <row r="140" spans="1:3" x14ac:dyDescent="0.2">
      <c r="C140" s="4"/>
    </row>
    <row r="141" spans="1:3" x14ac:dyDescent="0.2">
      <c r="C141" s="4"/>
    </row>
    <row r="142" spans="1:3" x14ac:dyDescent="0.2">
      <c r="C142" s="4"/>
    </row>
    <row r="143" spans="1:3" x14ac:dyDescent="0.2">
      <c r="C143" s="4"/>
    </row>
    <row r="144" spans="1:3" x14ac:dyDescent="0.2">
      <c r="C144" s="4"/>
    </row>
    <row r="145" spans="1:4" x14ac:dyDescent="0.2">
      <c r="C145" s="4"/>
    </row>
    <row r="146" spans="1:4" x14ac:dyDescent="0.2">
      <c r="C146" s="4"/>
    </row>
    <row r="147" spans="1:4" x14ac:dyDescent="0.2">
      <c r="A147" s="3" t="s">
        <v>118</v>
      </c>
    </row>
    <row r="148" spans="1:4" x14ac:dyDescent="0.2">
      <c r="D148" s="4" t="s">
        <v>120</v>
      </c>
    </row>
    <row r="149" spans="1:4" x14ac:dyDescent="0.2">
      <c r="D149" s="4" t="s">
        <v>121</v>
      </c>
    </row>
    <row r="150" spans="1:4" x14ac:dyDescent="0.2">
      <c r="D150" s="4" t="s">
        <v>122</v>
      </c>
    </row>
    <row r="151" spans="1:4" x14ac:dyDescent="0.2">
      <c r="D151" s="13" t="s">
        <v>123</v>
      </c>
    </row>
    <row r="155" spans="1:4" x14ac:dyDescent="0.2">
      <c r="A155" s="3" t="s">
        <v>119</v>
      </c>
    </row>
    <row r="156" spans="1:4" x14ac:dyDescent="0.2">
      <c r="D156" s="4" t="s">
        <v>124</v>
      </c>
    </row>
    <row r="157" spans="1:4" x14ac:dyDescent="0.2">
      <c r="D157" s="4" t="s">
        <v>125</v>
      </c>
    </row>
    <row r="158" spans="1:4" x14ac:dyDescent="0.2">
      <c r="D158" s="4" t="s">
        <v>129</v>
      </c>
    </row>
    <row r="159" spans="1:4" x14ac:dyDescent="0.2">
      <c r="D159" s="21" t="s">
        <v>128</v>
      </c>
    </row>
    <row r="160" spans="1:4" x14ac:dyDescent="0.2">
      <c r="D160" s="20" t="s">
        <v>130</v>
      </c>
    </row>
    <row r="161" spans="4:4" x14ac:dyDescent="0.2">
      <c r="D161" s="20" t="s">
        <v>126</v>
      </c>
    </row>
    <row r="162" spans="4:4" x14ac:dyDescent="0.2">
      <c r="D162" s="20" t="s">
        <v>127</v>
      </c>
    </row>
    <row r="163" spans="4:4" x14ac:dyDescent="0.2">
      <c r="D163" s="22" t="s">
        <v>132</v>
      </c>
    </row>
    <row r="164" spans="4:4" x14ac:dyDescent="0.2">
      <c r="D164" s="21" t="s">
        <v>133</v>
      </c>
    </row>
    <row r="165" spans="4:4" x14ac:dyDescent="0.2">
      <c r="D165" s="22" t="s">
        <v>131</v>
      </c>
    </row>
    <row r="166" spans="4:4" x14ac:dyDescent="0.2">
      <c r="D166" s="21" t="s">
        <v>134</v>
      </c>
    </row>
    <row r="167" spans="4:4" x14ac:dyDescent="0.2">
      <c r="D167" s="21" t="s">
        <v>135</v>
      </c>
    </row>
    <row r="168" spans="4:4" x14ac:dyDescent="0.2">
      <c r="D168" s="21" t="s">
        <v>136</v>
      </c>
    </row>
    <row r="169" spans="4:4" x14ac:dyDescent="0.2">
      <c r="D169" s="21" t="s">
        <v>137</v>
      </c>
    </row>
    <row r="170" spans="4:4" x14ac:dyDescent="0.2">
      <c r="D170" s="21" t="s">
        <v>138</v>
      </c>
    </row>
    <row r="172" spans="4:4" s="49" customFormat="1" x14ac:dyDescent="0.2">
      <c r="D172" s="50"/>
    </row>
    <row r="173" spans="4:4" x14ac:dyDescent="0.2">
      <c r="D173" s="21"/>
    </row>
    <row r="174" spans="4:4" x14ac:dyDescent="0.2">
      <c r="D174" s="21"/>
    </row>
    <row r="178" spans="2:2" x14ac:dyDescent="0.2">
      <c r="B178" s="4"/>
    </row>
    <row r="179" spans="2:2" x14ac:dyDescent="0.2">
      <c r="B179" s="4"/>
    </row>
    <row r="180" spans="2:2" x14ac:dyDescent="0.2">
      <c r="B180" s="4"/>
    </row>
  </sheetData>
  <phoneticPr fontId="15" type="noConversion"/>
  <hyperlinks>
    <hyperlink ref="C10" location="Data!A1" display="Gå til Data                                                                                             " xr:uid="{9B8CED4D-F14C-41F1-803E-2B7A27A06F63}"/>
    <hyperlink ref="D10" location="V_Manual_Data" display="Gå til Manual i brug af Data arket                                          " xr:uid="{A7144529-0FD3-42E4-A567-5FBAD4D70DA0}"/>
    <hyperlink ref="D11" location="V_Manual_Konfidens_og_Hypoteser" display="Gå til Manual i brug af Konfidens og Hypoteser arket                              " xr:uid="{1C331A2E-AB41-4AE8-A18D-1C4B711580B8}"/>
    <hyperlink ref="A30" location="Data!A1" display="Gå til Data                                                                                             " xr:uid="{C05C224F-FFE7-4D48-BA4F-5EDD23C44E5C}"/>
    <hyperlink ref="A25" r:id="rId1" xr:uid="{CE916863-CD22-4D14-AD70-B2D06A131314}"/>
    <hyperlink ref="C11" location="Estimation!A1" display="Gå til Estimation                                                  " xr:uid="{6E4152CA-7C82-4EA1-AF99-13274CCF7F4C}"/>
    <hyperlink ref="C11:C14" location="Data!A1" display="Gå til data ark" xr:uid="{E0B972A5-199D-47C4-AEC3-9E26695A7482}"/>
    <hyperlink ref="A79" location="Estimation!A1" display="Gå til Konfidens og Hypoteser                                                  " xr:uid="{48B7209E-FF96-459A-AC2B-835A37551B25}"/>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85" t="s">
        <v>15</v>
      </c>
      <c r="B1" s="85" t="s">
        <v>141</v>
      </c>
      <c r="C1" s="85" t="s">
        <v>140</v>
      </c>
      <c r="D1" s="85" t="s">
        <v>144</v>
      </c>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c r="CE1" s="85"/>
      <c r="CF1" s="85"/>
      <c r="CG1" s="85"/>
      <c r="CH1" s="85"/>
      <c r="CI1" s="85"/>
      <c r="CJ1" s="85"/>
      <c r="CK1" s="85"/>
      <c r="CL1" s="85"/>
      <c r="CM1" s="85"/>
      <c r="CN1" s="85"/>
      <c r="CO1" s="85"/>
      <c r="CP1" s="85"/>
      <c r="CQ1" s="85"/>
      <c r="CR1" s="85"/>
      <c r="CS1" s="85"/>
      <c r="CT1" s="85"/>
      <c r="CU1" s="85"/>
      <c r="CV1" s="85"/>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143</v>
      </c>
      <c r="B1" cm="1">
        <f t="array" ref="B1">SUM(--_xlfn.ANCHORARRAY(B4))</f>
        <v>4</v>
      </c>
    </row>
    <row r="2" spans="1:101" x14ac:dyDescent="0.2">
      <c r="A2" t="s">
        <v>313</v>
      </c>
      <c r="B2">
        <f>MAX(B5:CW5)</f>
        <v>12</v>
      </c>
    </row>
    <row r="3" spans="1:101" x14ac:dyDescent="0.2">
      <c r="A3" t="s">
        <v>315</v>
      </c>
      <c r="B3">
        <f>_xlfn.XMATCH(TRUE,_xlfn.ANCHORARRAY(B4),0,-1)</f>
        <v>4</v>
      </c>
    </row>
    <row r="4" spans="1:101" x14ac:dyDescent="0.2">
      <c r="A4" t="s">
        <v>314</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16</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303</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election activeCell="C1" sqref="C1"/>
    </sheetView>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t="s">
        <v>304</v>
      </c>
      <c r="B1" s="1" t="s">
        <v>307</v>
      </c>
      <c r="C1" s="1" t="s">
        <v>319</v>
      </c>
      <c r="D1" s="1" t="s">
        <v>309</v>
      </c>
      <c r="E1" s="1" t="s">
        <v>310</v>
      </c>
      <c r="F1" s="1" t="s">
        <v>311</v>
      </c>
      <c r="G1" s="1" t="s">
        <v>312</v>
      </c>
    </row>
    <row r="2" spans="1:7" x14ac:dyDescent="0.2">
      <c r="A2" t="s">
        <v>305</v>
      </c>
      <c r="B2" t="b">
        <f>TRUE()</f>
        <v>1</v>
      </c>
      <c r="C2" t="str" cm="1">
        <f t="array" ref="C2:C5">TRANSPOSE(_xlfn._xlws.FILTER(Data!A1:CV1,NOT(ISBLANK(Data!A1:CV1))))</f>
        <v>Eksempel 1 (interval)</v>
      </c>
      <c r="D2" s="32" t="s">
        <v>21</v>
      </c>
      <c r="E2" s="32" t="s">
        <v>32</v>
      </c>
      <c r="F2" t="s">
        <v>21</v>
      </c>
      <c r="G2" t="s">
        <v>32</v>
      </c>
    </row>
    <row r="3" spans="1:7" x14ac:dyDescent="0.2">
      <c r="A3" t="s">
        <v>306</v>
      </c>
      <c r="B3" t="b">
        <f>FALSE()</f>
        <v>0</v>
      </c>
      <c r="C3" t="str">
        <v>Eksempel 2 (interval)</v>
      </c>
      <c r="D3" s="32" t="s">
        <v>158</v>
      </c>
      <c r="E3" s="32" t="s">
        <v>34</v>
      </c>
      <c r="F3" t="s">
        <v>36</v>
      </c>
      <c r="G3" t="s">
        <v>34</v>
      </c>
    </row>
    <row r="4" spans="1:7" x14ac:dyDescent="0.2">
      <c r="C4" t="str">
        <v>Eksempel 3 (nominal)</v>
      </c>
      <c r="D4" s="32" t="s">
        <v>159</v>
      </c>
      <c r="E4" s="32" t="s">
        <v>46</v>
      </c>
      <c r="F4" t="s">
        <v>37</v>
      </c>
      <c r="G4" t="s">
        <v>43</v>
      </c>
    </row>
    <row r="5" spans="1:7" x14ac:dyDescent="0.2">
      <c r="C5" t="str">
        <v>Eksempel 4 (nominal)</v>
      </c>
      <c r="D5" s="32" t="s">
        <v>31</v>
      </c>
      <c r="E5" s="32" t="s">
        <v>47</v>
      </c>
      <c r="F5" t="s">
        <v>38</v>
      </c>
      <c r="G5" t="s">
        <v>45</v>
      </c>
    </row>
    <row r="6" spans="1:7" x14ac:dyDescent="0.2">
      <c r="F6" t="s">
        <v>39</v>
      </c>
      <c r="G6" t="s">
        <v>46</v>
      </c>
    </row>
    <row r="7" spans="1:7" x14ac:dyDescent="0.2">
      <c r="F7" t="s">
        <v>40</v>
      </c>
      <c r="G7" t="s">
        <v>47</v>
      </c>
    </row>
    <row r="8" spans="1:7" x14ac:dyDescent="0.2">
      <c r="F8" t="s">
        <v>41</v>
      </c>
      <c r="G8" t="s">
        <v>48</v>
      </c>
    </row>
    <row r="9" spans="1:7" x14ac:dyDescent="0.2">
      <c r="G9" t="s">
        <v>35</v>
      </c>
    </row>
    <row r="10" spans="1:7" x14ac:dyDescent="0.2">
      <c r="G10" t="s">
        <v>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8" width="25.375" bestFit="1" customWidth="1"/>
    <col min="39" max="39" width="25.75" bestFit="1" customWidth="1"/>
    <col min="40" max="40" width="8.75" customWidth="1"/>
    <col min="41" max="44" width="10.375" customWidth="1"/>
    <col min="45" max="45" width="9.625" customWidth="1"/>
    <col min="46" max="49" width="10.375" customWidth="1"/>
    <col min="50" max="50" width="36" customWidth="1"/>
    <col min="51" max="52" width="35.375" bestFit="1"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125" bestFit="1"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16" t="s">
        <v>302</v>
      </c>
      <c r="B1" s="42" t="s">
        <v>204</v>
      </c>
      <c r="BE1" s="62"/>
      <c r="BF1" s="62" t="s">
        <v>213</v>
      </c>
      <c r="BG1" s="62" t="s">
        <v>222</v>
      </c>
      <c r="BH1" s="62" t="s">
        <v>237</v>
      </c>
      <c r="BI1" s="62" t="s">
        <v>238</v>
      </c>
      <c r="BJ1" s="62" t="s">
        <v>244</v>
      </c>
      <c r="BZ1" s="31"/>
      <c r="CA1" s="43" t="s">
        <v>0</v>
      </c>
      <c r="CB1" s="31" t="s">
        <v>145</v>
      </c>
      <c r="CC1" s="43"/>
      <c r="CD1" s="43"/>
      <c r="CE1" s="43"/>
      <c r="CF1" s="43"/>
      <c r="CG1" s="43"/>
      <c r="CH1" s="43"/>
      <c r="CI1" s="43"/>
      <c r="CJ1" s="43"/>
      <c r="CK1" s="43"/>
      <c r="CL1" s="43"/>
      <c r="CM1" s="43"/>
      <c r="CN1" s="43" t="s">
        <v>11</v>
      </c>
      <c r="CO1" s="43" t="s">
        <v>54</v>
      </c>
      <c r="CP1" s="31" t="s">
        <v>190</v>
      </c>
      <c r="CQ1" s="43" t="s">
        <v>189</v>
      </c>
      <c r="CR1" s="1" t="s">
        <v>257</v>
      </c>
      <c r="CT1" s="1" t="s">
        <v>276</v>
      </c>
      <c r="CU1" s="1" t="s">
        <v>11</v>
      </c>
      <c r="CV1" s="1" t="s">
        <v>54</v>
      </c>
      <c r="DN1" s="31"/>
      <c r="DO1" s="43" t="s">
        <v>1</v>
      </c>
      <c r="DP1" s="31" t="s">
        <v>145</v>
      </c>
      <c r="DQ1" s="43"/>
      <c r="DR1" s="43"/>
      <c r="DS1" s="43"/>
      <c r="DT1" s="43"/>
      <c r="DU1" s="43"/>
      <c r="DV1" s="43"/>
      <c r="DW1" s="43"/>
      <c r="DX1" s="43"/>
      <c r="DY1" s="43"/>
      <c r="DZ1" s="43"/>
      <c r="EA1" s="43"/>
      <c r="EB1" s="43" t="s">
        <v>11</v>
      </c>
      <c r="EC1" s="43" t="s">
        <v>54</v>
      </c>
      <c r="ED1" s="31" t="s">
        <v>190</v>
      </c>
      <c r="EE1" s="43" t="s">
        <v>189</v>
      </c>
      <c r="EG1" s="31"/>
      <c r="EH1" s="43" t="s">
        <v>2</v>
      </c>
      <c r="EI1" s="31" t="s">
        <v>145</v>
      </c>
      <c r="EJ1" s="43"/>
      <c r="EK1" s="43"/>
      <c r="EL1" s="43"/>
      <c r="EM1" s="43"/>
      <c r="EN1" s="43"/>
      <c r="EO1" s="43"/>
      <c r="EP1" s="43"/>
      <c r="EQ1" s="43"/>
      <c r="ER1" s="43"/>
      <c r="ES1" s="43"/>
      <c r="ET1" s="43"/>
      <c r="EU1" s="43" t="s">
        <v>11</v>
      </c>
      <c r="EV1" s="43" t="s">
        <v>54</v>
      </c>
      <c r="EW1" s="31" t="s">
        <v>190</v>
      </c>
      <c r="EX1" s="43" t="s">
        <v>189</v>
      </c>
      <c r="EY1" s="1" t="s">
        <v>257</v>
      </c>
      <c r="FA1" s="1" t="s">
        <v>276</v>
      </c>
      <c r="FB1" s="1" t="s">
        <v>11</v>
      </c>
      <c r="FC1" s="1" t="s">
        <v>54</v>
      </c>
      <c r="FJ1" s="1" t="s">
        <v>294</v>
      </c>
      <c r="FK1" s="43"/>
      <c r="FL1" s="43"/>
      <c r="FM1" s="43"/>
      <c r="FN1" s="43"/>
      <c r="FO1" s="43"/>
      <c r="FP1" s="43"/>
      <c r="FR1" s="43"/>
      <c r="FS1" s="43"/>
      <c r="FT1" s="43"/>
      <c r="FU1" s="43"/>
      <c r="FV1" s="43"/>
      <c r="FW1" s="43"/>
      <c r="FX1" s="1" t="s">
        <v>301</v>
      </c>
      <c r="FY1" s="43"/>
      <c r="FZ1" s="43"/>
      <c r="GA1" s="43"/>
      <c r="GB1" s="43"/>
      <c r="GC1" s="43"/>
      <c r="GD1" s="43"/>
      <c r="GE1" s="1" t="s">
        <v>300</v>
      </c>
      <c r="GF1" s="43"/>
      <c r="GG1" s="43"/>
      <c r="GH1" s="43"/>
      <c r="GI1" s="43"/>
      <c r="GJ1" s="43"/>
      <c r="GK1" s="43"/>
      <c r="GL1" s="43"/>
      <c r="GM1" s="43"/>
      <c r="GN1" s="43"/>
      <c r="GP1" s="31"/>
      <c r="GQ1" s="43" t="s">
        <v>3</v>
      </c>
      <c r="GR1" s="31" t="s">
        <v>145</v>
      </c>
      <c r="GS1" s="43"/>
      <c r="GT1" s="43"/>
      <c r="GU1" s="43"/>
      <c r="GV1" s="43"/>
      <c r="GW1" s="43"/>
      <c r="GX1" s="43"/>
      <c r="GY1" s="43"/>
      <c r="GZ1" s="43"/>
      <c r="HA1" s="43"/>
      <c r="HB1" s="43"/>
      <c r="HC1" s="43"/>
      <c r="HD1" s="43" t="s">
        <v>11</v>
      </c>
      <c r="HE1" s="43" t="s">
        <v>54</v>
      </c>
      <c r="HF1" s="31" t="s">
        <v>190</v>
      </c>
      <c r="HG1" s="43" t="s">
        <v>189</v>
      </c>
      <c r="HJ1" s="31"/>
      <c r="HK1" s="43" t="s">
        <v>22</v>
      </c>
      <c r="HL1" s="31" t="s">
        <v>145</v>
      </c>
      <c r="HM1" s="43"/>
      <c r="HN1" s="43"/>
      <c r="HO1" s="43"/>
      <c r="HP1" s="43"/>
      <c r="HQ1" s="43"/>
      <c r="HR1" s="43"/>
      <c r="HS1" s="43"/>
      <c r="HT1" s="43"/>
      <c r="HU1" s="43"/>
      <c r="HV1" s="43"/>
      <c r="HW1" s="43"/>
      <c r="HX1" s="43" t="s">
        <v>11</v>
      </c>
      <c r="HY1" s="43" t="s">
        <v>54</v>
      </c>
      <c r="HZ1" s="31" t="s">
        <v>190</v>
      </c>
      <c r="IA1" s="43" t="s">
        <v>189</v>
      </c>
    </row>
    <row r="2" spans="1:235" x14ac:dyDescent="0.2">
      <c r="A2" s="41" t="s">
        <v>205</v>
      </c>
      <c r="BE2" s="53" t="s">
        <v>21</v>
      </c>
      <c r="BF2" s="57" t="b">
        <f>MATCH(BF9,Hypotesetype_Liste,0)=1</f>
        <v>1</v>
      </c>
      <c r="BG2" s="57" t="b">
        <f>MATCH(BG9,Hypotesetype_Liste,0)=1</f>
        <v>1</v>
      </c>
      <c r="BH2" s="57" t="b">
        <f>MATCH(BH9,Hypotesetype_Liste,0)=1</f>
        <v>1</v>
      </c>
      <c r="BI2" s="57" t="b">
        <f>MATCH(BI9,Hypotesetype_Liste,0)=1</f>
        <v>1</v>
      </c>
      <c r="BJ2" s="57" t="b">
        <f>MATCH(BJ9,Hypotesetype_Liste,0)=1</f>
        <v>0</v>
      </c>
      <c r="BZ2" s="32"/>
      <c r="CA2" s="32" t="s">
        <v>153</v>
      </c>
      <c r="CB2" s="32" t="s">
        <v>11</v>
      </c>
      <c r="CC2" s="32" t="s">
        <v>32</v>
      </c>
      <c r="CD2" s="32" t="s">
        <v>34</v>
      </c>
      <c r="CE2" s="32" t="s">
        <v>46</v>
      </c>
      <c r="CF2" s="32" t="s">
        <v>47</v>
      </c>
      <c r="CG2" s="32" t="s">
        <v>29</v>
      </c>
      <c r="CH2" s="32" t="s">
        <v>160</v>
      </c>
      <c r="CI2" s="32" t="s">
        <v>166</v>
      </c>
      <c r="CJ2" s="32" t="s">
        <v>160</v>
      </c>
      <c r="CK2" s="32" t="s">
        <v>51</v>
      </c>
      <c r="CL2" s="32" t="s">
        <v>52</v>
      </c>
      <c r="CM2" s="32" t="s">
        <v>165</v>
      </c>
      <c r="CN2" s="37">
        <f>IFERROR(ROUND(INDEX(E_g_valg[Venstre position],E_g_aktiv)*CB3,0),-99)</f>
        <v>47</v>
      </c>
      <c r="CO2" s="44">
        <f>IFERROR(ROUND(INDEX(E_g_valg[Venstre position],E_g_aktiv)*CB3/2,0),-99)</f>
        <v>24</v>
      </c>
      <c r="CP2" s="37">
        <f>IF(CO2+1&lt;=0,1,IF(CO2+1&gt;=CB$3,CB$3,CO2+1))</f>
        <v>25</v>
      </c>
      <c r="CQ2" s="32">
        <f>IFERROR(INDEX(CK$10:CK$324,CP2+1),NA())</f>
        <v>1.7910804685522155E-2</v>
      </c>
      <c r="CR2" t="s">
        <v>258</v>
      </c>
      <c r="CS2" t="s">
        <v>195</v>
      </c>
      <c r="CT2" t="e" cm="1">
        <f t="array" ref="CT2">ROUND((INDEX(DB$3:DB$5,CR7)-CB5)/(CB7-CB5)*CB3,0)</f>
        <v>#N/A</v>
      </c>
      <c r="CU2" t="e">
        <f>MAX(0,CT2)</f>
        <v>#N/A</v>
      </c>
      <c r="CV2" t="e">
        <f>ROUND(CU2/2,0)+1</f>
        <v>#N/A</v>
      </c>
      <c r="CW2" t="e" cm="1">
        <f t="array" ref="CW2">INDEX(Eu_tabel_g[Styrke, aktiv],MAX(1,CU2))</f>
        <v>#N/A</v>
      </c>
      <c r="DA2" t="s">
        <v>275</v>
      </c>
      <c r="DB2" t="s">
        <v>268</v>
      </c>
      <c r="DC2" t="s">
        <v>269</v>
      </c>
      <c r="DE2" t="s">
        <v>277</v>
      </c>
      <c r="DN2" s="32"/>
      <c r="DO2" s="32" t="s">
        <v>153</v>
      </c>
      <c r="DP2" s="32" t="s">
        <v>11</v>
      </c>
      <c r="DQ2" s="32" t="s">
        <v>32</v>
      </c>
      <c r="DR2" s="32" t="s">
        <v>34</v>
      </c>
      <c r="DS2" s="32" t="s">
        <v>46</v>
      </c>
      <c r="DT2" s="32" t="s">
        <v>47</v>
      </c>
      <c r="DU2" s="32" t="s">
        <v>29</v>
      </c>
      <c r="DV2" s="32" t="s">
        <v>160</v>
      </c>
      <c r="DW2" s="32" t="s">
        <v>166</v>
      </c>
      <c r="DX2" s="32" t="s">
        <v>160</v>
      </c>
      <c r="DY2" s="32" t="s">
        <v>51</v>
      </c>
      <c r="DZ2" s="32" t="s">
        <v>52</v>
      </c>
      <c r="EA2" s="32" t="s">
        <v>165</v>
      </c>
      <c r="EB2" s="37">
        <f>IFERROR(ROUND(INDEX(E_s_valg[Venstre position],E_s_aktiv)*DP3,0),-99)</f>
        <v>17</v>
      </c>
      <c r="EC2" s="44">
        <f>IFERROR(ROUND(INDEX(E_s_valg[Venstre position],E_s_aktiv)*DP3/2,0),-99)</f>
        <v>9</v>
      </c>
      <c r="ED2" s="37">
        <f>IF(EC2+1&lt;=0,1,IF(EC2+1&gt;=DP$3,DP$3,EC2+1))</f>
        <v>10</v>
      </c>
      <c r="EE2" s="32">
        <f t="shared" ref="EE2:EE3" si="0">IFERROR(INDEX(DY$10:DY$324,ED2),NA())</f>
        <v>1.1437019773006292E-2</v>
      </c>
      <c r="EG2" s="32"/>
      <c r="EH2" s="32" t="s">
        <v>153</v>
      </c>
      <c r="EI2" s="32" t="s">
        <v>11</v>
      </c>
      <c r="EJ2" s="32" t="s">
        <v>32</v>
      </c>
      <c r="EK2" s="32" t="s">
        <v>34</v>
      </c>
      <c r="EL2" s="32" t="s">
        <v>46</v>
      </c>
      <c r="EM2" s="32" t="s">
        <v>47</v>
      </c>
      <c r="EN2" s="32" t="s">
        <v>29</v>
      </c>
      <c r="EO2" s="32" t="s">
        <v>160</v>
      </c>
      <c r="EP2" s="32" t="s">
        <v>166</v>
      </c>
      <c r="EQ2" s="32" t="s">
        <v>160</v>
      </c>
      <c r="ER2" s="32" t="s">
        <v>51</v>
      </c>
      <c r="ES2" s="32" t="s">
        <v>52</v>
      </c>
      <c r="ET2" s="32" t="s">
        <v>165</v>
      </c>
      <c r="EU2" s="37">
        <f>IFERROR(ROUND(INDEX(E_a_valg[Venstre position],E_a_aktiv)*EI3,0),-99)</f>
        <v>47</v>
      </c>
      <c r="EV2" s="44">
        <f>IFERROR(ROUND(INDEX(E_a_valg[Venstre position],E_a_aktiv)*EI3/2,0),-99)</f>
        <v>24</v>
      </c>
      <c r="EW2" s="37">
        <f>IF(EV2+1&lt;=0,1,IF(EV2+1&gt;=EI$3,EI$3,EV2+1))</f>
        <v>25</v>
      </c>
      <c r="EX2" s="32">
        <f t="shared" ref="EX2:EX3" si="1">IFERROR(INDEX(ER$10:ER$324,EW2),NA())</f>
        <v>1.6868301418220717E-2</v>
      </c>
      <c r="EY2" s="74" t="s">
        <v>258</v>
      </c>
      <c r="EZ2" s="74" t="s">
        <v>195</v>
      </c>
      <c r="FA2" s="75" t="e" cm="1">
        <f t="array" ref="FA2">ROUND((INDEX(FG$3:FG$5,EY7)-MIN(Eu_tabel_a[X base som procent]))/(MAX(Eu_tabel_a[X base som procent])-MIN(Eu_tabel_a[X base som procent]))*EI3,0)</f>
        <v>#N/A</v>
      </c>
      <c r="FB2" s="74" t="e">
        <f>MAX(0,FA2)</f>
        <v>#N/A</v>
      </c>
      <c r="FC2" s="74" t="e">
        <f>ROUND(FB2/2,0)+1</f>
        <v>#N/A</v>
      </c>
      <c r="FD2" s="74" t="e" cm="1">
        <f t="array" ref="FD2">INDEX(Eu_tabel_a[Styrke, aktiv],MAX(1,FB2))</f>
        <v>#N/A</v>
      </c>
      <c r="FE2" s="74"/>
      <c r="FF2" s="74" t="s">
        <v>275</v>
      </c>
      <c r="FG2" s="74" t="s">
        <v>268</v>
      </c>
      <c r="FH2" s="74" t="s">
        <v>269</v>
      </c>
      <c r="FJ2" s="74" t="s">
        <v>292</v>
      </c>
      <c r="FK2" s="74" t="s">
        <v>194</v>
      </c>
      <c r="FL2" s="74" t="s">
        <v>275</v>
      </c>
      <c r="FM2" s="74" t="s">
        <v>287</v>
      </c>
      <c r="FN2" s="74" t="s">
        <v>288</v>
      </c>
      <c r="FO2" s="74" t="s">
        <v>290</v>
      </c>
      <c r="FP2" s="74" t="s">
        <v>289</v>
      </c>
      <c r="FQ2" s="74" t="s">
        <v>291</v>
      </c>
      <c r="FR2" s="74" t="s">
        <v>194</v>
      </c>
      <c r="FS2" s="74" t="s">
        <v>275</v>
      </c>
      <c r="FT2" s="74" t="s">
        <v>287</v>
      </c>
      <c r="FU2" s="74" t="s">
        <v>288</v>
      </c>
      <c r="FV2" s="74" t="s">
        <v>290</v>
      </c>
      <c r="FW2" s="74" t="s">
        <v>289</v>
      </c>
      <c r="FX2" s="74" t="s">
        <v>299</v>
      </c>
      <c r="FY2" s="74" t="s">
        <v>194</v>
      </c>
      <c r="FZ2" s="74" t="s">
        <v>275</v>
      </c>
      <c r="GA2" s="74" t="s">
        <v>287</v>
      </c>
      <c r="GB2" s="74" t="s">
        <v>288</v>
      </c>
      <c r="GC2" s="74" t="s">
        <v>290</v>
      </c>
      <c r="GD2" s="74" t="s">
        <v>289</v>
      </c>
      <c r="GE2" s="74" t="s">
        <v>293</v>
      </c>
      <c r="GF2" s="74" t="s">
        <v>194</v>
      </c>
      <c r="GG2" s="74" t="s">
        <v>275</v>
      </c>
      <c r="GH2" s="74" t="s">
        <v>287</v>
      </c>
      <c r="GI2" s="74" t="s">
        <v>288</v>
      </c>
      <c r="GJ2" s="74" t="s">
        <v>290</v>
      </c>
      <c r="GK2" s="74" t="s">
        <v>289</v>
      </c>
      <c r="GL2" s="29" t="s">
        <v>297</v>
      </c>
      <c r="GM2" s="29" t="s">
        <v>298</v>
      </c>
      <c r="GN2" s="32"/>
      <c r="GP2" s="32"/>
      <c r="GQ2" s="32" t="s">
        <v>153</v>
      </c>
      <c r="GR2" s="32" t="s">
        <v>11</v>
      </c>
      <c r="GS2" s="32" t="s">
        <v>32</v>
      </c>
      <c r="GT2" s="32" t="s">
        <v>34</v>
      </c>
      <c r="GU2" s="32" t="s">
        <v>46</v>
      </c>
      <c r="GV2" s="32" t="s">
        <v>47</v>
      </c>
      <c r="GW2" s="32" t="s">
        <v>29</v>
      </c>
      <c r="GX2" s="32" t="s">
        <v>160</v>
      </c>
      <c r="GY2" s="32" t="s">
        <v>166</v>
      </c>
      <c r="GZ2" s="32" t="s">
        <v>160</v>
      </c>
      <c r="HA2" s="32" t="s">
        <v>51</v>
      </c>
      <c r="HB2" s="32" t="s">
        <v>52</v>
      </c>
      <c r="HC2" s="32" t="s">
        <v>165</v>
      </c>
      <c r="HD2" s="37">
        <f>IFERROR(ROUND(INDEX(E_i_valg[Venstre position],E_i_aktiv)*GR3,0),-99)</f>
        <v>47</v>
      </c>
      <c r="HE2" s="44">
        <f>IFERROR(ROUND(INDEX(E_i_valg[Venstre position],E_i_aktiv)*GR3/2,0),-99)</f>
        <v>24</v>
      </c>
      <c r="HF2" s="37">
        <f>IF(HE2+1&lt;=0,1,IF(HE2+1&gt;=GR$3,GR$3,HE2+1))</f>
        <v>25</v>
      </c>
      <c r="HG2" s="32">
        <f t="shared" ref="HG2:HG3" si="2">IFERROR(INDEX(HA$10:HA$324,HF2),NA())</f>
        <v>1.6868301418220717E-2</v>
      </c>
      <c r="HJ2" s="32"/>
      <c r="HK2" s="32" t="s">
        <v>153</v>
      </c>
      <c r="HL2" s="32" t="s">
        <v>11</v>
      </c>
      <c r="HM2" s="32" t="s">
        <v>32</v>
      </c>
      <c r="HN2" s="32" t="s">
        <v>34</v>
      </c>
      <c r="HO2" s="32" t="s">
        <v>46</v>
      </c>
      <c r="HP2" s="32" t="s">
        <v>47</v>
      </c>
      <c r="HQ2" s="32" t="s">
        <v>29</v>
      </c>
      <c r="HR2" s="32" t="s">
        <v>160</v>
      </c>
      <c r="HS2" s="32" t="s">
        <v>166</v>
      </c>
      <c r="HT2" s="32" t="s">
        <v>160</v>
      </c>
      <c r="HU2" s="32" t="s">
        <v>51</v>
      </c>
      <c r="HV2" s="32" t="s">
        <v>52</v>
      </c>
      <c r="HW2" s="32" t="s">
        <v>165</v>
      </c>
      <c r="HX2" s="37" cm="1">
        <f t="array" ref="HX2">IFERROR(ROUND(_xlfn.SINGLE(INDEX(E_k_valg[Venstre position],E_k_aktiv))*HL3,0),-99)</f>
        <v>175</v>
      </c>
      <c r="HY2" s="44" cm="1">
        <f t="array" ref="HY2">IFERROR(ROUND(_xlfn.SINGLE(INDEX(E_k_valg[Venstre position],E_k_aktiv))*HL3/2,0),-99)</f>
        <v>87</v>
      </c>
      <c r="HZ2" s="37">
        <f>IF(HY2+1&lt;=0,1,IF(HY2+1&gt;=HL$3,HL$3,HY2+1))</f>
        <v>88</v>
      </c>
      <c r="IA2" s="32">
        <f t="shared" ref="IA2:IA3" si="3">IFERROR(INDEX(HU$10:HU$324,HZ2),NA())</f>
        <v>0.11702574379435818</v>
      </c>
    </row>
    <row r="3" spans="1:235" x14ac:dyDescent="0.2">
      <c r="BE3" s="53" t="s">
        <v>215</v>
      </c>
      <c r="BF3" s="57" t="b">
        <f>AND(NOT(BF4),NOT(BF2))</f>
        <v>0</v>
      </c>
      <c r="BG3" s="57" t="b">
        <f>AND(NOT(BG4),NOT(BG2))</f>
        <v>0</v>
      </c>
      <c r="BH3" s="57" t="b">
        <f t="shared" ref="BH3:BI3" si="4">AND(NOT(BH4),NOT(BH2))</f>
        <v>0</v>
      </c>
      <c r="BI3" s="57" t="b">
        <f t="shared" si="4"/>
        <v>0</v>
      </c>
      <c r="BJ3" s="57" t="b">
        <f t="shared" ref="BJ3" si="5">AND(NOT(BJ4),NOT(BJ2))</f>
        <v>1</v>
      </c>
      <c r="BZ3" s="32"/>
      <c r="CA3" s="32"/>
      <c r="CB3" s="37">
        <f>MAX(Eu_tabel_g[Indeks])</f>
        <v>258</v>
      </c>
      <c r="CC3" s="37" t="b">
        <f>INDEX(E_g_valg[Fordeling],E_g_aktiv)=CC2</f>
        <v>1</v>
      </c>
      <c r="CD3" s="37" t="b">
        <f>INDEX(E_g_valg[Fordeling],E_g_aktiv)=CD2</f>
        <v>0</v>
      </c>
      <c r="CE3" s="37" t="b">
        <f>INDEX(E_g_valg[Fordeling],E_g_aktiv)=CE2</f>
        <v>0</v>
      </c>
      <c r="CF3" s="37" t="b">
        <f>INDEX(E_g_valg[Fordeling],E_g_aktiv)=CF2</f>
        <v>0</v>
      </c>
      <c r="CG3" s="37">
        <f>INDEX(E_g_valg[Teststørrelse],E_g_aktiv)</f>
        <v>-1.9599639845400536</v>
      </c>
      <c r="CH3" s="37" t="str">
        <f>INDEX(E_g_valg[Hypotese],E_g_aktiv)</f>
        <v>Konfidensinterval</v>
      </c>
      <c r="CI3" s="37">
        <f>INDEX(E_g_valg[Venstre teststørrelse],E_g_aktiv)</f>
        <v>-1.9599639845400536</v>
      </c>
      <c r="CJ3" s="32" t="s">
        <v>21</v>
      </c>
      <c r="CK3" s="32" t="str">
        <f>CI9</f>
        <v>Forskellig fra teststørrelse</v>
      </c>
      <c r="CL3" s="32" t="str">
        <f>CJ9</f>
        <v>Lig med teststørrelse</v>
      </c>
      <c r="CM3" s="32" t="s">
        <v>176</v>
      </c>
      <c r="CN3" s="37">
        <f>IFERROR(ROUND(INDEX(E_g_valg[Midtpunkt position],E_g_aktiv)*CB3,0),-99)</f>
        <v>129</v>
      </c>
      <c r="CO3" s="44">
        <f>IFERROR(ROUND(INDEX(E_g_valg[Midtpunkt position],E_g_aktiv)*CB3,0),-99)</f>
        <v>129</v>
      </c>
      <c r="CP3" s="37">
        <f>IF(CO3+1&lt;=0,1,IF(CO3+1&gt;=CB$3,CB$3,CO3+1))</f>
        <v>130</v>
      </c>
      <c r="CQ3" s="32">
        <f t="shared" ref="CQ3" si="6">IFERROR(INDEX(CK$10:CK$324,CP3),NA())</f>
        <v>0.3989422804014327</v>
      </c>
      <c r="CR3" t="b">
        <f>IFERROR(AND(CH5="Normalfordeling",OR(CS5="Venstresidet hypotese om værdi",CS5="Højresidet hypotese om værdi",CS5="Tosidet hypotese om værdi")),FALSE)</f>
        <v>0</v>
      </c>
      <c r="CS3" t="s">
        <v>197</v>
      </c>
      <c r="CT3">
        <f>CN3</f>
        <v>129</v>
      </c>
      <c r="CU3">
        <f>CT3</f>
        <v>129</v>
      </c>
      <c r="CV3">
        <f>CU3+1</f>
        <v>130</v>
      </c>
      <c r="CW3" t="e" cm="1">
        <f t="array" ref="CW3">INDEX(Eu_tabel_g[Styrke, aktiv],MAX(1,CU3))</f>
        <v>#N/A</v>
      </c>
      <c r="CZ3" t="s">
        <v>195</v>
      </c>
      <c r="DA3" s="71">
        <f>$B$67</f>
        <v>0.8</v>
      </c>
      <c r="DB3" s="5">
        <f>_xlfn.NORM.INV(1-Eu_g_konfidensniveau,0,1)-_xlfn.NORM.INV(DA3,0,1)</f>
        <v>-2.4864748605243863</v>
      </c>
      <c r="DC3" t="e">
        <f>NA()</f>
        <v>#N/A</v>
      </c>
      <c r="DE3">
        <f>B68/(CS7/SQRT(B69))</f>
        <v>2.3218739212273629</v>
      </c>
      <c r="DN3" s="32"/>
      <c r="DO3" s="32"/>
      <c r="DP3" s="37">
        <f>MAX(Eu_tabel_s[Indeks])</f>
        <v>258</v>
      </c>
      <c r="DQ3" s="37" t="b">
        <f>INDEX(E_s_valg[Fordeling],E_s_aktiv)=DQ2</f>
        <v>0</v>
      </c>
      <c r="DR3" s="37" t="b">
        <f>INDEX(E_s_valg[Fordeling],E_s_aktiv)=DR2</f>
        <v>0</v>
      </c>
      <c r="DS3" s="37" t="b">
        <f>INDEX(E_s_valg[Fordeling],E_s_aktiv)=DS2</f>
        <v>1</v>
      </c>
      <c r="DT3" s="37" t="b">
        <f>INDEX(E_s_valg[Fordeling],E_s_aktiv)=DT2</f>
        <v>0</v>
      </c>
      <c r="DU3" s="37">
        <f>INDEX(E_s_valg[Teststørrelse],E_s_aktiv)</f>
        <v>3.8157482522360993</v>
      </c>
      <c r="DV3" s="37" t="str">
        <f>INDEX(E_s_valg[Hypotese],E_s_aktiv)</f>
        <v>Konfidensinterval</v>
      </c>
      <c r="DW3" s="37">
        <f>INDEX(E_s_valg[Venstre teststørrelse],E_s_aktiv)</f>
        <v>3.8157482522360993</v>
      </c>
      <c r="DX3" s="32" t="s">
        <v>21</v>
      </c>
      <c r="DY3" s="32" t="str">
        <f>DW9</f>
        <v>Forskellig fra teststørrelse</v>
      </c>
      <c r="DZ3" s="32" t="str">
        <f>DX9</f>
        <v>Lig med teststørrelse</v>
      </c>
      <c r="EA3" s="32" t="s">
        <v>176</v>
      </c>
      <c r="EB3" s="37">
        <f>IFERROR(ROUND(INDEX(E_s_valg[Midtpunkt position],E_s_aktiv)*DP3,0),-99)</f>
        <v>75</v>
      </c>
      <c r="EC3" s="44">
        <f>IFERROR(ROUND(INDEX(E_s_valg[Midtpunkt position],E_s_aktiv)*DP3,0),-99)</f>
        <v>75</v>
      </c>
      <c r="ED3" s="37">
        <f>IF(EC3+1&lt;=0,1,IF(EC3+1&gt;=DP$3,DP$3,EC3+1))</f>
        <v>76</v>
      </c>
      <c r="EE3" s="32">
        <f t="shared" si="0"/>
        <v>8.7925041836716789E-2</v>
      </c>
      <c r="EG3" s="32"/>
      <c r="EH3" s="32"/>
      <c r="EI3" s="37">
        <f>MAX(Eu_tabel_a[Indeks])</f>
        <v>258</v>
      </c>
      <c r="EJ3" s="37" t="b">
        <f>INDEX(E_a_valg[Fordeling],E_a_aktiv)=EJ2</f>
        <v>1</v>
      </c>
      <c r="EK3" s="37" t="b">
        <f>INDEX(E_a_valg[Fordeling],E_a_aktiv)=EK2</f>
        <v>0</v>
      </c>
      <c r="EL3" s="37" t="b">
        <f>INDEX(E_a_valg[Fordeling],E_a_aktiv)=EL2</f>
        <v>0</v>
      </c>
      <c r="EM3" s="37" t="b">
        <f>INDEX(E_a_valg[Fordeling],E_a_aktiv)=EM2</f>
        <v>0</v>
      </c>
      <c r="EN3" s="37">
        <f>INDEX(E_a_valg[Teststørrelse],E_a_aktiv)</f>
        <v>-1.9599639845400536</v>
      </c>
      <c r="EO3" s="37" t="str">
        <f>INDEX(E_a_valg[Hypotese],E_a_aktiv)</f>
        <v>Konfidensinterval</v>
      </c>
      <c r="EP3" s="37">
        <f>INDEX(E_a_valg[Venstre teststørrelse],E_a_aktiv)</f>
        <v>-1.9599639845400536</v>
      </c>
      <c r="EQ3" s="32" t="s">
        <v>21</v>
      </c>
      <c r="ER3" s="32" t="str">
        <f>EP9</f>
        <v>Forskellig fra teststørrelse</v>
      </c>
      <c r="ES3" s="32" t="str">
        <f>EQ9</f>
        <v>Lig med teststørrelse</v>
      </c>
      <c r="ET3" s="32" t="s">
        <v>176</v>
      </c>
      <c r="EU3" s="37">
        <f>IFERROR(ROUND(INDEX(E_a_valg[Midtpunkt position],E_a_aktiv)*EI3,0),-99)</f>
        <v>129</v>
      </c>
      <c r="EV3" s="44">
        <f>IFERROR(ROUND(INDEX(E_a_valg[Midtpunkt position],E_a_aktiv)*EI3,0),-99)</f>
        <v>129</v>
      </c>
      <c r="EW3" s="37">
        <f>IF(EV3+1&lt;=0,1,IF(EV3+1&gt;=EI$3,EI$3,EV3+1))</f>
        <v>130</v>
      </c>
      <c r="EX3" s="32">
        <f t="shared" si="1"/>
        <v>0.3989422804014327</v>
      </c>
      <c r="EY3" s="74" t="b">
        <f>IFERROR(AND(EO5="Normalfordeling",OR(EZ5="Venstresidet hypotese om værdi",EZ5="Højresidet hypotese om værdi",EZ5="Tosidet hypotese om værdi")),FALSE)</f>
        <v>0</v>
      </c>
      <c r="EZ3" s="74" t="s">
        <v>197</v>
      </c>
      <c r="FA3" s="74">
        <f>EU3</f>
        <v>129</v>
      </c>
      <c r="FB3" s="74">
        <f>FA3</f>
        <v>129</v>
      </c>
      <c r="FC3" s="74">
        <f>FB3+1</f>
        <v>130</v>
      </c>
      <c r="FD3" s="74" t="e" cm="1">
        <f t="array" ref="FD3">INDEX(Eu_tabel_a[Styrke, aktiv],FC3)</f>
        <v>#N/A</v>
      </c>
      <c r="FE3" s="74" t="s">
        <v>195</v>
      </c>
      <c r="FF3" s="78">
        <f>$P$67</f>
        <v>0.99</v>
      </c>
      <c r="FG3" s="79" t="e" cm="1">
        <f t="array" ref="FG3">IF(_xlfn.AGGREGATE(4,6,FJ$6:FJ$268)=0,NA(),INDEX(FK6:FK268,_xlfn.AGGREGATE(4,6,FJ$6:FJ$268)))</f>
        <v>#N/A</v>
      </c>
      <c r="FH3" s="74" t="e">
        <f>NA()</f>
        <v>#N/A</v>
      </c>
      <c r="FJ3" t="s">
        <v>286</v>
      </c>
      <c r="FK3">
        <f>_xlfn.IFNA(MIN(EI3,MATCH(FF3,Eu_tabel_a[Styrke venstre],-1)),1)</f>
        <v>1</v>
      </c>
      <c r="FQ3" t="s">
        <v>286</v>
      </c>
      <c r="FR3">
        <f>_xlfn.IFNA(MIN(EI3,MATCH(FF4,Eu_tabel_a[Styrke højre],1)),1)</f>
        <v>1</v>
      </c>
      <c r="FX3" t="s">
        <v>286</v>
      </c>
      <c r="FY3" t="e">
        <f>IF(GL3,GL4,_xlfn.IFNA(MIN($EI$3,MATCH($P$67,Eu_tabel_a[Styrke tosidet],-1)),1))</f>
        <v>#N/A</v>
      </c>
      <c r="GE3" t="s">
        <v>286</v>
      </c>
      <c r="GF3" t="e">
        <f>IF(GM3,GM4,_xlfn.IFNA(MIN($EI$3,MATCH($P$67,Eu_tabel_a[Styrke tosidet],1)),1))</f>
        <v>#N/A</v>
      </c>
      <c r="GL3" s="29" t="e">
        <f>EY10=0</f>
        <v>#N/A</v>
      </c>
      <c r="GM3" s="29" t="e">
        <f>EY268=0</f>
        <v>#N/A</v>
      </c>
      <c r="GN3" s="32"/>
      <c r="GP3" s="32"/>
      <c r="GQ3" s="32"/>
      <c r="GR3" s="37">
        <f>MAX(Eu_tabel_i[Indeks])</f>
        <v>258</v>
      </c>
      <c r="GS3" s="37" t="b">
        <f>INDEX(E_i_valg[Fordeling],E_i_aktiv)=GS2</f>
        <v>1</v>
      </c>
      <c r="GT3" s="37" t="b">
        <f>INDEX(E_i_valg[Fordeling],E_i_aktiv)=GT2</f>
        <v>0</v>
      </c>
      <c r="GU3" s="37" t="b">
        <f>INDEX(E_i_valg[Fordeling],E_i_aktiv)=GU2</f>
        <v>0</v>
      </c>
      <c r="GV3" s="37" t="b">
        <f>INDEX(E_i_valg[Fordeling],E_i_aktiv)=GV2</f>
        <v>0</v>
      </c>
      <c r="GW3" s="37">
        <f>INDEX(E_i_valg[Teststørrelse],E_i_aktiv)</f>
        <v>-1.9599639845400536</v>
      </c>
      <c r="GX3" s="37" t="str">
        <f>INDEX(E_i_valg[Hypotese],E_i_aktiv)</f>
        <v>Konfidensinterval</v>
      </c>
      <c r="GY3" s="37">
        <f>INDEX(E_i_valg[Venstre teststørrelse],E_i_aktiv)</f>
        <v>-1.9599639845400536</v>
      </c>
      <c r="GZ3" s="32" t="s">
        <v>21</v>
      </c>
      <c r="HA3" s="32" t="str">
        <f>GY9</f>
        <v>Forskellig fra teststørrelse</v>
      </c>
      <c r="HB3" s="32" t="str">
        <f>GZ9</f>
        <v>Lig med teststørrelse</v>
      </c>
      <c r="HC3" s="32" t="s">
        <v>176</v>
      </c>
      <c r="HD3" s="37">
        <f>IFERROR(ROUND(INDEX(E_i_valg[Midtpunkt position],E_i_aktiv)*GR3,0),-99)</f>
        <v>129</v>
      </c>
      <c r="HE3" s="44">
        <f>IFERROR(ROUND(INDEX(E_i_valg[Midtpunkt position],E_i_aktiv)*GR3,0),-99)</f>
        <v>129</v>
      </c>
      <c r="HF3" s="37">
        <f>IF(HE3+1&lt;=0,1,IF(HE3+1&gt;=GR$3,GR$3,HE3+1))</f>
        <v>130</v>
      </c>
      <c r="HG3" s="32">
        <f t="shared" si="2"/>
        <v>0.3989422804014327</v>
      </c>
      <c r="HJ3" s="32"/>
      <c r="HK3" s="32"/>
      <c r="HL3" s="37">
        <f>MAX(Eu_tabel_k[Indeks])</f>
        <v>258</v>
      </c>
      <c r="HM3" s="37" t="b" cm="1">
        <f t="array" ref="HM3">_xlfn.SINGLE(INDEX(E_k_valg[Fordeling],E_k_aktiv))=HM2</f>
        <v>0</v>
      </c>
      <c r="HN3" s="37" t="b" cm="1">
        <f t="array" ref="HN3">_xlfn.SINGLE(INDEX(E_k_valg[Fordeling],E_k_aktiv))=HN2</f>
        <v>1</v>
      </c>
      <c r="HO3" s="37" t="b" cm="1">
        <f t="array" ref="HO3">_xlfn.SINGLE(INDEX(E_k_valg[Fordeling],E_k_aktiv))=HO2</f>
        <v>0</v>
      </c>
      <c r="HP3" s="37" t="b" cm="1">
        <f t="array" ref="HP3">_xlfn.SINGLE(INDEX(E_k_valg[Fordeling],E_k_aktiv))=HP2</f>
        <v>0</v>
      </c>
      <c r="HQ3" s="37" cm="1">
        <f t="array" ref="HQ3">_xlfn.SINGLE(INDEX(E_k_valg[Teststørrelse],E_k_aktiv))</f>
        <v>1.7059050335879198</v>
      </c>
      <c r="HR3" s="37" t="str" cm="1">
        <f t="array" ref="HR3">_xlfn.SINGLE(INDEX(E_k_valg[Hypotese],E_k_aktiv))</f>
        <v>Venstresidet</v>
      </c>
      <c r="HS3" s="37" cm="1">
        <f t="array" ref="HS3">_xlfn.SINGLE(INDEX(E_k_valg[Venstre teststørrelse],E_k_aktiv))</f>
        <v>-1.7059050335879198</v>
      </c>
      <c r="HT3" s="32" t="s">
        <v>21</v>
      </c>
      <c r="HU3" s="32" t="str">
        <f>HS9</f>
        <v>Forskellig fra teststørrelse</v>
      </c>
      <c r="HV3" s="32" t="str">
        <f>HT9</f>
        <v>Lig med teststørrelse</v>
      </c>
      <c r="HW3" s="32" t="s">
        <v>176</v>
      </c>
      <c r="HX3" s="37" cm="1">
        <f t="array" ref="HX3">IFERROR(ROUND(_xlfn.SINGLE(INDEX(E_k_valg[Midtpunkt position],E_k_aktiv))*HL3,0),-99)</f>
        <v>129</v>
      </c>
      <c r="HY3" s="44" cm="1">
        <f t="array" ref="HY3">IFERROR(ROUND(_xlfn.SINGLE(INDEX(E_k_valg[Midtpunkt position],E_k_aktiv))*HL3,0),-99)</f>
        <v>129</v>
      </c>
      <c r="HZ3" s="37">
        <f>IF(HY3+1&lt;=0,1,IF(HY3+1&gt;=HL$3,HL$3,HY3+1))</f>
        <v>130</v>
      </c>
      <c r="IA3" s="32">
        <f t="shared" si="3"/>
        <v>0.38499145083226738</v>
      </c>
    </row>
    <row r="4" spans="1:235" x14ac:dyDescent="0.2">
      <c r="A4" s="3" t="s">
        <v>206</v>
      </c>
      <c r="H4" s="3" t="s">
        <v>221</v>
      </c>
      <c r="O4" s="3" t="s">
        <v>231</v>
      </c>
      <c r="V4" s="3" t="s">
        <v>234</v>
      </c>
      <c r="AC4" s="3" t="s">
        <v>239</v>
      </c>
      <c r="BE4" s="53" t="s">
        <v>214</v>
      </c>
      <c r="BF4" s="57" t="b">
        <f>MATCH(BF9,Hypotesetype_Liste,0)&gt;=5</f>
        <v>0</v>
      </c>
      <c r="BG4" s="57" t="b">
        <f>MATCH(BG9,Hypotesetype_Liste,0)&gt;=5</f>
        <v>0</v>
      </c>
      <c r="BH4" s="57" t="b">
        <f>MATCH(BH9,Hypotesetype_Liste,0)&gt;=5</f>
        <v>0</v>
      </c>
      <c r="BI4" s="57" t="b">
        <f>MATCH(BI9,Hypotesetype_Liste,0)&gt;=5</f>
        <v>0</v>
      </c>
      <c r="BJ4" s="57" t="b">
        <f>MATCH(BJ9,Hypotesetype_Liste,0)&gt;=5</f>
        <v>0</v>
      </c>
      <c r="BZ4" s="32"/>
      <c r="CA4" s="32" t="s">
        <v>147</v>
      </c>
      <c r="CB4" s="32" t="s">
        <v>17</v>
      </c>
      <c r="CC4" s="32" t="s">
        <v>0</v>
      </c>
      <c r="CD4" s="32" t="s">
        <v>33</v>
      </c>
      <c r="CE4" s="32" t="s">
        <v>33</v>
      </c>
      <c r="CF4" s="32" t="s">
        <v>149</v>
      </c>
      <c r="CG4" s="32"/>
      <c r="CH4" s="32" t="s">
        <v>53</v>
      </c>
      <c r="CI4" s="32" t="s">
        <v>167</v>
      </c>
      <c r="CJ4" s="32" t="s">
        <v>158</v>
      </c>
      <c r="CK4" s="32" t="str">
        <f>CG9</f>
        <v>Mindre end teststørrelse</v>
      </c>
      <c r="CL4" s="32" t="str">
        <f>CH9</f>
        <v>Større end teststørrelse</v>
      </c>
      <c r="CM4" s="32" t="s">
        <v>174</v>
      </c>
      <c r="CN4" s="37">
        <f>IFERROR(ROUND(INDEX(E_g_valg[Højre position],E_g_aktiv)*CB3,0),-99)</f>
        <v>211</v>
      </c>
      <c r="CO4" s="44">
        <f>IFERROR(ROUND((1-(1-INDEX(E_g_valg[Højre position],E_g_aktiv))/2)*CB3,0),-99)</f>
        <v>234</v>
      </c>
      <c r="CP4" s="37">
        <f>IF(CO4+1&lt;=0,1,IF(CO4+1&gt;=CB$3,CB$3,CO4+1))</f>
        <v>235</v>
      </c>
      <c r="CQ4" s="32">
        <f>IFERROR(INDEX(CK$10:CK$324,CP4),NA())</f>
        <v>1.6868301418220717E-2</v>
      </c>
      <c r="CR4" t="s">
        <v>49</v>
      </c>
      <c r="CS4" t="s">
        <v>196</v>
      </c>
      <c r="CT4" t="e" cm="1">
        <f t="array" ref="CT4">ROUND((INDEX(DC$3:DC$5,CR7)-CB5)/(CB7-CB5)*CB3,0)</f>
        <v>#N/A</v>
      </c>
      <c r="CU4" t="e">
        <f>MIN(CB3,CT4)</f>
        <v>#N/A</v>
      </c>
      <c r="CV4" t="e">
        <f>CB3-ROUND((CB3-CU4)/2,0)+1</f>
        <v>#N/A</v>
      </c>
      <c r="CW4" t="e" cm="1">
        <f t="array" ref="CW4">INDEX(Eu_tabel_g[Styrke, aktiv],MAX(1,CU4))</f>
        <v>#N/A</v>
      </c>
      <c r="CZ4" t="s">
        <v>196</v>
      </c>
      <c r="DA4" s="71">
        <f>$B$67</f>
        <v>0.8</v>
      </c>
      <c r="DB4" t="e">
        <f>NA()</f>
        <v>#N/A</v>
      </c>
      <c r="DC4" s="5">
        <f>_xlfn.NORM.INV(Eu_g_konfidensniveau,0,1)-NORMINV(1-DA4,0,1)</f>
        <v>2.4864748605243863</v>
      </c>
      <c r="DN4" s="32"/>
      <c r="DO4" s="32" t="s">
        <v>147</v>
      </c>
      <c r="DP4" s="32" t="s">
        <v>17</v>
      </c>
      <c r="DQ4" s="32" t="s">
        <v>0</v>
      </c>
      <c r="DR4" s="32" t="s">
        <v>33</v>
      </c>
      <c r="DS4" s="32" t="s">
        <v>33</v>
      </c>
      <c r="DT4" s="32" t="s">
        <v>149</v>
      </c>
      <c r="DU4" s="32"/>
      <c r="DV4" s="32" t="s">
        <v>53</v>
      </c>
      <c r="DW4" s="32" t="s">
        <v>167</v>
      </c>
      <c r="DX4" s="32" t="s">
        <v>158</v>
      </c>
      <c r="DY4" s="32" t="str">
        <f>DU9</f>
        <v>Mindre end teststørrelse</v>
      </c>
      <c r="DZ4" s="32" t="str">
        <f>DV9</f>
        <v>Større end teststørrelse</v>
      </c>
      <c r="EA4" s="32" t="s">
        <v>174</v>
      </c>
      <c r="EB4" s="37">
        <f>IFERROR(ROUND(INDEX(E_s_valg[Højre position],E_s_aktiv)*DP3,0),-99)</f>
        <v>176</v>
      </c>
      <c r="EC4" s="44">
        <f>IFERROR(ROUND((1-(1-INDEX(E_s_valg[Højre position],E_s_aktiv))/2)*DP3,0),-99)</f>
        <v>217</v>
      </c>
      <c r="ED4" s="37">
        <f>IF(EC4+1&lt;=0,1,IF(EC4+1&gt;=DP$3,DP$3,EC4+1))</f>
        <v>218</v>
      </c>
      <c r="EE4" s="32">
        <f>IFERROR(INDEX(DY$10:DY$324,ED4),NA())</f>
        <v>1.8330054204685668E-3</v>
      </c>
      <c r="EG4" s="32"/>
      <c r="EH4" s="32" t="s">
        <v>147</v>
      </c>
      <c r="EI4" s="32" t="s">
        <v>17</v>
      </c>
      <c r="EJ4" s="32" t="s">
        <v>0</v>
      </c>
      <c r="EK4" s="32" t="s">
        <v>33</v>
      </c>
      <c r="EL4" s="32" t="s">
        <v>33</v>
      </c>
      <c r="EM4" s="32" t="s">
        <v>149</v>
      </c>
      <c r="EN4" s="32"/>
      <c r="EO4" s="32" t="s">
        <v>53</v>
      </c>
      <c r="EP4" s="32" t="s">
        <v>167</v>
      </c>
      <c r="EQ4" s="32" t="s">
        <v>158</v>
      </c>
      <c r="ER4" s="32" t="str">
        <f>EN9</f>
        <v>Mindre end teststørrelse</v>
      </c>
      <c r="ES4" s="32" t="str">
        <f>EO9</f>
        <v>Større end teststørrelse</v>
      </c>
      <c r="ET4" s="32" t="s">
        <v>174</v>
      </c>
      <c r="EU4" s="37">
        <f>IFERROR(ROUND(INDEX(E_a_valg[Højre position],E_a_aktiv)*EI3,0),-99)</f>
        <v>211</v>
      </c>
      <c r="EV4" s="44">
        <f>IFERROR(ROUND((1-(1-INDEX(E_a_valg[Højre position],E_a_aktiv))/2)*EI3,0),-99)</f>
        <v>234</v>
      </c>
      <c r="EW4" s="37">
        <f>IF(EV4+1&lt;=0,1,IF(EV4+1&gt;=EI$3,EI$3,EV4+1))</f>
        <v>235</v>
      </c>
      <c r="EX4" s="32">
        <f>IFERROR(INDEX(ER$10:ER$324,EW4),NA())</f>
        <v>1.6868301418220717E-2</v>
      </c>
      <c r="EY4" s="74" t="s">
        <v>49</v>
      </c>
      <c r="EZ4" s="74" t="s">
        <v>196</v>
      </c>
      <c r="FA4" s="74" t="e" cm="1">
        <f t="array" ref="FA4">ROUND((INDEX(FH$3:FH$5,EY7)-MIN(Eu_tabel_a[X base som procent]))/(MAX(Eu_tabel_a[X base som procent])-MIN(Eu_tabel_a[X base som procent]))*EI3,0)</f>
        <v>#N/A</v>
      </c>
      <c r="FB4" s="74" t="e">
        <f>MIN(EI3,FA4)</f>
        <v>#N/A</v>
      </c>
      <c r="FC4" s="74" t="e">
        <f>EI3-ROUND((EI3-FB4)/2,0)+1</f>
        <v>#N/A</v>
      </c>
      <c r="FD4" s="74" t="e" cm="1">
        <f t="array" ref="FD4">INDEX(Eu_tabel_a[Styrke, aktiv],MAX(1,FB4))</f>
        <v>#N/A</v>
      </c>
      <c r="FE4" s="74" t="s">
        <v>196</v>
      </c>
      <c r="FF4" s="78">
        <f>$P$67</f>
        <v>0.99</v>
      </c>
      <c r="FG4" s="74" t="e">
        <f>NA()</f>
        <v>#N/A</v>
      </c>
      <c r="FH4" s="79" t="e" cm="1" vm="1">
        <f t="array" aca="1" ref="FH4" ca="1">INDEX(FR6:FR268,_xlfn.AGGREGATE(4,6,FQ$6:FQ$268))</f>
        <v>#VALUE!</v>
      </c>
      <c r="FJ4" s="74" t="s">
        <v>284</v>
      </c>
      <c r="FK4" s="74" cm="1">
        <f t="array" ref="FK4">INDEX(Eu_tabel_a[X base som procent],FK3)</f>
        <v>0</v>
      </c>
      <c r="FL4" s="80" t="e" cm="1">
        <f t="array" ref="FL4">INDEX(Eu_tabel_a[Styrke venstre],FK3)</f>
        <v>#DIV/0!</v>
      </c>
      <c r="FQ4" s="74" t="s">
        <v>284</v>
      </c>
      <c r="FR4" s="74" cm="1">
        <f t="array" ref="FR4">INDEX(Eu_tabel_a[X base som procent],FR3)</f>
        <v>0</v>
      </c>
      <c r="FS4" s="80" t="e" cm="1">
        <f t="array" ref="FS4">INDEX(Eu_tabel_a[Styrke højre],FR3)</f>
        <v>#DIV/0!</v>
      </c>
      <c r="FX4" s="74" t="s">
        <v>284</v>
      </c>
      <c r="FY4" s="74" t="e" cm="1">
        <f t="array" ref="FY4">INDEX(Eu_tabel_a[X base som procent],FY3)</f>
        <v>#N/A</v>
      </c>
      <c r="FZ4" s="80" t="e" cm="1">
        <f t="array" ref="FZ4">INDEX(Eu_tabel_a[Styrke tosidet],FY3)</f>
        <v>#N/A</v>
      </c>
      <c r="GE4" s="74" t="s">
        <v>284</v>
      </c>
      <c r="GF4" s="74" t="e" cm="1">
        <f t="array" ref="GF4">INDEX(Eu_tabel_a[X base som procent],GF3)</f>
        <v>#N/A</v>
      </c>
      <c r="GG4" s="80" t="e" cm="1">
        <f t="array" ref="GG4">INDEX(Eu_tabel_a[Styrke tosidet],GF3)</f>
        <v>#N/A</v>
      </c>
      <c r="GL4" t="e" cm="1">
        <f t="array" ref="GL4">MATCH(TRUE,Eu_tabel_a[Styrke, aktiv]&lt;&gt;0,0)</f>
        <v>#N/A</v>
      </c>
      <c r="GM4" t="e">
        <f>MATCH(0,Eu_tabel_a[Styrke, aktiv],0)-2</f>
        <v>#N/A</v>
      </c>
      <c r="GN4" s="32"/>
      <c r="GP4" s="32"/>
      <c r="GQ4" s="32" t="s">
        <v>147</v>
      </c>
      <c r="GR4" s="32" t="s">
        <v>17</v>
      </c>
      <c r="GS4" s="32" t="s">
        <v>0</v>
      </c>
      <c r="GT4" s="32" t="s">
        <v>33</v>
      </c>
      <c r="GU4" s="32" t="s">
        <v>33</v>
      </c>
      <c r="GV4" s="32" t="s">
        <v>149</v>
      </c>
      <c r="GW4" s="32"/>
      <c r="GX4" s="32" t="s">
        <v>53</v>
      </c>
      <c r="GY4" s="32" t="s">
        <v>167</v>
      </c>
      <c r="GZ4" s="32" t="s">
        <v>158</v>
      </c>
      <c r="HA4" s="32" t="str">
        <f>GW9</f>
        <v>Mindre end teststørrelse</v>
      </c>
      <c r="HB4" s="32" t="str">
        <f>GX9</f>
        <v>Større end teststørrelse</v>
      </c>
      <c r="HC4" s="32" t="s">
        <v>174</v>
      </c>
      <c r="HD4" s="37">
        <f>IFERROR(ROUND(INDEX(E_i_valg[Højre position],E_i_aktiv)*GR3,0),-99)</f>
        <v>211</v>
      </c>
      <c r="HE4" s="44">
        <f>IFERROR(ROUND((1-(1-INDEX(E_i_valg[Højre position],E_i_aktiv))/2)*GR3,0),-99)</f>
        <v>234</v>
      </c>
      <c r="HF4" s="37">
        <f>IF(HE4+1&lt;=0,1,IF(HE4+1&gt;=GR$3,GR$3,HE4+1))</f>
        <v>235</v>
      </c>
      <c r="HG4" s="32">
        <f>IFERROR(INDEX(HA$10:HA$324,HF4),NA())</f>
        <v>1.6868301418220717E-2</v>
      </c>
      <c r="HJ4" s="32"/>
      <c r="HK4" s="32" t="s">
        <v>147</v>
      </c>
      <c r="HL4" s="32" t="s">
        <v>17</v>
      </c>
      <c r="HM4" s="32" t="s">
        <v>0</v>
      </c>
      <c r="HN4" s="32" t="s">
        <v>33</v>
      </c>
      <c r="HO4" s="32" t="s">
        <v>33</v>
      </c>
      <c r="HP4" s="32" t="s">
        <v>149</v>
      </c>
      <c r="HQ4" s="32"/>
      <c r="HR4" s="32" t="s">
        <v>53</v>
      </c>
      <c r="HS4" s="32" t="s">
        <v>167</v>
      </c>
      <c r="HT4" s="32" t="s">
        <v>158</v>
      </c>
      <c r="HU4" s="32" t="str">
        <f>HQ9</f>
        <v>Mindre end teststørrelse</v>
      </c>
      <c r="HV4" s="32" t="str">
        <f>HR9</f>
        <v>Større end teststørrelse</v>
      </c>
      <c r="HW4" s="32" t="s">
        <v>174</v>
      </c>
      <c r="HX4" s="37" cm="1">
        <f t="array" ref="HX4">IFERROR(ROUND(_xlfn.SINGLE(INDEX(E_k_valg[Højre position],E_k_aktiv))*HL3,0),-99)</f>
        <v>175</v>
      </c>
      <c r="HY4" s="44" cm="1">
        <f t="array" ref="HY4">IFERROR(ROUND((1-(1-_xlfn.SINGLE(INDEX(E_k_valg[Højre position],E_k_aktiv)))/2)*HL3,0),-99)</f>
        <v>216</v>
      </c>
      <c r="HZ4" s="37">
        <f>IF(HY4+1&lt;=0,1,IF(HY4+1&gt;=HL$3,HL$3,HY4+1))</f>
        <v>217</v>
      </c>
      <c r="IA4" s="32">
        <f>IFERROR(INDEX(HU$10:HU$324,HZ4),NA())</f>
        <v>1.0048712376837356E-2</v>
      </c>
    </row>
    <row r="5" spans="1:235" x14ac:dyDescent="0.2">
      <c r="A5" s="53" t="s">
        <v>42</v>
      </c>
      <c r="B5" s="53" t="s">
        <v>211</v>
      </c>
      <c r="C5" s="53" t="s">
        <v>212</v>
      </c>
      <c r="H5" s="53" t="s">
        <v>42</v>
      </c>
      <c r="I5" s="53" t="s">
        <v>211</v>
      </c>
      <c r="J5" s="53" t="s">
        <v>212</v>
      </c>
      <c r="O5" s="53" t="s">
        <v>42</v>
      </c>
      <c r="P5" s="53" t="s">
        <v>211</v>
      </c>
      <c r="Q5" s="53" t="s">
        <v>212</v>
      </c>
      <c r="V5" s="53" t="s">
        <v>42</v>
      </c>
      <c r="W5" s="53" t="s">
        <v>211</v>
      </c>
      <c r="X5" s="53" t="s">
        <v>212</v>
      </c>
      <c r="AC5" s="53" t="s">
        <v>42</v>
      </c>
      <c r="AD5" s="53" t="s">
        <v>211</v>
      </c>
      <c r="BE5" s="53" t="s">
        <v>245</v>
      </c>
      <c r="BF5" s="57" t="b" cm="1">
        <f t="array" ref="BF5">MATCH(INDEX(E_g_valg[],E_g_aktiv,3),Beregningsmetode_liste,0)&gt;=8</f>
        <v>0</v>
      </c>
      <c r="BL5" s="53" t="s">
        <v>42</v>
      </c>
      <c r="BM5" s="86" t="str" cm="1">
        <f t="array" ref="BM5">INDEX(E_g_valg[Parameter],E_g_aktiv)</f>
        <v>Gennemsnit</v>
      </c>
      <c r="BZ5" s="32"/>
      <c r="CA5" s="32"/>
      <c r="CB5" s="37">
        <f>INDEX(E_g_valg[X min],E_g_aktiv)</f>
        <v>-3.0902323061678132</v>
      </c>
      <c r="CC5" s="37">
        <f>INDEX(E_g_valg[Parameter 1],E_g_aktiv)</f>
        <v>0</v>
      </c>
      <c r="CD5" s="37">
        <f>INDEX(E_g_valg[Parameter 1],E_g_aktiv)</f>
        <v>0</v>
      </c>
      <c r="CE5" s="37">
        <f>INDEX(E_g_valg[Parameter 1],E_g_aktiv)</f>
        <v>0</v>
      </c>
      <c r="CF5" s="37">
        <f>INDEX(E_g_valg[Parameter 1],E_g_aktiv)</f>
        <v>0</v>
      </c>
      <c r="CG5" s="32"/>
      <c r="CH5" s="37" t="str">
        <f>INDEX(Fordeling_liste,MATCH(TRUE,CC3:CF3,0))</f>
        <v>Normalfordeling</v>
      </c>
      <c r="CI5" s="37">
        <f>INDEX(E_g_valg[Højre teststørrelse],E_g_aktiv)</f>
        <v>1.9599639845400536</v>
      </c>
      <c r="CJ5" s="32" t="s">
        <v>159</v>
      </c>
      <c r="CK5" s="32" t="str">
        <f>CH9</f>
        <v>Større end teststørrelse</v>
      </c>
      <c r="CL5" s="32" t="str">
        <f>CG9</f>
        <v>Mindre end teststørrelse</v>
      </c>
      <c r="CM5" s="32" t="s">
        <v>181</v>
      </c>
      <c r="CN5" s="37">
        <f>INDEX(E_g_valg[Venstre label],E_g_aktiv)</f>
        <v>-0.58299999999999996</v>
      </c>
      <c r="CO5" s="37" t="str">
        <f>INDEX(E_g_valg[Venstre forklaring],E_g_aktiv)</f>
        <v>2.5% mindre end -0.583</v>
      </c>
      <c r="CP5" s="29"/>
      <c r="CQ5" s="29"/>
      <c r="CS5" t="str">
        <f>INDEX(E_g_valg[Hypotesetype],E_g_aktiv)</f>
        <v>Konfidensinterval</v>
      </c>
      <c r="CT5" t="s">
        <v>181</v>
      </c>
      <c r="CU5" s="5" t="e" cm="1">
        <f t="array" ref="CU5">(INDEX(DB$3:DB$5,CR7)*CS7/SQRT(Eu_g_n_x)+Eu_g_h0_x)</f>
        <v>#N/A</v>
      </c>
      <c r="CV5" t="e">
        <f>"Styrken er over "&amp;ROUND($B$67,5)*100&amp;"%
hvis populationsgennemsnittet er 
under "&amp;ROUND(CU5,3)</f>
        <v>#N/A</v>
      </c>
      <c r="CZ5" t="s">
        <v>270</v>
      </c>
      <c r="DA5" cm="1">
        <f t="array" ref="DA5">INDEX(Styrkeberegning_G[Approximeret power],COUNT(Styrkeberegning_G[Approximeret power]))</f>
        <v>0.8</v>
      </c>
      <c r="DB5" cm="1">
        <f t="array" ref="DB5">INDEX(Styrkeberegning_G[X base venstre],COUNT(Styrkeberegning_G[X base venstre]))</f>
        <v>-2.8015817870135784</v>
      </c>
      <c r="DC5" cm="1">
        <f t="array" ref="DC5">INDEX(Styrkeberegning_G[X base højre],COUNT(Styrkeberegning_G[X base højre]))</f>
        <v>2.8015817870135784</v>
      </c>
      <c r="DN5" s="32"/>
      <c r="DO5" s="32"/>
      <c r="DP5" s="37">
        <f>INDEX(E_s_valg[X min],E_s_aktiv)</f>
        <v>1.8338526646536903</v>
      </c>
      <c r="DQ5" s="37">
        <f>INDEX(E_s_valg[Parameter 1],E_s_aktiv)</f>
        <v>11</v>
      </c>
      <c r="DR5" s="37">
        <f>INDEX(E_s_valg[Parameter 1],E_s_aktiv)</f>
        <v>11</v>
      </c>
      <c r="DS5" s="37">
        <f>INDEX(E_s_valg[Parameter 1],E_s_aktiv)</f>
        <v>11</v>
      </c>
      <c r="DT5" s="37">
        <f>INDEX(E_s_valg[Parameter 1],E_s_aktiv)</f>
        <v>11</v>
      </c>
      <c r="DU5" s="32"/>
      <c r="DV5" s="37" t="str">
        <f>INDEX(Fordeling_liste,MATCH(TRUE,DQ3:DT3,0))</f>
        <v>Chi-i-anden-fordeling</v>
      </c>
      <c r="DW5" s="37">
        <f>INDEX(E_s_valg[Højre teststørrelse],E_s_aktiv)</f>
        <v>21.920049261021205</v>
      </c>
      <c r="DX5" s="32" t="s">
        <v>159</v>
      </c>
      <c r="DY5" s="32" t="str">
        <f>DV9</f>
        <v>Større end teststørrelse</v>
      </c>
      <c r="DZ5" s="32" t="str">
        <f>DU9</f>
        <v>Mindre end teststørrelse</v>
      </c>
      <c r="EA5" s="32" t="s">
        <v>181</v>
      </c>
      <c r="EB5" s="37">
        <f>INDEX(E_s_valg[Venstre label],E_s_aktiv)</f>
        <v>3.0510000000000002</v>
      </c>
      <c r="EC5" s="37" t="str">
        <f>INDEX(E_s_valg[Venstre forklaring],E_s_aktiv)</f>
        <v>2.5% mindre end 3.051</v>
      </c>
      <c r="ED5" s="29"/>
      <c r="EE5" s="29"/>
      <c r="EG5" s="32"/>
      <c r="EH5" s="32"/>
      <c r="EI5" s="37">
        <f>INDEX(E_a_valg[X min],E_a_aktiv)</f>
        <v>-3.0902323061678132</v>
      </c>
      <c r="EJ5" s="37">
        <f>INDEX(E_a_valg[Parameter 1],E_a_aktiv)</f>
        <v>0</v>
      </c>
      <c r="EK5" s="37">
        <f>INDEX(E_a_valg[Parameter 1],E_a_aktiv)</f>
        <v>0</v>
      </c>
      <c r="EL5" s="37">
        <f>INDEX(E_a_valg[Parameter 1],E_a_aktiv)</f>
        <v>0</v>
      </c>
      <c r="EM5" s="37">
        <f>INDEX(E_a_valg[Parameter 1],E_a_aktiv)</f>
        <v>0</v>
      </c>
      <c r="EN5" s="32"/>
      <c r="EO5" s="37" t="str">
        <f>INDEX(Fordeling_liste,MATCH(TRUE,EJ3:EM3,0))</f>
        <v>Normalfordeling</v>
      </c>
      <c r="EP5" s="37">
        <f>INDEX(E_a_valg[Højre teststørrelse],E_a_aktiv)</f>
        <v>1.9599639845400536</v>
      </c>
      <c r="EQ5" s="32" t="s">
        <v>159</v>
      </c>
      <c r="ER5" s="32" t="str">
        <f>EO9</f>
        <v>Større end teststørrelse</v>
      </c>
      <c r="ES5" s="32" t="str">
        <f>EN9</f>
        <v>Mindre end teststørrelse</v>
      </c>
      <c r="ET5" s="32" t="s">
        <v>181</v>
      </c>
      <c r="EU5" s="37" t="str">
        <f>INDEX(E_a_valg[Venstre label],E_a_aktiv)</f>
        <v>20.06%</v>
      </c>
      <c r="EV5" s="37" t="str">
        <f>INDEX(E_a_valg[Venstre forklaring],E_a_aktiv)</f>
        <v>2.5% mindre end 20.06%</v>
      </c>
      <c r="EW5" s="29"/>
      <c r="EY5" s="75"/>
      <c r="EZ5" s="74" t="str">
        <f>INDEX(E_a_valg[Hypotesetype],E_a_aktiv)</f>
        <v>Konfidensinterval</v>
      </c>
      <c r="FA5" s="74" t="s">
        <v>181</v>
      </c>
      <c r="FB5" s="79" t="e" cm="1">
        <f t="array" ref="FB5">INDEX(FG$3:FG$5,EY7)</f>
        <v>#N/A</v>
      </c>
      <c r="FC5" s="74" t="e">
        <f>"Styrken er over "&amp;ROUND($P$67,5)*100&amp;"%
hvis populationsandelen er 
under "&amp;ROUND(FB5,5)*100&amp;"%"</f>
        <v>#N/A</v>
      </c>
      <c r="FD5" s="75"/>
      <c r="FE5" s="74" t="s">
        <v>270</v>
      </c>
      <c r="FF5" s="78">
        <f>$P$67</f>
        <v>0.99</v>
      </c>
      <c r="FG5" s="83" t="e" cm="1">
        <f t="array" ref="FG5">IF(_xlfn.AGGREGATE(4,6,FX$6:FX$268)=0,NA(),INDEX(FY6:FY268,_xlfn.AGGREGATE(4,6,FX$6:FX$268)))</f>
        <v>#N/A</v>
      </c>
      <c r="FH5" s="74" t="e" cm="1">
        <f t="array" ref="FH5">IF(_xlfn.AGGREGATE(4,6,GE$6:GE$268)=0,NA(),INDEX(GF6:GF268,_xlfn.AGGREGATE(4,6,GE$6:GE$268)))</f>
        <v>#N/A</v>
      </c>
      <c r="FJ5" s="74" t="s">
        <v>285</v>
      </c>
      <c r="FK5" cm="1">
        <f t="array" ref="FK5">INDEX(Eu_tabel_a[X base som procent],FK3+1)</f>
        <v>0</v>
      </c>
      <c r="FL5" s="7" t="e" cm="1">
        <f t="array" ref="FL5">INDEX(Eu_tabel_a[Styrke venstre],FK3+1)</f>
        <v>#DIV/0!</v>
      </c>
      <c r="FM5">
        <f t="shared" ref="FM5:FN8" si="7">FK5-FK4</f>
        <v>0</v>
      </c>
      <c r="FN5" s="8" t="e">
        <f t="shared" si="7"/>
        <v>#DIV/0!</v>
      </c>
      <c r="FO5" s="8" t="e">
        <f>$P$67-FL4</f>
        <v>#DIV/0!</v>
      </c>
      <c r="FP5" s="81" t="e">
        <f>FM5/(FN5/FO5)</f>
        <v>#DIV/0!</v>
      </c>
      <c r="FQ5" s="74" t="s">
        <v>285</v>
      </c>
      <c r="FR5" cm="1">
        <f t="array" ref="FR5">INDEX(Eu_tabel_a[X base som procent],FR3+1)</f>
        <v>0</v>
      </c>
      <c r="FS5" s="7" t="e" cm="1" vm="2">
        <f t="array" aca="1" ref="FS5" ca="1">IFERROR(INDEX(Eu_tabel_a[Styrke højre],FR3+1),INDEX(Eu_tabel_a[Styrke højre],FR3-1))</f>
        <v>#VALUE!</v>
      </c>
      <c r="FT5">
        <f t="shared" ref="FT5:FT68" si="8">FR5-FR4</f>
        <v>0</v>
      </c>
      <c r="FU5" s="8" t="e" vm="3">
        <f t="shared" ref="FU5:FU68" ca="1" si="9">FS5-FS4</f>
        <v>#VALUE!</v>
      </c>
      <c r="FV5" s="8" t="e">
        <f t="shared" ref="FV5:FV68" si="10">$P$67-FS4</f>
        <v>#DIV/0!</v>
      </c>
      <c r="FW5" s="81" t="e" vm="3">
        <f t="shared" ref="FW5:FW68" ca="1" si="11">FT5/(FU5/FV5)</f>
        <v>#VALUE!</v>
      </c>
      <c r="FX5" s="74" t="s">
        <v>285</v>
      </c>
      <c r="FY5" t="e" cm="1">
        <f t="array" ref="FY5">INDEX(Eu_tabel_a[X base som procent],FY3+1)</f>
        <v>#N/A</v>
      </c>
      <c r="FZ5" s="7" t="e" cm="1">
        <f t="array" ref="FZ5">IFERROR(INDEX(Eu_tabel_a[Styrke tosidet],FY3+1),INDEX(Eu_tabel_a[Styrke tosidet],FY3-1))</f>
        <v>#N/A</v>
      </c>
      <c r="GA5" t="e">
        <f>FY5-FY4</f>
        <v>#N/A</v>
      </c>
      <c r="GB5" s="8" t="e">
        <f>FZ5-FZ4</f>
        <v>#N/A</v>
      </c>
      <c r="GC5" s="8" t="e">
        <f>$P$67-FZ4</f>
        <v>#N/A</v>
      </c>
      <c r="GD5" s="81" t="e">
        <f>GA5/(GB5/GC5)</f>
        <v>#N/A</v>
      </c>
      <c r="GE5" s="74" t="s">
        <v>285</v>
      </c>
      <c r="GF5" t="e" cm="1">
        <f t="array" ref="GF5">INDEX(Eu_tabel_a[X base som procent],GF3+1)</f>
        <v>#N/A</v>
      </c>
      <c r="GG5" s="7" t="e" cm="1">
        <f t="array" ref="GG5">IFERROR(INDEX(Eu_tabel_a[Styrke tosidet],GF3+1),INDEX(Eu_tabel_a[Styrke tosidet],GF3-1))</f>
        <v>#N/A</v>
      </c>
      <c r="GH5" t="e">
        <f>GF5-GF4</f>
        <v>#N/A</v>
      </c>
      <c r="GI5" s="8" t="e">
        <f>GG5-GG4</f>
        <v>#N/A</v>
      </c>
      <c r="GJ5" s="8" t="e">
        <f>$P$67-GG4</f>
        <v>#N/A</v>
      </c>
      <c r="GK5" s="81" t="e">
        <f>GH5/(GI5/GJ5)</f>
        <v>#N/A</v>
      </c>
      <c r="GL5" s="81"/>
      <c r="GM5" s="81"/>
      <c r="GN5" s="29"/>
      <c r="GP5" s="32"/>
      <c r="GQ5" s="32"/>
      <c r="GR5" s="37">
        <f>INDEX(E_i_valg[X min],E_i_aktiv)</f>
        <v>-3.0902323061678132</v>
      </c>
      <c r="GS5" s="37">
        <f>INDEX(E_i_valg[Parameter 1],E_i_aktiv)</f>
        <v>0</v>
      </c>
      <c r="GT5" s="37">
        <f>INDEX(E_i_valg[Parameter 1],E_i_aktiv)</f>
        <v>0</v>
      </c>
      <c r="GU5" s="37">
        <f>INDEX(E_i_valg[Parameter 1],E_i_aktiv)</f>
        <v>0</v>
      </c>
      <c r="GV5" s="37">
        <f>INDEX(E_i_valg[Parameter 1],E_i_aktiv)</f>
        <v>0</v>
      </c>
      <c r="GW5" s="32"/>
      <c r="GX5" s="37" t="str">
        <f>INDEX(Fordeling_liste,MATCH(TRUE,GS3:GV3,0))</f>
        <v>Normalfordeling</v>
      </c>
      <c r="GY5" s="37">
        <f>INDEX(E_i_valg[Højre teststørrelse],E_i_aktiv)</f>
        <v>1.9599639845400536</v>
      </c>
      <c r="GZ5" s="32" t="s">
        <v>159</v>
      </c>
      <c r="HA5" s="32" t="str">
        <f>GX9</f>
        <v>Større end teststørrelse</v>
      </c>
      <c r="HB5" s="32" t="str">
        <f>GW9</f>
        <v>Mindre end teststørrelse</v>
      </c>
      <c r="HC5" s="32" t="s">
        <v>181</v>
      </c>
      <c r="HD5" s="37">
        <f>INDEX(E_i_valg[Venstre label],E_i_aktiv)</f>
        <v>1.0840000000000001</v>
      </c>
      <c r="HE5" s="37" t="str">
        <f>INDEX(E_i_valg[Venstre forklaring],E_i_aktiv)</f>
        <v>2.5% mindre end 1.084</v>
      </c>
      <c r="HF5" s="29"/>
      <c r="HG5" s="29"/>
      <c r="HJ5" s="32"/>
      <c r="HK5" s="32"/>
      <c r="HL5" s="37" cm="1">
        <f t="array" ref="HL5">_xlfn.SINGLE(INDEX(E_k_valg[X min],E_k_aktiv))</f>
        <v>-4.7852896286383331</v>
      </c>
      <c r="HM5" s="37" cm="1">
        <f t="array" ref="HM5">_xlfn.SINGLE(INDEX(E_k_valg[Parameter 1],E_k_aktiv))</f>
        <v>7</v>
      </c>
      <c r="HN5" s="37" cm="1">
        <f t="array" ref="HN5">_xlfn.SINGLE(INDEX(E_k_valg[Parameter 1],E_k_aktiv))</f>
        <v>7</v>
      </c>
      <c r="HO5" s="37" cm="1">
        <f t="array" ref="HO5">_xlfn.SINGLE(INDEX(E_k_valg[Parameter 1],E_k_aktiv))</f>
        <v>7</v>
      </c>
      <c r="HP5" s="37" cm="1">
        <f t="array" ref="HP5">_xlfn.SINGLE(INDEX(E_k_valg[Parameter 1],E_k_aktiv))</f>
        <v>7</v>
      </c>
      <c r="HQ5" s="32"/>
      <c r="HR5" s="37" t="str">
        <f>INDEX(Fordeling_liste,MATCH(TRUE,HM3:HP3,0))</f>
        <v>t-fordeling</v>
      </c>
      <c r="HS5" s="37" cm="1">
        <f t="array" ref="HS5">_xlfn.SINGLE(INDEX(E_k_valg[Højre teststørrelse],E_k_aktiv))</f>
        <v>1.7059050335879198</v>
      </c>
      <c r="HT5" s="32" t="s">
        <v>159</v>
      </c>
      <c r="HU5" s="32" t="str">
        <f>HR9</f>
        <v>Større end teststørrelse</v>
      </c>
      <c r="HV5" s="32" t="str">
        <f>HQ9</f>
        <v>Mindre end teststørrelse</v>
      </c>
      <c r="HW5" s="32" t="s">
        <v>181</v>
      </c>
      <c r="HX5" s="37" cm="1">
        <f t="array" ref="HX5">_xlfn.SINGLE(INDEX(E_k_valg[Venstre label],E_k_aktiv))</f>
        <v>0.34100000000000003</v>
      </c>
      <c r="HY5" s="37" t="str" cm="1">
        <f t="array" ref="HY5">_xlfn.SINGLE(INDEX(E_k_valg[Venstre forklaring],E_k_aktiv))</f>
        <v>93.41% mindre end 0.341</v>
      </c>
      <c r="HZ5" s="29"/>
      <c r="IA5" s="29"/>
    </row>
    <row r="6" spans="1:235" x14ac:dyDescent="0.2">
      <c r="A6" s="35" t="s">
        <v>208</v>
      </c>
      <c r="B6" s="46" t="s">
        <v>15</v>
      </c>
      <c r="C6" s="46" t="s">
        <v>141</v>
      </c>
      <c r="H6" s="35" t="s">
        <v>208</v>
      </c>
      <c r="I6" s="46" t="s">
        <v>15</v>
      </c>
      <c r="J6" s="46" t="s">
        <v>141</v>
      </c>
      <c r="O6" s="35" t="s">
        <v>208</v>
      </c>
      <c r="P6" s="46" t="s">
        <v>144</v>
      </c>
      <c r="Q6" s="46" t="s">
        <v>144</v>
      </c>
      <c r="V6" s="35" t="s">
        <v>208</v>
      </c>
      <c r="W6" s="46" t="s">
        <v>15</v>
      </c>
      <c r="X6" s="46" t="s">
        <v>141</v>
      </c>
      <c r="AC6" s="35" t="s">
        <v>208</v>
      </c>
      <c r="AD6" s="46" t="s">
        <v>15</v>
      </c>
      <c r="BL6" s="53" t="s">
        <v>49</v>
      </c>
      <c r="BM6" s="86" t="str" cm="1">
        <f t="array" ref="BM6">INDEX(E_g_valg[Hypotesetype],E_g_aktiv)</f>
        <v>Konfidensinterval</v>
      </c>
      <c r="BZ6" s="32"/>
      <c r="CA6" s="32" t="s">
        <v>148</v>
      </c>
      <c r="CB6" s="32" t="s">
        <v>18</v>
      </c>
      <c r="CC6" s="32" t="s">
        <v>1</v>
      </c>
      <c r="CD6" s="32"/>
      <c r="CE6" s="32"/>
      <c r="CF6" s="32" t="s">
        <v>150</v>
      </c>
      <c r="CG6" s="32"/>
      <c r="CH6" s="32"/>
      <c r="CI6" s="32"/>
      <c r="CJ6" s="32" t="s">
        <v>31</v>
      </c>
      <c r="CK6" s="32" t="str">
        <f>CI9</f>
        <v>Forskellig fra teststørrelse</v>
      </c>
      <c r="CL6" s="32" t="str">
        <f>CJ9</f>
        <v>Lig med teststørrelse</v>
      </c>
      <c r="CM6" s="32" t="s">
        <v>182</v>
      </c>
      <c r="CN6" s="37">
        <f>INDEX(E_g_valg[Midtpunkt label],E_g_aktiv)</f>
        <v>1.8540000000000001</v>
      </c>
      <c r="CO6" s="37" t="str">
        <f>INDEX(E_g_valg[Midtpunkt forklaring],E_g_aktiv)</f>
        <v>95% mellem -0.583 og 4.291</v>
      </c>
      <c r="CP6" s="29"/>
      <c r="CQ6" s="29"/>
      <c r="CR6" t="s">
        <v>259</v>
      </c>
      <c r="CS6" t="s">
        <v>1</v>
      </c>
      <c r="CT6" t="s">
        <v>182</v>
      </c>
      <c r="CU6" s="5">
        <f>Eu_g_h0_x</f>
        <v>0</v>
      </c>
      <c r="CV6" t="e">
        <f>CHOOSE(CR7,"Styrken er under "&amp;ROUND(B67,5)*100&amp;"%
hvis populationsgennemsnittet er 
over "&amp;ROUND(CU5,3),"Styrken er under "&amp;ROUND(B67,5)*100&amp;"%
hvis populationsgennemsnittet er 
under "&amp;ROUND(CU7,3),"Styrken er under "&amp;ROUND(B67,5)*100&amp;"%
hvis populationsgennemsnittet er 
mellem "&amp;ROUND(CU5,3)&amp;" og "&amp;ROUND(CU7,3))</f>
        <v>#N/A</v>
      </c>
      <c r="CZ6" t="s">
        <v>271</v>
      </c>
      <c r="DA6" t="s">
        <v>272</v>
      </c>
      <c r="DB6" t="s">
        <v>268</v>
      </c>
      <c r="DC6" t="s">
        <v>269</v>
      </c>
      <c r="DN6" s="32"/>
      <c r="DO6" s="32" t="s">
        <v>148</v>
      </c>
      <c r="DP6" s="32" t="s">
        <v>18</v>
      </c>
      <c r="DQ6" s="32" t="s">
        <v>1</v>
      </c>
      <c r="DR6" s="32"/>
      <c r="DS6" s="32"/>
      <c r="DT6" s="32" t="s">
        <v>150</v>
      </c>
      <c r="DU6" s="32"/>
      <c r="DV6" s="32"/>
      <c r="DW6" s="32"/>
      <c r="DX6" s="32" t="s">
        <v>31</v>
      </c>
      <c r="DY6" s="32" t="str">
        <f>DW9</f>
        <v>Forskellig fra teststørrelse</v>
      </c>
      <c r="DZ6" s="32" t="str">
        <f>DX9</f>
        <v>Lig med teststørrelse</v>
      </c>
      <c r="EA6" s="32" t="s">
        <v>182</v>
      </c>
      <c r="EB6" s="37">
        <f>INDEX(E_s_valg[Midtpunkt label],E_s_aktiv)</f>
        <v>4.3070000000000004</v>
      </c>
      <c r="EC6" s="37" t="str">
        <f>INDEX(E_s_valg[Midtpunkt forklaring],E_s_aktiv)</f>
        <v>95% mellem 3.051 og 7.313</v>
      </c>
      <c r="ED6" s="29"/>
      <c r="EE6" s="29"/>
      <c r="EG6" s="32"/>
      <c r="EH6" s="32" t="s">
        <v>148</v>
      </c>
      <c r="EI6" s="32" t="s">
        <v>18</v>
      </c>
      <c r="EJ6" s="32" t="s">
        <v>1</v>
      </c>
      <c r="EK6" s="32"/>
      <c r="EL6" s="32"/>
      <c r="EM6" s="32" t="s">
        <v>150</v>
      </c>
      <c r="EN6" s="32"/>
      <c r="EO6" s="32"/>
      <c r="EP6" s="32"/>
      <c r="EQ6" s="32" t="s">
        <v>31</v>
      </c>
      <c r="ER6" s="32" t="str">
        <f>EP9</f>
        <v>Forskellig fra teststørrelse</v>
      </c>
      <c r="ES6" s="32" t="str">
        <f>EQ9</f>
        <v>Lig med teststørrelse</v>
      </c>
      <c r="ET6" s="32" t="s">
        <v>182</v>
      </c>
      <c r="EU6" s="37" t="str">
        <f>INDEX(E_a_valg[Midtpunkt label],E_a_aktiv)</f>
        <v>41.667%</v>
      </c>
      <c r="EV6" s="37" t="str">
        <f>INDEX(E_a_valg[Midtpunkt forklaring],E_a_aktiv)</f>
        <v>95% mellem 20.06% og 63.273%</v>
      </c>
      <c r="EW6" s="29"/>
      <c r="EY6" s="74" t="s">
        <v>259</v>
      </c>
      <c r="EZ6" s="74" t="s">
        <v>281</v>
      </c>
      <c r="FA6" s="74" t="s">
        <v>182</v>
      </c>
      <c r="FB6" s="76">
        <f>Eu_a_h0_x</f>
        <v>0</v>
      </c>
      <c r="FC6" s="74" t="e">
        <f>CHOOSE(EY7,"Styrken er under "&amp;ROUND(P67,5)*100&amp;"%
hvis populationsandelen er 
over "&amp;ROUND(FB5,5)*100&amp;"%","Styrken er under "&amp;ROUND(P67,5)*100&amp;"%
hvis populationsandelen er 
under "&amp;ROUND(FB7,5)*100&amp;"%",IF(ISNA(FH5),"Styrken er under "&amp;ROUND(P67,5)*100&amp;"%
hvis populationsandelen er 
over "&amp;ROUND(FB5,5)*100&amp;"%",IF(ISNA(FG5),"Styrken er under "&amp;ROUND(P67,5)*100&amp;"%
hvis populationsandelen er 
under "&amp;ROUND(FB7,5)*100&amp;"%","Styrken er under "&amp;ROUND(P67,5)*100&amp;"%
hvis populationsandelen er
mellem "&amp;ROUND(FB5,5)*100&amp;"% og "&amp;ROUND(FB7,5)*100&amp;"%")))</f>
        <v>#N/A</v>
      </c>
      <c r="FD6" s="75"/>
      <c r="FE6" s="75"/>
      <c r="FF6" s="74" t="s">
        <v>195</v>
      </c>
      <c r="FJ6" s="74" t="e">
        <f>IF(ISERROR(FK6),NA(),ROW(FJ6)-ROW(FJ$5))</f>
        <v>#N/A</v>
      </c>
      <c r="FK6" s="82" t="e">
        <f>FK4+FP5</f>
        <v>#DIV/0!</v>
      </c>
      <c r="FL6" s="7" t="e">
        <f t="shared" ref="FL6:FL69" si="12">_xlfn.NORM.DIST(-(SQRT(Eu_a_n_x)*(FK6-Eu_a_h0_x)/SQRT(FK6*(1-FK6)))-(_xlfn.NORM.INV(Eu_a_konfidensniveau,0,1)*SQRT((Eu_a_h0_x*(1-Eu_a_h0_x))/(FK6*(1-FK6)))),0,1,TRUE)</f>
        <v>#DIV/0!</v>
      </c>
      <c r="FM6" t="e">
        <f t="shared" si="7"/>
        <v>#DIV/0!</v>
      </c>
      <c r="FN6" s="8" t="e">
        <f t="shared" si="7"/>
        <v>#DIV/0!</v>
      </c>
      <c r="FO6" s="8" t="e">
        <f>$P$67-FL5</f>
        <v>#DIV/0!</v>
      </c>
      <c r="FP6" s="81" t="e">
        <f>FM6/(FN6/FO6)</f>
        <v>#DIV/0!</v>
      </c>
      <c r="FQ6" s="74" t="e">
        <f t="shared" ref="FQ6:FQ69" ca="1" si="13">IF(ISERROR(FR6),NA(),ROW(FQ6)-ROW(FQ$5))</f>
        <v>#N/A</v>
      </c>
      <c r="FR6" s="82" t="e" vm="3">
        <f ca="1">MIN(FR4+FW5,1)</f>
        <v>#VALUE!</v>
      </c>
      <c r="FS6" s="7" t="e" vm="3">
        <f t="shared" ref="FS6:FS69" ca="1" si="14">_xlfn.NORM.DIST((SQRT(Eu_a_n_x)*(FR6-Eu_a_h0_x)/SQRT(FR6*(1-FR6)))-(_xlfn.NORM.INV(Eu_a_konfidensniveau,0,1)*SQRT((Eu_a_h0_x*(1-Eu_a_h0_x))/(FR6*(1-FR6)))),0,1,TRUE)</f>
        <v>#VALUE!</v>
      </c>
      <c r="FT6" t="e" vm="3">
        <f t="shared" ca="1" si="8"/>
        <v>#VALUE!</v>
      </c>
      <c r="FU6" s="8" t="e" vm="3">
        <f t="shared" ca="1" si="9"/>
        <v>#VALUE!</v>
      </c>
      <c r="FV6" s="8" t="e" vm="3">
        <f t="shared" ca="1" si="10"/>
        <v>#VALUE!</v>
      </c>
      <c r="FW6" s="81" t="e" vm="3">
        <f t="shared" ca="1" si="11"/>
        <v>#VALUE!</v>
      </c>
      <c r="FX6" s="74" t="e">
        <f t="shared" ref="FX6:FX69" si="15">IF(ISERROR(FY6),NA(),ROW(FX6)-ROW(FX$5))</f>
        <v>#N/A</v>
      </c>
      <c r="FY6" s="82" t="e">
        <f>MIN(1,FY4+GD5)</f>
        <v>#N/A</v>
      </c>
      <c r="FZ6" s="7" t="e">
        <f t="shared" ref="FZ6:FZ69" si="16">_xlfn.NORM.DIST(-(SQRT(Eu_a_n_x)*(FY6-Eu_a_h0_x)/SQRT(FY6*(1-FY6)))-(_xlfn.NORM.INV(1-(1-Eu_a_konfidensniveau)/2,0,1)*SQRT((Eu_a_h0_x*(1-Eu_a_h0_x))/(FY6*(1-FY6)))),0,1,TRUE)+_xlfn.NORM.DIST((SQRT(Eu_a_n_x)*(FY6-Eu_a_h0_x)/SQRT(FY6*(1-FY6)))-(_xlfn.NORM.INV(1-(1-Eu_a_konfidensniveau)/2,0,1)*SQRT((Eu_a_h0_x*(1-Eu_a_h0_x))/(FY6*(1-FY6)))),0,1,TRUE)</f>
        <v>#N/A</v>
      </c>
      <c r="GA6" t="e">
        <f>FY6-FY5</f>
        <v>#N/A</v>
      </c>
      <c r="GB6" s="8" t="e">
        <f>FZ6-FZ5</f>
        <v>#N/A</v>
      </c>
      <c r="GC6" s="8" t="e">
        <f>$P$67-FZ5</f>
        <v>#N/A</v>
      </c>
      <c r="GD6" s="81" t="e">
        <f>GA6/(GB6/GC6)</f>
        <v>#N/A</v>
      </c>
      <c r="GE6" s="74" t="e">
        <f>IF(ISERROR(GF6),NA(),ROW(GE6)-ROW(GE$5))</f>
        <v>#N/A</v>
      </c>
      <c r="GF6" s="82" t="e">
        <f>MIN(1,GF4+GK5)</f>
        <v>#N/A</v>
      </c>
      <c r="GG6" s="7" t="e">
        <f t="shared" ref="GG6:GG69" si="17">_xlfn.NORM.DIST(-(SQRT(Eu_a_n_x)*(GF6-Eu_a_h0_x)/SQRT(GF6*(1-GF6)))-(_xlfn.NORM.INV(1-(1-Eu_a_konfidensniveau)/2,0,1)*SQRT((Eu_a_h0_x*(1-Eu_a_h0_x))/(GF6*(1-GF6)))),0,1,TRUE)+_xlfn.NORM.DIST((SQRT(Eu_a_n_x)*(GF6-Eu_a_h0_x)/SQRT(GF6*(1-GF6)))-(_xlfn.NORM.INV(1-(1-Eu_a_konfidensniveau)/2,0,1)*SQRT((Eu_a_h0_x*(1-Eu_a_h0_x))/(GF6*(1-GF6)))),0,1,TRUE)</f>
        <v>#N/A</v>
      </c>
      <c r="GH6" t="e">
        <f>GF6-GF5</f>
        <v>#N/A</v>
      </c>
      <c r="GI6" s="8" t="e">
        <f>GG6-GG5</f>
        <v>#N/A</v>
      </c>
      <c r="GJ6" s="8" t="e">
        <f>$P$67-GG5</f>
        <v>#N/A</v>
      </c>
      <c r="GK6" s="81" t="e">
        <f>GH6/(GI6/GJ6)</f>
        <v>#N/A</v>
      </c>
      <c r="GL6" s="81"/>
      <c r="GM6" s="81"/>
      <c r="GN6" s="29"/>
      <c r="GP6" s="32"/>
      <c r="GQ6" s="32" t="s">
        <v>148</v>
      </c>
      <c r="GR6" s="32" t="s">
        <v>18</v>
      </c>
      <c r="GS6" s="32" t="s">
        <v>1</v>
      </c>
      <c r="GT6" s="32"/>
      <c r="GU6" s="32"/>
      <c r="GV6" s="32" t="s">
        <v>150</v>
      </c>
      <c r="GW6" s="32"/>
      <c r="GX6" s="32"/>
      <c r="GY6" s="32"/>
      <c r="GZ6" s="32" t="s">
        <v>31</v>
      </c>
      <c r="HA6" s="32" t="str">
        <f>GY9</f>
        <v>Forskellig fra teststørrelse</v>
      </c>
      <c r="HB6" s="32" t="str">
        <f>GZ9</f>
        <v>Lig med teststørrelse</v>
      </c>
      <c r="HC6" s="32" t="s">
        <v>182</v>
      </c>
      <c r="HD6" s="37">
        <f>INDEX(E_i_valg[Midtpunkt label],E_i_aktiv)</f>
        <v>1.8540000000000001</v>
      </c>
      <c r="HE6" s="37" t="str">
        <f>INDEX(E_i_valg[Midtpunkt forklaring],E_i_aktiv)</f>
        <v>95% mellem 1.084 og 2.624</v>
      </c>
      <c r="HF6" s="29"/>
      <c r="HG6" s="29"/>
      <c r="HJ6" s="32"/>
      <c r="HK6" s="32" t="s">
        <v>148</v>
      </c>
      <c r="HL6" s="32" t="s">
        <v>18</v>
      </c>
      <c r="HM6" s="32" t="s">
        <v>1</v>
      </c>
      <c r="HN6" s="32"/>
      <c r="HO6" s="32"/>
      <c r="HP6" s="32" t="s">
        <v>150</v>
      </c>
      <c r="HQ6" s="32"/>
      <c r="HR6" s="32"/>
      <c r="HS6" s="32"/>
      <c r="HT6" s="32" t="s">
        <v>31</v>
      </c>
      <c r="HU6" s="32" t="str">
        <f>HS9</f>
        <v>Forskellig fra teststørrelse</v>
      </c>
      <c r="HV6" s="32" t="str">
        <f>HT9</f>
        <v>Lig med teststørrelse</v>
      </c>
      <c r="HW6" s="32" t="s">
        <v>182</v>
      </c>
      <c r="HX6" s="37" cm="1">
        <f t="array" ref="HX6">_xlfn.SINGLE(INDEX(E_k_valg[Midtpunkt label],E_k_aktiv))</f>
        <v>0</v>
      </c>
      <c r="HY6" s="37" t="str" cm="1">
        <f t="array" ref="HY6">_xlfn.SINGLE(INDEX(E_k_valg[Midtpunkt forklaring],E_k_aktiv))</f>
        <v xml:space="preserve"> </v>
      </c>
      <c r="HZ6" s="29"/>
      <c r="IA6" s="29"/>
    </row>
    <row r="7" spans="1:235" x14ac:dyDescent="0.2">
      <c r="A7" s="35" t="s">
        <v>229</v>
      </c>
      <c r="B7" s="46">
        <v>1.8540044183209705</v>
      </c>
      <c r="C7" s="46">
        <v>3.359406635758635</v>
      </c>
      <c r="H7" s="35" t="s">
        <v>230</v>
      </c>
      <c r="I7" s="46">
        <v>4.3068660656276769</v>
      </c>
      <c r="J7" s="46">
        <v>4.025703726931031</v>
      </c>
      <c r="O7" s="35" t="s">
        <v>232</v>
      </c>
      <c r="P7" s="47">
        <v>0.41666666666666669</v>
      </c>
      <c r="Q7" s="47">
        <v>0.41666666666666669</v>
      </c>
      <c r="V7" s="35" t="s">
        <v>236</v>
      </c>
      <c r="W7" s="46">
        <v>1.8540044183209705</v>
      </c>
      <c r="X7" s="46">
        <v>3.359406635758635</v>
      </c>
      <c r="AC7" s="35" t="s">
        <v>241</v>
      </c>
      <c r="AD7" s="46">
        <v>0.34073089457687977</v>
      </c>
      <c r="BE7" s="35" t="s">
        <v>218</v>
      </c>
      <c r="BF7" s="53" t="s">
        <v>0</v>
      </c>
      <c r="BG7" s="53" t="s">
        <v>1</v>
      </c>
      <c r="BH7" s="53" t="s">
        <v>2</v>
      </c>
      <c r="BI7" s="53" t="s">
        <v>3</v>
      </c>
      <c r="BJ7" s="53" t="s">
        <v>22</v>
      </c>
      <c r="BL7" s="53" t="s">
        <v>108</v>
      </c>
      <c r="BM7" s="86" t="str" cm="1">
        <f t="array" ref="BM7">INDEX(E_g_valg[Beregningsmetode],E_g_aktiv)</f>
        <v>Normalfordeling</v>
      </c>
      <c r="BZ7" s="32"/>
      <c r="CA7" s="32"/>
      <c r="CB7" s="37">
        <f>INDEX(E_g_valg[X max],E_g_aktiv)</f>
        <v>3.0902323061678132</v>
      </c>
      <c r="CC7" s="37">
        <f>INDEX(E_g_valg[Parameter 2],E_g_aktiv)</f>
        <v>1</v>
      </c>
      <c r="CD7" s="32"/>
      <c r="CE7" s="32"/>
      <c r="CF7" s="37">
        <f>INDEX(E_g_valg[Parameter 2],E_g_aktiv)</f>
        <v>1</v>
      </c>
      <c r="CG7" s="32"/>
      <c r="CH7" s="32"/>
      <c r="CI7" s="32"/>
      <c r="CJ7" s="32" t="s">
        <v>177</v>
      </c>
      <c r="CK7" s="37">
        <f>MATCH(INDEX(CK3:CK6,MATCH(CH3,CJ3:CJ6,0)),CG9:CJ9,0)</f>
        <v>3</v>
      </c>
      <c r="CL7" s="37">
        <f>MATCH(INDEX(CL3:CL6,MATCH(CH3,CJ3:CJ6,0)),CG9:CJ9,0)</f>
        <v>4</v>
      </c>
      <c r="CM7" s="32" t="s">
        <v>183</v>
      </c>
      <c r="CN7" s="37">
        <f>INDEX(E_g_valg[Højre label],E_g_aktiv)</f>
        <v>4.2910000000000004</v>
      </c>
      <c r="CO7" s="37" t="str">
        <f>INDEX(E_g_valg[Højre forklaring],E_g_aktiv)</f>
        <v>2.5% større end 4.291</v>
      </c>
      <c r="CP7" s="29"/>
      <c r="CQ7" s="29"/>
      <c r="CR7" t="e">
        <f>MATCH(CH3,CJ4:CJ6,0)</f>
        <v>#N/A</v>
      </c>
      <c r="CS7">
        <f>IF(INDEX(E_g_valg[Beregningsmetode],E_g_aktiv)="Normalfordeling med kendt standardafvigelse",Eu_g_s_population_x,Eu_g_s_x)</f>
        <v>4.3068660656276769</v>
      </c>
      <c r="CT7" t="s">
        <v>183</v>
      </c>
      <c r="CU7" s="5" t="e" cm="1">
        <f t="array" ref="CU7">(INDEX(DC$3:DC$5,CR7)*CS7/SQRT(Eu_g_n_x)+Eu_g_h0_x)</f>
        <v>#N/A</v>
      </c>
      <c r="CV7" t="e">
        <f>"Styrken er over "&amp;ROUND(B67,5)*100&amp;"%
hvis populationsgennemsnittet er 
over "&amp;ROUND(CU7,3)</f>
        <v>#N/A</v>
      </c>
      <c r="CZ7" t="s">
        <v>273</v>
      </c>
      <c r="DA7">
        <f>_xlfn.NORM.DIST(_xlfn.NORM.INV((1-Eu_g_konfidensniveau)/2,0,1)-DB7,0,1,TRUE)+1-_xlfn.NORM.DIST(_xlfn.NORM.INV(1-(1-Eu_g_konfidensniveau)/2,0,1)-DB7,0,1,TRUE)</f>
        <v>0.8000009605622268</v>
      </c>
      <c r="DB7" s="5">
        <f>_xlfn.NORM.INV((1-Eu_g_konfidensniveau)/2,0,1)-_xlfn.NORM.INV($B$67,0,1)</f>
        <v>-2.8015852181129683</v>
      </c>
      <c r="DC7" s="5">
        <f>DB7*-1</f>
        <v>2.8015852181129683</v>
      </c>
      <c r="DN7" s="32"/>
      <c r="DO7" s="32"/>
      <c r="DP7" s="37">
        <f>INDEX(E_s_valg[X max],E_s_aktiv)</f>
        <v>31.264133620239949</v>
      </c>
      <c r="DQ7" s="37">
        <f>INDEX(E_s_valg[Parameter 2],E_s_aktiv)</f>
        <v>0</v>
      </c>
      <c r="DR7" s="32"/>
      <c r="DS7" s="32"/>
      <c r="DT7" s="37">
        <f>INDEX(E_s_valg[Parameter 2],E_s_aktiv)</f>
        <v>0</v>
      </c>
      <c r="DU7" s="32"/>
      <c r="DV7" s="32"/>
      <c r="DW7" s="32"/>
      <c r="DX7" s="32" t="s">
        <v>177</v>
      </c>
      <c r="DY7" s="37">
        <f>MATCH(INDEX(DY3:DY6,MATCH(DV3,DX3:DX6,0)),DU9:DX9,0)</f>
        <v>3</v>
      </c>
      <c r="DZ7" s="37">
        <f>MATCH(INDEX(DZ3:DZ6,MATCH(DV3,DX3:DX6,0)),DU9:DX9,0)</f>
        <v>4</v>
      </c>
      <c r="EA7" s="32" t="s">
        <v>183</v>
      </c>
      <c r="EB7" s="37">
        <f>INDEX(E_s_valg[Højre label],E_s_aktiv)</f>
        <v>7.3129999999999997</v>
      </c>
      <c r="EC7" s="37" t="str">
        <f>INDEX(E_s_valg[Højre forklaring],E_s_aktiv)</f>
        <v>2.5% større end 7.313</v>
      </c>
      <c r="ED7" s="29"/>
      <c r="EE7" s="29"/>
      <c r="EG7" s="32"/>
      <c r="EH7" s="32"/>
      <c r="EI7" s="37">
        <f>INDEX(E_a_valg[X max],E_a_aktiv)</f>
        <v>3.0902323061678132</v>
      </c>
      <c r="EJ7" s="37">
        <f>INDEX(E_a_valg[Parameter 2],E_a_aktiv)</f>
        <v>1</v>
      </c>
      <c r="EK7" s="32"/>
      <c r="EL7" s="32"/>
      <c r="EM7" s="37">
        <f>INDEX(E_a_valg[Parameter 2],E_a_aktiv)</f>
        <v>1</v>
      </c>
      <c r="EN7" s="32"/>
      <c r="EO7" s="32"/>
      <c r="EP7" s="32"/>
      <c r="EQ7" s="32" t="s">
        <v>177</v>
      </c>
      <c r="ER7" s="37">
        <f>MATCH(INDEX(ER3:ER6,MATCH(EO3,EQ3:EQ6,0)),EN9:EQ9,0)</f>
        <v>3</v>
      </c>
      <c r="ES7" s="37">
        <f>MATCH(INDEX(ES3:ES6,MATCH(EO3,EQ3:EQ6,0)),EN9:EQ9,0)</f>
        <v>4</v>
      </c>
      <c r="ET7" s="32" t="s">
        <v>183</v>
      </c>
      <c r="EU7" s="37" t="str">
        <f>INDEX(E_a_valg[Højre label],E_a_aktiv)</f>
        <v>63.273%</v>
      </c>
      <c r="EV7" s="37" t="str">
        <f>INDEX(E_a_valg[Højre forklaring],E_a_aktiv)</f>
        <v>2.5% større end 63.273%</v>
      </c>
      <c r="EW7" s="29"/>
      <c r="EX7" s="29"/>
      <c r="EY7" s="74" t="e">
        <f>MATCH(EO3,EQ4:EQ6,0)</f>
        <v>#N/A</v>
      </c>
      <c r="EZ7" s="77" t="s">
        <v>282</v>
      </c>
      <c r="FA7" s="74" t="s">
        <v>183</v>
      </c>
      <c r="FB7" s="79" t="e" cm="1">
        <f t="array" ref="FB7">INDEX(FH$3:FH$5,EY7)</f>
        <v>#N/A</v>
      </c>
      <c r="FC7" s="75" t="e">
        <f>"Styrken er over "&amp;ROUND(P67,5)*100&amp;"%
hvis populationsandelen er 
over "&amp;ROUND(FB7,5)*100&amp;"%"</f>
        <v>#N/A</v>
      </c>
      <c r="FD7" s="75"/>
      <c r="FE7" s="74"/>
      <c r="FF7" s="75"/>
      <c r="FJ7" s="74" t="e">
        <f t="shared" ref="FJ7:FJ70" si="18">IF(ISERROR(FK7),NA(),ROW(FJ7)-ROW(FJ$5))</f>
        <v>#N/A</v>
      </c>
      <c r="FK7" s="82" t="e">
        <f>FK5+FP6</f>
        <v>#DIV/0!</v>
      </c>
      <c r="FL7" s="7" t="e">
        <f t="shared" si="12"/>
        <v>#DIV/0!</v>
      </c>
      <c r="FM7" t="e">
        <f t="shared" si="7"/>
        <v>#DIV/0!</v>
      </c>
      <c r="FN7" s="8" t="e">
        <f t="shared" si="7"/>
        <v>#DIV/0!</v>
      </c>
      <c r="FO7" s="8" t="e">
        <f>$P$67-FL6</f>
        <v>#DIV/0!</v>
      </c>
      <c r="FP7" s="81" t="e">
        <f>FM7/(FN7/FO7)</f>
        <v>#DIV/0!</v>
      </c>
      <c r="FQ7" s="74" t="e">
        <f t="shared" ca="1" si="13"/>
        <v>#N/A</v>
      </c>
      <c r="FR7" s="82" t="e" vm="3">
        <f t="shared" ref="FR7:FR70" ca="1" si="19">FR5+FW6</f>
        <v>#VALUE!</v>
      </c>
      <c r="FS7" s="7" t="e" vm="3">
        <f t="shared" ca="1" si="14"/>
        <v>#VALUE!</v>
      </c>
      <c r="FT7" t="e" vm="3">
        <f t="shared" ca="1" si="8"/>
        <v>#VALUE!</v>
      </c>
      <c r="FU7" s="8" t="e" vm="3">
        <f t="shared" ca="1" si="9"/>
        <v>#VALUE!</v>
      </c>
      <c r="FV7" s="8" t="e" vm="3">
        <f t="shared" ca="1" si="10"/>
        <v>#VALUE!</v>
      </c>
      <c r="FW7" s="81" t="e" vm="3">
        <f t="shared" ca="1" si="11"/>
        <v>#VALUE!</v>
      </c>
      <c r="FX7" s="74" t="e">
        <f t="shared" si="15"/>
        <v>#N/A</v>
      </c>
      <c r="FY7" s="82" t="e">
        <f t="shared" ref="FY7:FY70" si="20">FY5+GD6</f>
        <v>#N/A</v>
      </c>
      <c r="FZ7" s="7" t="e">
        <f t="shared" si="16"/>
        <v>#N/A</v>
      </c>
      <c r="GA7" t="e">
        <f t="shared" ref="GA7:GA70" si="21">FY7-FY6</f>
        <v>#N/A</v>
      </c>
      <c r="GB7" s="8" t="e">
        <f t="shared" ref="GB7:GB70" si="22">FZ7-FZ6</f>
        <v>#N/A</v>
      </c>
      <c r="GC7" s="8" t="e">
        <f t="shared" ref="GC7:GC70" si="23">$P$67-FZ6</f>
        <v>#N/A</v>
      </c>
      <c r="GD7" s="81" t="e">
        <f t="shared" ref="GD7:GD70" si="24">GA7/(GB7/GC7)</f>
        <v>#N/A</v>
      </c>
      <c r="GE7" s="74" t="e">
        <f t="shared" ref="GE7:GE70" si="25">IF(ISERROR(GF7),NA(),ROW(GE7)-ROW(GE$5))</f>
        <v>#N/A</v>
      </c>
      <c r="GF7" s="82" t="e">
        <f t="shared" ref="GF7:GF70" si="26">GF5+GK6</f>
        <v>#N/A</v>
      </c>
      <c r="GG7" s="7" t="e">
        <f t="shared" si="17"/>
        <v>#N/A</v>
      </c>
      <c r="GH7" t="e">
        <f t="shared" ref="GH7:GH70" si="27">GF7-GF6</f>
        <v>#N/A</v>
      </c>
      <c r="GI7" s="8" t="e">
        <f t="shared" ref="GI7:GI70" si="28">GG7-GG6</f>
        <v>#N/A</v>
      </c>
      <c r="GJ7" s="8" t="e">
        <f t="shared" ref="GJ7:GJ70" si="29">$P$67-GG6</f>
        <v>#N/A</v>
      </c>
      <c r="GK7" s="81" t="e">
        <f t="shared" ref="GK7:GK70" si="30">GH7/(GI7/GJ7)</f>
        <v>#N/A</v>
      </c>
      <c r="GL7" s="81"/>
      <c r="GM7" s="81"/>
      <c r="GN7" s="29"/>
      <c r="GP7" s="32"/>
      <c r="GQ7" s="32"/>
      <c r="GR7" s="37">
        <f>INDEX(E_i_valg[X max],E_i_aktiv)</f>
        <v>3.0902323061678132</v>
      </c>
      <c r="GS7" s="37">
        <f>INDEX(E_i_valg[Parameter 2],E_i_aktiv)</f>
        <v>1</v>
      </c>
      <c r="GT7" s="32"/>
      <c r="GU7" s="32"/>
      <c r="GV7" s="37">
        <f>INDEX(E_i_valg[Parameter 2],E_i_aktiv)</f>
        <v>1</v>
      </c>
      <c r="GW7" s="32"/>
      <c r="GX7" s="32"/>
      <c r="GY7" s="32"/>
      <c r="GZ7" s="32" t="s">
        <v>177</v>
      </c>
      <c r="HA7" s="37">
        <f>MATCH(INDEX(HA3:HA6,MATCH(GX3,GZ3:GZ6,0)),GW9:GZ9,0)</f>
        <v>3</v>
      </c>
      <c r="HB7" s="37">
        <f>MATCH(INDEX(HB3:HB6,MATCH(GX3,GZ3:GZ6,0)),GW9:GZ9,0)</f>
        <v>4</v>
      </c>
      <c r="HC7" s="32" t="s">
        <v>183</v>
      </c>
      <c r="HD7" s="37">
        <f>INDEX(E_i_valg[Højre label],E_i_aktiv)</f>
        <v>2.6240000000000001</v>
      </c>
      <c r="HE7" s="37" t="str">
        <f>INDEX(E_i_valg[Højre forklaring],E_i_aktiv)</f>
        <v>2.5% større end 2.624</v>
      </c>
      <c r="HF7" s="29"/>
      <c r="HG7" s="29"/>
      <c r="HJ7" s="32"/>
      <c r="HK7" s="32"/>
      <c r="HL7" s="37" cm="1">
        <f t="array" ref="HL7">_xlfn.SINGLE(INDEX(E_k_valg[X max],E_k_aktiv))</f>
        <v>4.7852896286383331</v>
      </c>
      <c r="HM7" s="37" cm="1">
        <f t="array" ref="HM7">_xlfn.SINGLE(INDEX(E_k_valg[Parameter 2],E_k_aktiv))</f>
        <v>0</v>
      </c>
      <c r="HN7" s="32"/>
      <c r="HO7" s="32"/>
      <c r="HP7" s="37" cm="1">
        <f t="array" ref="HP7">_xlfn.SINGLE(INDEX(E_k_valg[Parameter 2],E_k_aktiv))</f>
        <v>0</v>
      </c>
      <c r="HQ7" s="32"/>
      <c r="HR7" s="32"/>
      <c r="HS7" s="32"/>
      <c r="HT7" s="32" t="s">
        <v>177</v>
      </c>
      <c r="HU7" s="37">
        <f>MATCH(INDEX(HU3:HU6,MATCH(HR3,HT3:HT6,0)),HQ9:HT9,0)</f>
        <v>1</v>
      </c>
      <c r="HV7" s="37">
        <f>MATCH(INDEX(HV3:HV6,MATCH(HR3,HT3:HT6,0)),HQ9:HT9,0)</f>
        <v>2</v>
      </c>
      <c r="HW7" s="32" t="s">
        <v>183</v>
      </c>
      <c r="HX7" s="37" cm="1">
        <f t="array" ref="HX7">_xlfn.SINGLE(INDEX(E_k_valg[Højre label],E_k_aktiv))</f>
        <v>0.34100000000000003</v>
      </c>
      <c r="HY7" s="37" t="str" cm="1">
        <f t="array" ref="HY7">_xlfn.SINGLE(INDEX(E_k_valg[Højre forklaring],E_k_aktiv))</f>
        <v>6.59% større end 0.341</v>
      </c>
      <c r="HZ7" s="29"/>
      <c r="IA7" s="29"/>
    </row>
    <row r="8" spans="1:235" x14ac:dyDescent="0.2">
      <c r="A8" s="35" t="s">
        <v>217</v>
      </c>
      <c r="B8" s="46"/>
      <c r="C8" s="46"/>
      <c r="H8" s="35" t="s">
        <v>228</v>
      </c>
      <c r="I8" s="46"/>
      <c r="J8" s="55"/>
      <c r="O8" s="35" t="s">
        <v>233</v>
      </c>
      <c r="P8" s="47"/>
      <c r="Q8" s="47"/>
      <c r="V8" s="35" t="s">
        <v>235</v>
      </c>
      <c r="W8" s="46">
        <v>1</v>
      </c>
      <c r="X8" s="55"/>
      <c r="AC8" s="35" t="s">
        <v>242</v>
      </c>
      <c r="AD8" s="46">
        <v>0</v>
      </c>
      <c r="BE8" s="35" t="s">
        <v>56</v>
      </c>
      <c r="BF8" s="57">
        <f>MATCH(1,E_g_valg[Synlig],0)</f>
        <v>1</v>
      </c>
      <c r="BG8" s="57">
        <f>MATCH(1,E_s_valg[Synlig],0)</f>
        <v>1</v>
      </c>
      <c r="BH8" s="57">
        <f>MATCH(1,E_a_valg[Synlig],0)</f>
        <v>1</v>
      </c>
      <c r="BI8" s="57">
        <f>MATCH(1,E_i_valg[Synlig],0)</f>
        <v>1</v>
      </c>
      <c r="BJ8" s="57">
        <f>MATCH(1,E_k_valg[Synlig],0)</f>
        <v>1</v>
      </c>
      <c r="BL8" s="53" t="s">
        <v>4</v>
      </c>
      <c r="BM8" s="87">
        <f>Eu_g_konfidensniveau</f>
        <v>0.95</v>
      </c>
      <c r="FJ8" s="74" t="e">
        <f t="shared" si="18"/>
        <v>#N/A</v>
      </c>
      <c r="FK8" s="82" t="e">
        <f>FK6+FP7</f>
        <v>#DIV/0!</v>
      </c>
      <c r="FL8" s="7" t="e">
        <f t="shared" si="12"/>
        <v>#DIV/0!</v>
      </c>
      <c r="FM8" t="e">
        <f t="shared" si="7"/>
        <v>#DIV/0!</v>
      </c>
      <c r="FN8" s="8" t="e">
        <f t="shared" si="7"/>
        <v>#DIV/0!</v>
      </c>
      <c r="FO8" s="8" t="e">
        <f>$P$67-FL7</f>
        <v>#DIV/0!</v>
      </c>
      <c r="FP8" s="81" t="e">
        <f>FM8/(FN8/FO8)</f>
        <v>#DIV/0!</v>
      </c>
      <c r="FQ8" s="74" t="e">
        <f t="shared" ca="1" si="13"/>
        <v>#N/A</v>
      </c>
      <c r="FR8" s="82" t="e" vm="3">
        <f t="shared" ca="1" si="19"/>
        <v>#VALUE!</v>
      </c>
      <c r="FS8" s="7" t="e" vm="3">
        <f t="shared" ca="1" si="14"/>
        <v>#VALUE!</v>
      </c>
      <c r="FT8" t="e" vm="3">
        <f t="shared" ca="1" si="8"/>
        <v>#VALUE!</v>
      </c>
      <c r="FU8" s="8" t="e" vm="3">
        <f t="shared" ca="1" si="9"/>
        <v>#VALUE!</v>
      </c>
      <c r="FV8" s="8" t="e" vm="3">
        <f t="shared" ca="1" si="10"/>
        <v>#VALUE!</v>
      </c>
      <c r="FW8" s="81" t="e" vm="3">
        <f t="shared" ca="1" si="11"/>
        <v>#VALUE!</v>
      </c>
      <c r="FX8" s="74" t="e">
        <f t="shared" si="15"/>
        <v>#N/A</v>
      </c>
      <c r="FY8" s="82" t="e">
        <f t="shared" si="20"/>
        <v>#N/A</v>
      </c>
      <c r="FZ8" s="7" t="e">
        <f t="shared" si="16"/>
        <v>#N/A</v>
      </c>
      <c r="GA8" t="e">
        <f t="shared" si="21"/>
        <v>#N/A</v>
      </c>
      <c r="GB8" s="8" t="e">
        <f t="shared" si="22"/>
        <v>#N/A</v>
      </c>
      <c r="GC8" s="8" t="e">
        <f t="shared" si="23"/>
        <v>#N/A</v>
      </c>
      <c r="GD8" s="81" t="e">
        <f t="shared" si="24"/>
        <v>#N/A</v>
      </c>
      <c r="GE8" s="74" t="e">
        <f t="shared" si="25"/>
        <v>#N/A</v>
      </c>
      <c r="GF8" s="82" t="e">
        <f t="shared" si="26"/>
        <v>#N/A</v>
      </c>
      <c r="GG8" s="7" t="e">
        <f t="shared" si="17"/>
        <v>#N/A</v>
      </c>
      <c r="GH8" t="e">
        <f t="shared" si="27"/>
        <v>#N/A</v>
      </c>
      <c r="GI8" s="8" t="e">
        <f t="shared" si="28"/>
        <v>#N/A</v>
      </c>
      <c r="GJ8" s="8" t="e">
        <f t="shared" si="29"/>
        <v>#N/A</v>
      </c>
      <c r="GK8" s="81" t="e">
        <f t="shared" si="30"/>
        <v>#N/A</v>
      </c>
      <c r="GL8" s="81"/>
      <c r="GM8" s="81"/>
    </row>
    <row r="9" spans="1:235" x14ac:dyDescent="0.2">
      <c r="A9" s="35" t="s">
        <v>230</v>
      </c>
      <c r="B9" s="46">
        <v>4.3068660656276769</v>
      </c>
      <c r="C9" s="46">
        <v>4.025703726931031</v>
      </c>
      <c r="H9" s="35" t="s">
        <v>207</v>
      </c>
      <c r="I9" s="51">
        <v>12</v>
      </c>
      <c r="J9" s="51">
        <v>12</v>
      </c>
      <c r="O9" s="35" t="s">
        <v>207</v>
      </c>
      <c r="P9" s="51">
        <v>20</v>
      </c>
      <c r="Q9" s="51">
        <v>12</v>
      </c>
      <c r="V9" s="35" t="s">
        <v>207</v>
      </c>
      <c r="W9" s="51">
        <v>12</v>
      </c>
      <c r="X9" s="51">
        <v>12</v>
      </c>
      <c r="AC9" s="35" t="s">
        <v>243</v>
      </c>
      <c r="AD9" s="46">
        <v>0.19973614466699974</v>
      </c>
      <c r="BE9" s="35" t="s">
        <v>49</v>
      </c>
      <c r="BF9" s="57" t="str" cm="1">
        <f t="array" ref="BF9">INDEX(E_g_valg[],E_g_aktiv,2)</f>
        <v>Konfidensinterval</v>
      </c>
      <c r="BG9" s="57" t="str" cm="1">
        <f t="array" ref="BG9">INDEX(E_s_valg[],E_s_aktiv,2)</f>
        <v>Konfidensinterval</v>
      </c>
      <c r="BH9" s="57" t="str" cm="1">
        <f t="array" ref="BH9">INDEX(E_a_valg[],E_a_aktiv,2)</f>
        <v>Konfidensinterval</v>
      </c>
      <c r="BI9" s="57" t="str" cm="1">
        <f t="array" ref="BI9">INDEX(E_i_valg[],E_i_aktiv,2)</f>
        <v>Konfidensinterval</v>
      </c>
      <c r="BJ9" s="57" t="str" cm="1">
        <f t="array" ref="BJ9">INDEX(E_k_valg[],E_k_aktiv,2)</f>
        <v>Venstresidet hypotese om værdi</v>
      </c>
      <c r="BL9" s="53" t="s">
        <v>246</v>
      </c>
      <c r="BM9" s="86" cm="1">
        <f t="array" ref="BM9">IF($BF$2,INDEX(E_g_valg[Venstre label base],E_g_aktiv),NA())</f>
        <v>-0.58278968089955363</v>
      </c>
      <c r="BZ9" t="s">
        <v>10</v>
      </c>
      <c r="CA9" t="s">
        <v>193</v>
      </c>
      <c r="CB9" t="s">
        <v>146</v>
      </c>
      <c r="CC9" t="s">
        <v>32</v>
      </c>
      <c r="CD9" t="s">
        <v>34</v>
      </c>
      <c r="CE9" t="s">
        <v>46</v>
      </c>
      <c r="CF9" t="s">
        <v>47</v>
      </c>
      <c r="CG9" t="s">
        <v>154</v>
      </c>
      <c r="CH9" t="s">
        <v>155</v>
      </c>
      <c r="CI9" t="s">
        <v>156</v>
      </c>
      <c r="CJ9" t="s">
        <v>157</v>
      </c>
      <c r="CK9" t="s">
        <v>152</v>
      </c>
      <c r="CL9" t="s">
        <v>51</v>
      </c>
      <c r="CM9" t="s">
        <v>52</v>
      </c>
      <c r="CN9" t="s">
        <v>151</v>
      </c>
      <c r="CO9" t="s">
        <v>260</v>
      </c>
      <c r="CP9" t="s">
        <v>261</v>
      </c>
      <c r="CQ9" t="s">
        <v>262</v>
      </c>
      <c r="CR9" t="s">
        <v>263</v>
      </c>
      <c r="CS9" s="72" t="s">
        <v>264</v>
      </c>
      <c r="CT9" s="72" t="s">
        <v>265</v>
      </c>
      <c r="CU9" s="72" t="s">
        <v>266</v>
      </c>
      <c r="CV9" s="72" t="s">
        <v>267</v>
      </c>
      <c r="CW9" s="72" t="s">
        <v>274</v>
      </c>
      <c r="DA9" t="s">
        <v>272</v>
      </c>
      <c r="DB9" t="s">
        <v>268</v>
      </c>
      <c r="DC9" t="s">
        <v>269</v>
      </c>
      <c r="DN9" t="s">
        <v>10</v>
      </c>
      <c r="DO9" t="s">
        <v>193</v>
      </c>
      <c r="DP9" t="s">
        <v>146</v>
      </c>
      <c r="DQ9" t="s">
        <v>32</v>
      </c>
      <c r="DR9" t="s">
        <v>34</v>
      </c>
      <c r="DS9" t="s">
        <v>46</v>
      </c>
      <c r="DT9" t="s">
        <v>47</v>
      </c>
      <c r="DU9" t="s">
        <v>154</v>
      </c>
      <c r="DV9" t="s">
        <v>155</v>
      </c>
      <c r="DW9" t="s">
        <v>156</v>
      </c>
      <c r="DX9" t="s">
        <v>157</v>
      </c>
      <c r="DY9" t="s">
        <v>152</v>
      </c>
      <c r="DZ9" t="s">
        <v>51</v>
      </c>
      <c r="EA9" t="s">
        <v>52</v>
      </c>
      <c r="EB9" t="s">
        <v>151</v>
      </c>
      <c r="EG9" t="s">
        <v>10</v>
      </c>
      <c r="EH9" t="s">
        <v>193</v>
      </c>
      <c r="EI9" t="s">
        <v>146</v>
      </c>
      <c r="EJ9" t="s">
        <v>32</v>
      </c>
      <c r="EK9" t="s">
        <v>34</v>
      </c>
      <c r="EL9" t="s">
        <v>46</v>
      </c>
      <c r="EM9" t="s">
        <v>47</v>
      </c>
      <c r="EN9" t="s">
        <v>154</v>
      </c>
      <c r="EO9" t="s">
        <v>155</v>
      </c>
      <c r="EP9" t="s">
        <v>156</v>
      </c>
      <c r="EQ9" t="s">
        <v>157</v>
      </c>
      <c r="ER9" t="s">
        <v>152</v>
      </c>
      <c r="ES9" t="s">
        <v>51</v>
      </c>
      <c r="ET9" t="s">
        <v>52</v>
      </c>
      <c r="EU9" t="s">
        <v>151</v>
      </c>
      <c r="EV9" t="s">
        <v>260</v>
      </c>
      <c r="EW9" t="s">
        <v>261</v>
      </c>
      <c r="EX9" t="s">
        <v>262</v>
      </c>
      <c r="EY9" t="s">
        <v>263</v>
      </c>
      <c r="EZ9" t="s">
        <v>264</v>
      </c>
      <c r="FA9" t="s">
        <v>265</v>
      </c>
      <c r="FB9" t="s">
        <v>266</v>
      </c>
      <c r="FC9" t="s">
        <v>267</v>
      </c>
      <c r="FD9" t="s">
        <v>274</v>
      </c>
      <c r="FE9" t="s">
        <v>280</v>
      </c>
      <c r="FJ9" s="74" t="e">
        <f t="shared" si="18"/>
        <v>#N/A</v>
      </c>
      <c r="FK9" s="82" t="e">
        <f t="shared" ref="FK9:FK30" si="31">FK7+FP8</f>
        <v>#DIV/0!</v>
      </c>
      <c r="FL9" s="7" t="e">
        <f t="shared" si="12"/>
        <v>#DIV/0!</v>
      </c>
      <c r="FM9" t="e">
        <f t="shared" ref="FM9:FM30" si="32">FK9-FK8</f>
        <v>#DIV/0!</v>
      </c>
      <c r="FN9" s="8" t="e">
        <f t="shared" ref="FN9:FN30" si="33">FL9-FL8</f>
        <v>#DIV/0!</v>
      </c>
      <c r="FO9" s="8" t="e">
        <f t="shared" ref="FO9:FO30" si="34">$P$67-FL8</f>
        <v>#DIV/0!</v>
      </c>
      <c r="FP9" s="81" t="e">
        <f t="shared" ref="FP9:FP30" si="35">FM9/(FN9/FO9)</f>
        <v>#DIV/0!</v>
      </c>
      <c r="FQ9" s="74" t="e">
        <f t="shared" ca="1" si="13"/>
        <v>#N/A</v>
      </c>
      <c r="FR9" s="82" t="e" vm="3">
        <f t="shared" ca="1" si="19"/>
        <v>#VALUE!</v>
      </c>
      <c r="FS9" s="7" t="e" vm="3">
        <f t="shared" ca="1" si="14"/>
        <v>#VALUE!</v>
      </c>
      <c r="FT9" t="e" vm="3">
        <f t="shared" ca="1" si="8"/>
        <v>#VALUE!</v>
      </c>
      <c r="FU9" s="8" t="e" vm="3">
        <f t="shared" ca="1" si="9"/>
        <v>#VALUE!</v>
      </c>
      <c r="FV9" s="8" t="e" vm="3">
        <f t="shared" ca="1" si="10"/>
        <v>#VALUE!</v>
      </c>
      <c r="FW9" s="81" t="e" vm="3">
        <f t="shared" ca="1" si="11"/>
        <v>#VALUE!</v>
      </c>
      <c r="FX9" s="74" t="e">
        <f t="shared" si="15"/>
        <v>#N/A</v>
      </c>
      <c r="FY9" s="82" t="e">
        <f t="shared" si="20"/>
        <v>#N/A</v>
      </c>
      <c r="FZ9" s="7" t="e">
        <f t="shared" si="16"/>
        <v>#N/A</v>
      </c>
      <c r="GA9" t="e">
        <f t="shared" si="21"/>
        <v>#N/A</v>
      </c>
      <c r="GB9" s="8" t="e">
        <f t="shared" si="22"/>
        <v>#N/A</v>
      </c>
      <c r="GC9" s="8" t="e">
        <f t="shared" si="23"/>
        <v>#N/A</v>
      </c>
      <c r="GD9" s="81" t="e">
        <f t="shared" si="24"/>
        <v>#N/A</v>
      </c>
      <c r="GE9" s="74" t="e">
        <f t="shared" si="25"/>
        <v>#N/A</v>
      </c>
      <c r="GF9" s="82" t="e">
        <f t="shared" si="26"/>
        <v>#N/A</v>
      </c>
      <c r="GG9" s="7" t="e">
        <f t="shared" si="17"/>
        <v>#N/A</v>
      </c>
      <c r="GH9" t="e">
        <f t="shared" si="27"/>
        <v>#N/A</v>
      </c>
      <c r="GI9" s="8" t="e">
        <f t="shared" si="28"/>
        <v>#N/A</v>
      </c>
      <c r="GJ9" s="8" t="e">
        <f t="shared" si="29"/>
        <v>#N/A</v>
      </c>
      <c r="GK9" s="81" t="e">
        <f t="shared" si="30"/>
        <v>#N/A</v>
      </c>
      <c r="GL9" s="81"/>
      <c r="GM9" s="81"/>
      <c r="GP9" t="s">
        <v>10</v>
      </c>
      <c r="GQ9" t="s">
        <v>193</v>
      </c>
      <c r="GR9" t="s">
        <v>146</v>
      </c>
      <c r="GS9" t="s">
        <v>32</v>
      </c>
      <c r="GT9" t="s">
        <v>34</v>
      </c>
      <c r="GU9" t="s">
        <v>46</v>
      </c>
      <c r="GV9" t="s">
        <v>47</v>
      </c>
      <c r="GW9" t="s">
        <v>154</v>
      </c>
      <c r="GX9" t="s">
        <v>155</v>
      </c>
      <c r="GY9" t="s">
        <v>156</v>
      </c>
      <c r="GZ9" t="s">
        <v>157</v>
      </c>
      <c r="HA9" t="s">
        <v>152</v>
      </c>
      <c r="HB9" t="s">
        <v>51</v>
      </c>
      <c r="HC9" t="s">
        <v>52</v>
      </c>
      <c r="HD9" t="s">
        <v>151</v>
      </c>
      <c r="HJ9" t="s">
        <v>10</v>
      </c>
      <c r="HK9" t="s">
        <v>193</v>
      </c>
      <c r="HL9" t="s">
        <v>146</v>
      </c>
      <c r="HM9" t="s">
        <v>32</v>
      </c>
      <c r="HN9" t="s">
        <v>34</v>
      </c>
      <c r="HO9" t="s">
        <v>46</v>
      </c>
      <c r="HP9" t="s">
        <v>47</v>
      </c>
      <c r="HQ9" t="s">
        <v>154</v>
      </c>
      <c r="HR9" t="s">
        <v>155</v>
      </c>
      <c r="HS9" t="s">
        <v>156</v>
      </c>
      <c r="HT9" t="s">
        <v>157</v>
      </c>
      <c r="HU9" t="s">
        <v>152</v>
      </c>
      <c r="HV9" t="s">
        <v>51</v>
      </c>
      <c r="HW9" t="s">
        <v>52</v>
      </c>
      <c r="HX9" t="s">
        <v>151</v>
      </c>
    </row>
    <row r="10" spans="1:235" x14ac:dyDescent="0.2">
      <c r="A10" s="35" t="s">
        <v>216</v>
      </c>
      <c r="B10" s="46"/>
      <c r="C10" s="46"/>
      <c r="AC10" s="35" t="s">
        <v>207</v>
      </c>
      <c r="AD10" s="51">
        <v>12</v>
      </c>
      <c r="BE10" s="36" t="s">
        <v>57</v>
      </c>
      <c r="BF10" s="57" t="str" cm="1">
        <f t="array" ref="BF10">INDEX(E_g_valg[Diagram titel],E_g_aktiv)</f>
        <v>95% Konfidensinterval for gennemsnit
af Eksempel 1 (interval)</v>
      </c>
      <c r="BG10" s="57" t="str" cm="1">
        <f t="array" ref="BG10">INDEX(E_s_valg[Diagram titel],E_s_aktiv)</f>
        <v>95% Konfidensinterval for standardafvigelse
af Eksempel 1 (interval)</v>
      </c>
      <c r="BH10" s="57" t="str" cm="1">
        <f t="array" ref="BH10">INDEX(E_a_valg[Diagram titel],E_a_aktiv)</f>
        <v>95% Konfidensinterval for andel
af Eksempel 4 (nominal)</v>
      </c>
      <c r="BI10" s="57" t="str" cm="1">
        <f t="array" ref="BI10">INDEX(E_i_valg[Diagram titel],E_i_aktiv)</f>
        <v>95% Konfidensinterval for intensitet
af Eksempel 1 (interval)</v>
      </c>
      <c r="BJ10" s="57" t="str" cm="1">
        <f t="array" ref="BJ10">INDEX(E_k_valg[Diagram titel],E_k_aktiv)</f>
        <v>Hypotesetest om koefficient i regressionsmodel
Nulhypotesen om at koefficienten for Eksempel 1 (interval) er større end 0
kan ikke afvises med 95% konfidens</v>
      </c>
      <c r="BL10" s="53" t="s">
        <v>247</v>
      </c>
      <c r="BM10" s="86" cm="1">
        <f t="array" ref="BM10">IF($BF$2,INDEX(E_g_valg[Højre label base],E_g_aktiv),NA())</f>
        <v>4.2907985175414947</v>
      </c>
      <c r="BZ10" s="32">
        <f t="shared" ref="BZ10:BZ73" si="36">ROW(BZ10)-ROW(BZ$10)</f>
        <v>0</v>
      </c>
      <c r="CA10" s="32">
        <f>Eu_tabel_g[[#This Row],[Indeks]]+1</f>
        <v>1</v>
      </c>
      <c r="CB10" s="32">
        <f t="shared" ref="CB10:CB73" si="37">CB$5+(CB$7-CB$5)/CB$3*BZ10</f>
        <v>-3.0902323061678132</v>
      </c>
      <c r="CC10" s="32">
        <f t="shared" ref="CC10:CC73" si="38">IF(CC$3,_xlfn.NORM.DIST(CB10,CC$5,CC$7,FALSE),NA())</f>
        <v>3.3670900770639959E-3</v>
      </c>
      <c r="CD10" s="32" t="e">
        <f t="shared" ref="CD10:CD73" si="39">IF(CD$3,_xlfn.T.DIST(CB10,CD$5,FALSE),NA())</f>
        <v>#N/A</v>
      </c>
      <c r="CE10" s="32" t="e">
        <f t="shared" ref="CE10:CE73" si="40">IF(CE$3,_xlfn.CHISQ.DIST(CB10,CE$5,FALSE),NA())</f>
        <v>#N/A</v>
      </c>
      <c r="CF10" s="32" t="e">
        <f t="shared" ref="CF10:CF73" si="41">IF(CF$3,_xlfn.F.DIST(CB10,CF$5,CF$7,FALSE),NA())</f>
        <v>#N/A</v>
      </c>
      <c r="CG10" s="32" t="b">
        <f t="shared" ref="CG10:CG73" si="42">CB10&lt;CG$3</f>
        <v>1</v>
      </c>
      <c r="CH10" s="32" t="b">
        <f t="shared" ref="CH10:CH73" si="43">CB10&gt;CG$3</f>
        <v>0</v>
      </c>
      <c r="CI10" s="32" t="b">
        <f t="shared" ref="CI10:CI73" si="44">OR(CB10&lt;CI$3,CB10&gt;CI$5)</f>
        <v>1</v>
      </c>
      <c r="CJ10" s="32" t="b">
        <f t="shared" ref="CJ10:CJ73" si="45">AND(CB10&gt;CI$3,CB10&lt;CI$5)</f>
        <v>0</v>
      </c>
      <c r="CK10" s="32">
        <f t="shared" ref="CK10" si="46">_xlfn.AGGREGATE(9,6,CC10:CF10)</f>
        <v>3.3670900770639959E-3</v>
      </c>
      <c r="CL10" s="32">
        <f t="shared" ref="CL10:CL73" si="47">IF(INDEX(CG10:CJ10,CK$7),CK10,NA())</f>
        <v>3.3670900770639959E-3</v>
      </c>
      <c r="CM10" s="32" t="e">
        <f t="shared" ref="CM10:CM73" si="48">IF(INDEX(CG10:CJ10,CL$7),CK10,NA())</f>
        <v>#N/A</v>
      </c>
      <c r="CN10" s="45" t="str">
        <f t="shared" ref="CN10:CN73" si="49">_xlfn.SWITCH(BZ10,CN$2,CN$5,CN$3,CN$6,CN$4,CN$7,"")</f>
        <v/>
      </c>
      <c r="CO10" s="32">
        <f>_xlfn.NORM.DIST(_xlfn.NORM.INV(1-Eu_g_konfidensniveau,0,1)-Eu_tabel_g[[#This Row],[x base]],0,1,TRUE)</f>
        <v>0.92582422561196043</v>
      </c>
      <c r="CP10" s="32">
        <f>1-_xlfn.NORM.DIST(_xlfn.NORM.INV(Eu_g_konfidensniveau,0,1)-Eu_tabel_g[[#This Row],[x base]],0,1,TRUE)</f>
        <v>1.094811522661665E-6</v>
      </c>
      <c r="CQ10" s="32">
        <f>_xlfn.NORM.DIST(_xlfn.NORM.INV((1-Eu_g_konfidensniveau)/2,0,1)-Eu_tabel_g[[#This Row],[x base]],0,1,TRUE)+1-_xlfn.NORM.DIST(_xlfn.NORM.INV(1-(1-Eu_g_konfidensniveau)/2,0,1)-Eu_tabel_g[[#This Row],[x base]],0,1,TRUE)</f>
        <v>0.87081863135823812</v>
      </c>
      <c r="CR10" s="32" t="e" cm="1">
        <f t="array" ref="CR10">IF($CR$3,INDEX(Eu_tabel_g[[#This Row],[Styrke venstre]:[Styrke tosidet]],CR$7),NA())</f>
        <v>#N/A</v>
      </c>
      <c r="CS10" s="52" t="e">
        <f>Eu_tabel_g[[#This Row],[Falsk positiv
Nulhypotese accepteres
Fejltype 1]]</f>
        <v>#N/A</v>
      </c>
      <c r="CT10" s="52" t="e">
        <f>IF(CHOOSE(CR$7,Eu_tabel_g[[#This Row],[x base]]&gt;0,Eu_tabel_g[[#This Row],[x base]]&lt;0,Eu_tabel_g[[#This Row],[x base]]=0),Eu_tabel_g[[#This Row],[Styrke, aktiv]],NA())</f>
        <v>#N/A</v>
      </c>
      <c r="CU10" s="52" t="e">
        <f>IFERROR(IF($CR$3,Eu_tabel_g[[#This Row],[Styrke, aktiv]],NA()),NA())</f>
        <v>#N/A</v>
      </c>
      <c r="CV10" s="52" t="e">
        <f>IF(ISNA(Eu_tabel_g[[#This Row],[Sand negativ
Nulhypotese afvises
Korrekt]]),NA(),IF($CR$3,1,NA()))</f>
        <v>#N/A</v>
      </c>
      <c r="CW10" s="34" t="str" cm="1">
        <f t="array" ref="CW10">_xlfn.SWITCH(BZ10,_xlfn.IFNA(CU$2,-99),CU$5,_xlfn.IFNA(CU$3,-99),CU$6,_xlfn.IFNA(CU$4,-99),CU$7,"")</f>
        <v/>
      </c>
      <c r="DA10" s="7">
        <f t="shared" ref="DA10:DA73" si="50">_xlfn.NORM.DIST(_xlfn.NORM.INV((1-Eu_g_konfidensniveau)/2,0,1)-DB10,0,1,TRUE)+1-_xlfn.NORM.DIST(_xlfn.NORM.INV(1-(1-Eu_g_konfidensniveau)/2,0,1)-DB10,0,1,TRUE)</f>
        <v>0.80000001882220639</v>
      </c>
      <c r="DB10">
        <f>IF(ROW(Styrkeberegning_G[[#This Row],[X base venstre]])=ROW(Styrkeberegning_G[[#Headers],[X base venstre]])+1,DB$7/(DA$7/$B$67),DB9/(DA9/$B$67))</f>
        <v>-2.8015818542458382</v>
      </c>
      <c r="DC10">
        <f>Styrkeberegning_G[[#This Row],[X base venstre]]*-1</f>
        <v>2.8015818542458382</v>
      </c>
      <c r="DN10" s="32">
        <f t="shared" ref="DN10:DN73" si="51">ROW(DN10)-ROW(DN$10)</f>
        <v>0</v>
      </c>
      <c r="DO10" s="32">
        <f t="shared" ref="DO10:DO73" si="52">DN10+1</f>
        <v>1</v>
      </c>
      <c r="DP10" s="32">
        <f t="shared" ref="DP10:DP73" si="53">DP$5+(DP$7-DP$5)/DP$3*DN10</f>
        <v>1.8338526646536903</v>
      </c>
      <c r="DQ10" s="32" t="e">
        <f t="shared" ref="DQ10:DQ73" si="54">IF(DQ$3,_xlfn.NORM.DIST(DP10,DQ$5,DQ$7,FALSE),NA())</f>
        <v>#N/A</v>
      </c>
      <c r="DR10" s="32" t="e">
        <f t="shared" ref="DR10:DR73" si="55">IF(DR$3,_xlfn.T.DIST(DP10,DR$5,FALSE),NA())</f>
        <v>#N/A</v>
      </c>
      <c r="DS10" s="32">
        <f t="shared" ref="DS10:DS73" si="56">IF(DS$3,_xlfn.CHISQ.DIST(DP10,DS$5,FALSE),NA())</f>
        <v>2.584652692089497E-3</v>
      </c>
      <c r="DT10" s="32" t="e">
        <f t="shared" ref="DT10:DT73" si="57">IF(DT$3,_xlfn.F.DIST(DP10,DT$5,DT$7,FALSE),NA())</f>
        <v>#N/A</v>
      </c>
      <c r="DU10" s="32" t="b">
        <f t="shared" ref="DU10:DU73" si="58">DP10&lt;DU$3</f>
        <v>1</v>
      </c>
      <c r="DV10" s="32" t="b">
        <f t="shared" ref="DV10:DV73" si="59">DP10&gt;DU$3</f>
        <v>0</v>
      </c>
      <c r="DW10" s="32" t="b">
        <f t="shared" ref="DW10:DW73" si="60">OR(DP10&lt;DW$3,DP10&gt;DW$5)</f>
        <v>1</v>
      </c>
      <c r="DX10" s="32" t="b">
        <f t="shared" ref="DX10:DX73" si="61">AND(DP10&gt;DW$3,DP10&lt;DW$5)</f>
        <v>0</v>
      </c>
      <c r="DY10" s="32">
        <f t="shared" ref="DY10:DY73" si="62">_xlfn.AGGREGATE(9,6,DQ10:DT10)</f>
        <v>2.584652692089497E-3</v>
      </c>
      <c r="DZ10" s="32">
        <f t="shared" ref="DZ10:DZ73" si="63">IF(INDEX(DU10:DX10,DY$7),DY10,NA())</f>
        <v>2.584652692089497E-3</v>
      </c>
      <c r="EA10" s="32" t="e">
        <f t="shared" ref="EA10:EA73" si="64">IF(INDEX(DU10:DX10,DZ$7),DY10,NA())</f>
        <v>#N/A</v>
      </c>
      <c r="EB10" s="45" t="str">
        <f t="shared" ref="EB10:EB73" si="65">_xlfn.SWITCH(DN10,EB$2,EB$5,EB$3,EB$6,EB$4,EB$7,"")</f>
        <v/>
      </c>
      <c r="EG10" s="32">
        <f t="shared" ref="EG10:EG73" si="66">ROW(EG10)-ROW(EG$10)</f>
        <v>0</v>
      </c>
      <c r="EH10" s="32">
        <f t="shared" ref="EH10:EH73" si="67">EG10+1</f>
        <v>1</v>
      </c>
      <c r="EI10" s="32">
        <f t="shared" ref="EI10:EI73" si="68">EI$5+(EI$7-EI$5)/EI$3*EG10</f>
        <v>-3.0902323061678132</v>
      </c>
      <c r="EJ10" s="32">
        <f t="shared" ref="EJ10:EJ73" si="69">IF(EJ$3,_xlfn.NORM.DIST(EI10,EJ$5,EJ$7,FALSE),NA())</f>
        <v>3.3670900770639959E-3</v>
      </c>
      <c r="EK10" s="32" t="e">
        <f t="shared" ref="EK10:EK73" si="70">IF(EK$3,_xlfn.T.DIST(EI10,EK$5,FALSE),NA())</f>
        <v>#N/A</v>
      </c>
      <c r="EL10" s="32" t="e">
        <f t="shared" ref="EL10:EL73" si="71">IF(EL$3,_xlfn.CHISQ.DIST(EI10,EL$5,FALSE),NA())</f>
        <v>#N/A</v>
      </c>
      <c r="EM10" s="32" t="e">
        <f t="shared" ref="EM10:EM73" si="72">IF(EM$3,_xlfn.F.DIST(EI10,EM$5,EM$7,FALSE),NA())</f>
        <v>#N/A</v>
      </c>
      <c r="EN10" s="32" t="b">
        <f t="shared" ref="EN10:EN73" si="73">EI10&lt;EN$3</f>
        <v>1</v>
      </c>
      <c r="EO10" s="32" t="b">
        <f t="shared" ref="EO10:EO73" si="74">EI10&gt;EN$3</f>
        <v>0</v>
      </c>
      <c r="EP10" s="32" t="b">
        <f t="shared" ref="EP10:EP73" si="75">OR(EI10&lt;EP$3,EI10&gt;EP$5)</f>
        <v>1</v>
      </c>
      <c r="EQ10" s="32" t="b">
        <f t="shared" ref="EQ10:EQ73" si="76">AND(EI10&gt;EP$3,EI10&lt;EP$5)</f>
        <v>0</v>
      </c>
      <c r="ER10" s="32">
        <f t="shared" ref="ER10:ER73" si="77">_xlfn.AGGREGATE(9,6,EJ10:EM10)</f>
        <v>3.3670900770639959E-3</v>
      </c>
      <c r="ES10" s="32">
        <f t="shared" ref="ES10:ES73" si="78">IF(INDEX(EN10:EQ10,ER$7),ER10,NA())</f>
        <v>3.3670900770639959E-3</v>
      </c>
      <c r="ET10" s="32" t="e">
        <f t="shared" ref="ET10:ET73" si="79">IF(INDEX(EN10:EQ10,ES$7),ER10,NA())</f>
        <v>#N/A</v>
      </c>
      <c r="EU10" s="45" t="str">
        <f t="shared" ref="EU10:EU73" si="80">_xlfn.SWITCH(EG10,EU$2,EU$5,EU$3,EU$6,EU$4,EU$7,"")</f>
        <v/>
      </c>
      <c r="EV1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 s="32" t="e" cm="1">
        <f t="array" ref="EY10">IF($CR$3,INDEX(Eu_tabel_a[[#This Row],[Styrke venstre]:[Styrke tosidet]],EY$7),NA())</f>
        <v>#N/A</v>
      </c>
      <c r="EZ10" s="32" t="e">
        <f>IF(EY$3,IF(CHOOSE(EY$7,Eu_tabel_a[[#This Row],[x base]]&gt;0,Eu_tabel_a[[#This Row],[x base]]&lt;0,Eu_tabel_a[[#This Row],[x base]]=0),1,NA()),NA())</f>
        <v>#N/A</v>
      </c>
      <c r="FA10" s="52" t="e">
        <f>IF(CHOOSE(EY$7,Eu_tabel_a[[#This Row],[x base]]&gt;0,Eu_tabel_a[[#This Row],[x base]]&lt;0,Eu_tabel_a[[#This Row],[x base]]=0),Eu_tabel_a[[#This Row],[Styrke, aktiv]],NA())</f>
        <v>#N/A</v>
      </c>
      <c r="FB10" s="32" t="e">
        <f>IFERROR(IF($EY$3,Eu_tabel_a[[#This Row],[Styrke, aktiv]],NA()),NA())</f>
        <v>#N/A</v>
      </c>
      <c r="FC10" s="32" t="e">
        <f>IF(ISNA(Eu_tabel_a[[#This Row],[Sand negativ
Nulhypotese afvises
Korrekt]]),NA(),IF(EY$3,1,NA()))</f>
        <v>#N/A</v>
      </c>
      <c r="FD10" s="33" t="str" cm="1">
        <f t="array" ref="FD10">IFERROR(_xlfn.SWITCH(Eu_tabel_a[[#This Row],[Indeks]],_xlfn.IFNA(FB$2,-99),FB$5,_xlfn.IFNA(FB$3,-99),FB$6,_xlfn.IFNA(FB$4,-99),FB$7,""),"")</f>
        <v/>
      </c>
      <c r="FE10" s="32">
        <f>Eu_tabel_a[[#This Row],[x base]]*SQRT(Eu_a_h0_x*(1-Eu_a_h0_x)/Eu_a_n_x)+Eu_a_h0_x</f>
        <v>0</v>
      </c>
      <c r="FJ10" s="74" t="e">
        <f t="shared" si="18"/>
        <v>#N/A</v>
      </c>
      <c r="FK10" s="82" t="e">
        <f t="shared" si="31"/>
        <v>#DIV/0!</v>
      </c>
      <c r="FL10" s="7" t="e">
        <f t="shared" si="12"/>
        <v>#DIV/0!</v>
      </c>
      <c r="FM10" t="e">
        <f t="shared" si="32"/>
        <v>#DIV/0!</v>
      </c>
      <c r="FN10" s="8" t="e">
        <f t="shared" si="33"/>
        <v>#DIV/0!</v>
      </c>
      <c r="FO10" s="8" t="e">
        <f t="shared" si="34"/>
        <v>#DIV/0!</v>
      </c>
      <c r="FP10" s="81" t="e">
        <f t="shared" si="35"/>
        <v>#DIV/0!</v>
      </c>
      <c r="FQ10" s="74" t="e">
        <f t="shared" ca="1" si="13"/>
        <v>#N/A</v>
      </c>
      <c r="FR10" s="82" t="e" vm="3">
        <f t="shared" ca="1" si="19"/>
        <v>#VALUE!</v>
      </c>
      <c r="FS10" s="7" t="e" vm="3">
        <f t="shared" ca="1" si="14"/>
        <v>#VALUE!</v>
      </c>
      <c r="FT10" t="e" vm="3">
        <f t="shared" ca="1" si="8"/>
        <v>#VALUE!</v>
      </c>
      <c r="FU10" s="8" t="e" vm="3">
        <f t="shared" ca="1" si="9"/>
        <v>#VALUE!</v>
      </c>
      <c r="FV10" s="8" t="e" vm="3">
        <f t="shared" ca="1" si="10"/>
        <v>#VALUE!</v>
      </c>
      <c r="FW10" s="81" t="e" vm="3">
        <f t="shared" ca="1" si="11"/>
        <v>#VALUE!</v>
      </c>
      <c r="FX10" s="74" t="e">
        <f t="shared" si="15"/>
        <v>#N/A</v>
      </c>
      <c r="FY10" s="82" t="e">
        <f t="shared" si="20"/>
        <v>#N/A</v>
      </c>
      <c r="FZ10" s="7" t="e">
        <f t="shared" si="16"/>
        <v>#N/A</v>
      </c>
      <c r="GA10" t="e">
        <f t="shared" si="21"/>
        <v>#N/A</v>
      </c>
      <c r="GB10" s="8" t="e">
        <f t="shared" si="22"/>
        <v>#N/A</v>
      </c>
      <c r="GC10" s="8" t="e">
        <f t="shared" si="23"/>
        <v>#N/A</v>
      </c>
      <c r="GD10" s="81" t="e">
        <f t="shared" si="24"/>
        <v>#N/A</v>
      </c>
      <c r="GE10" s="74" t="e">
        <f t="shared" si="25"/>
        <v>#N/A</v>
      </c>
      <c r="GF10" s="82" t="e">
        <f t="shared" si="26"/>
        <v>#N/A</v>
      </c>
      <c r="GG10" s="7" t="e">
        <f t="shared" si="17"/>
        <v>#N/A</v>
      </c>
      <c r="GH10" t="e">
        <f t="shared" si="27"/>
        <v>#N/A</v>
      </c>
      <c r="GI10" s="8" t="e">
        <f t="shared" si="28"/>
        <v>#N/A</v>
      </c>
      <c r="GJ10" s="8" t="e">
        <f t="shared" si="29"/>
        <v>#N/A</v>
      </c>
      <c r="GK10" s="81" t="e">
        <f t="shared" si="30"/>
        <v>#N/A</v>
      </c>
      <c r="GL10" s="81"/>
      <c r="GM10" s="81"/>
      <c r="GP10" s="32">
        <f t="shared" ref="GP10:GP73" si="81">ROW(GP10)-ROW(GP$10)</f>
        <v>0</v>
      </c>
      <c r="GQ10" s="32">
        <f t="shared" ref="GQ10:GQ73" si="82">GP10+1</f>
        <v>1</v>
      </c>
      <c r="GR10" s="32">
        <f t="shared" ref="GR10:GR73" si="83">GR$5+(GR$7-GR$5)/GR$3*GP10</f>
        <v>-3.0902323061678132</v>
      </c>
      <c r="GS10" s="32">
        <f t="shared" ref="GS10:GS73" si="84">IF(GS$3,_xlfn.NORM.DIST(GR10,GS$5,GS$7,FALSE),NA())</f>
        <v>3.3670900770639959E-3</v>
      </c>
      <c r="GT10" s="32" t="e">
        <f t="shared" ref="GT10:GT73" si="85">IF(GT$3,_xlfn.T.DIST(GR10,GT$5,FALSE),NA())</f>
        <v>#N/A</v>
      </c>
      <c r="GU10" s="32" t="e">
        <f t="shared" ref="GU10:GU73" si="86">IF(GU$3,_xlfn.CHISQ.DIST(GR10,GU$5,FALSE),NA())</f>
        <v>#N/A</v>
      </c>
      <c r="GV10" s="32" t="e">
        <f t="shared" ref="GV10:GV73" si="87">IF(GV$3,_xlfn.F.DIST(GR10,GV$5,GV$7,FALSE),NA())</f>
        <v>#N/A</v>
      </c>
      <c r="GW10" s="32" t="b">
        <f t="shared" ref="GW10:GW73" si="88">GR10&lt;GW$3</f>
        <v>1</v>
      </c>
      <c r="GX10" s="32" t="b">
        <f t="shared" ref="GX10:GX73" si="89">GR10&gt;GW$3</f>
        <v>0</v>
      </c>
      <c r="GY10" s="32" t="b">
        <f t="shared" ref="GY10:GY73" si="90">OR(GR10&lt;GY$3,GR10&gt;GY$5)</f>
        <v>1</v>
      </c>
      <c r="GZ10" s="32" t="b">
        <f t="shared" ref="GZ10:GZ73" si="91">AND(GR10&gt;GY$3,GR10&lt;GY$5)</f>
        <v>0</v>
      </c>
      <c r="HA10" s="32">
        <f t="shared" ref="HA10:HA73" si="92">_xlfn.AGGREGATE(9,6,GS10:GV10)</f>
        <v>3.3670900770639959E-3</v>
      </c>
      <c r="HB10" s="32">
        <f t="shared" ref="HB10:HB73" si="93">IF(INDEX(GW10:GZ10,HA$7),HA10,NA())</f>
        <v>3.3670900770639959E-3</v>
      </c>
      <c r="HC10" s="32" t="e">
        <f t="shared" ref="HC10:HC73" si="94">IF(INDEX(GW10:GZ10,HB$7),HA10,NA())</f>
        <v>#N/A</v>
      </c>
      <c r="HD10" s="45" t="str">
        <f t="shared" ref="HD10:HD73" si="95">_xlfn.SWITCH(GP10,HD$2,HD$5,HD$3,HD$6,HD$4,HD$7,"")</f>
        <v/>
      </c>
      <c r="HJ10" s="32">
        <f t="shared" ref="HJ10:HJ73" si="96">ROW(HJ10)-ROW(HJ$10)</f>
        <v>0</v>
      </c>
      <c r="HK10" s="32">
        <f t="shared" ref="HK10:HK73" si="97">HJ10+1</f>
        <v>1</v>
      </c>
      <c r="HL10" s="32">
        <f t="shared" ref="HL10:HL73" si="98">HL$5+(HL$7-HL$5)/HL$3*HJ10</f>
        <v>-4.7852896286383331</v>
      </c>
      <c r="HM10" s="32" t="e">
        <f t="shared" ref="HM10:HM73" si="99">IF(HM$3,_xlfn.NORM.DIST(HL10,HM$5,HM$7,FALSE),NA())</f>
        <v>#N/A</v>
      </c>
      <c r="HN10" s="32">
        <f t="shared" ref="HN10:HN73" si="100">IF(HN$3,_xlfn.T.DIST(HL10,HN$5,FALSE),NA())</f>
        <v>1.1566894571072798E-3</v>
      </c>
      <c r="HO10" s="32" t="e">
        <f t="shared" ref="HO10:HO73" si="101">IF(HO$3,_xlfn.CHISQ.DIST(HL10,HO$5,FALSE),NA())</f>
        <v>#N/A</v>
      </c>
      <c r="HP10" s="32" t="e">
        <f t="shared" ref="HP10:HP73" si="102">IF(HP$3,_xlfn.F.DIST(HL10,HP$5,HP$7,FALSE),NA())</f>
        <v>#N/A</v>
      </c>
      <c r="HQ10" s="32" t="b">
        <f t="shared" ref="HQ10:HQ73" si="103">HL10&lt;HQ$3</f>
        <v>1</v>
      </c>
      <c r="HR10" s="32" t="b">
        <f t="shared" ref="HR10:HR73" si="104">HL10&gt;HQ$3</f>
        <v>0</v>
      </c>
      <c r="HS10" s="32" t="b">
        <f t="shared" ref="HS10:HS73" si="105">OR(HL10&lt;HS$3,HL10&gt;HS$5)</f>
        <v>1</v>
      </c>
      <c r="HT10" s="32" t="b">
        <f t="shared" ref="HT10:HT73" si="106">AND(HL10&gt;HS$3,HL10&lt;HS$5)</f>
        <v>0</v>
      </c>
      <c r="HU10" s="32">
        <f t="shared" ref="HU10:HU73" si="107">_xlfn.AGGREGATE(9,6,HM10:HP10)</f>
        <v>1.1566894571072798E-3</v>
      </c>
      <c r="HV10" s="32">
        <f t="shared" ref="HV10:HV73" si="108">IF(INDEX(HQ10:HT10,HU$7),HU10,NA())</f>
        <v>1.1566894571072798E-3</v>
      </c>
      <c r="HW10" s="32" t="e">
        <f t="shared" ref="HW10:HW73" si="109">IF(INDEX(HQ10:HT10,HV$7),HU10,NA())</f>
        <v>#N/A</v>
      </c>
      <c r="HX10" s="45" t="str">
        <f t="shared" ref="HX10:HX73" si="110">_xlfn.SWITCH(HJ10,HX$2,HX$5,HX$3,HX$6,HX$4,HX$7,"")</f>
        <v/>
      </c>
    </row>
    <row r="11" spans="1:235" x14ac:dyDescent="0.2">
      <c r="A11" s="35" t="s">
        <v>207</v>
      </c>
      <c r="B11" s="51">
        <v>12</v>
      </c>
      <c r="C11" s="51">
        <v>12</v>
      </c>
      <c r="AC11" s="35" t="s">
        <v>240</v>
      </c>
      <c r="AD11" s="51">
        <v>5</v>
      </c>
      <c r="BE11" s="36" t="s">
        <v>55</v>
      </c>
      <c r="BF11" s="57" t="str">
        <f>INDEX(E_g_valg[X akse titel],E_g_aktiv)</f>
        <v>Populationsestimat for gennemsnit fra stikprøver af størrelsen n = 12
fra en population med gennemsnit = 1.854
 og standardafvigelse = 4.307</v>
      </c>
      <c r="BG11" s="57" t="str">
        <f>INDEX(E_s_valg[X akse titel],E_s_aktiv)</f>
        <v>Populationsestimat for standardafvigelse fra stikprøver af størrelsen n = 12
baseret på en stikprøve med standardafvigelse = 4.307</v>
      </c>
      <c r="BH11" s="57" t="str">
        <f>INDEX(E_a_valg[X akse titel],E_a_aktiv)</f>
        <v>Populationsestimat for andel fra stikprøver af størrelsen n = 20
fra en population med andel = 41.667%</v>
      </c>
      <c r="BI11" s="57" t="str">
        <f>INDEX(E_i_valg[X akse titel],E_i_aktiv)</f>
        <v>Populationsestimat for intensitet fra stikprøver af størrelsen n = 12
fra en population med intensitet = 1.854</v>
      </c>
      <c r="BJ11" s="57" t="str">
        <f>INDEX(E_k_valg[X akse titel],E_k_aktiv)</f>
        <v>Koefficient i stikprøver af størrelsen n = 12
fra en population med koefficient = 0</v>
      </c>
      <c r="BL11" s="53" t="s">
        <v>249</v>
      </c>
      <c r="BM11" s="86" t="e" cm="1">
        <f t="array" ref="BM11">IF(NOT($BF$2),INDEX(E_g_valg[Fordeling],E_g_aktiv),NA())</f>
        <v>#N/A</v>
      </c>
      <c r="BZ11" s="32">
        <f t="shared" si="36"/>
        <v>1</v>
      </c>
      <c r="CA11" s="32">
        <f>Eu_tabel_g[[#This Row],[Indeks]]+1</f>
        <v>2</v>
      </c>
      <c r="CB11" s="32">
        <f t="shared" si="37"/>
        <v>-3.0662770169727138</v>
      </c>
      <c r="CC11" s="32">
        <f t="shared" si="38"/>
        <v>3.6247646909920227E-3</v>
      </c>
      <c r="CD11" s="32" t="e">
        <f t="shared" si="39"/>
        <v>#N/A</v>
      </c>
      <c r="CE11" s="32" t="e">
        <f t="shared" si="40"/>
        <v>#N/A</v>
      </c>
      <c r="CF11" s="32" t="e">
        <f t="shared" si="41"/>
        <v>#N/A</v>
      </c>
      <c r="CG11" s="32" t="b">
        <f t="shared" si="42"/>
        <v>1</v>
      </c>
      <c r="CH11" s="32" t="b">
        <f t="shared" si="43"/>
        <v>0</v>
      </c>
      <c r="CI11" s="32" t="b">
        <f t="shared" si="44"/>
        <v>1</v>
      </c>
      <c r="CJ11" s="32" t="b">
        <f t="shared" si="45"/>
        <v>0</v>
      </c>
      <c r="CK11" s="32">
        <f t="shared" ref="CK11:CK29" si="111">_xlfn.AGGREGATE(9,6,CC11:CF11)</f>
        <v>3.6247646909920227E-3</v>
      </c>
      <c r="CL11" s="32">
        <f t="shared" si="47"/>
        <v>3.6247646909920227E-3</v>
      </c>
      <c r="CM11" s="32" t="e">
        <f t="shared" si="48"/>
        <v>#N/A</v>
      </c>
      <c r="CN11" s="45" t="str">
        <f t="shared" si="49"/>
        <v/>
      </c>
      <c r="CO11" s="32">
        <f>_xlfn.NORM.DIST(_xlfn.NORM.INV(1-Eu_g_konfidensniveau,0,1)-Eu_tabel_g[[#This Row],[x base]],0,1,TRUE)</f>
        <v>0.92240314468252083</v>
      </c>
      <c r="CP11" s="32">
        <f>1-_xlfn.NORM.DIST(_xlfn.NORM.INV(Eu_g_konfidensniveau,0,1)-Eu_tabel_g[[#This Row],[x base]],0,1,TRUE)</f>
        <v>1.2317312236831413E-6</v>
      </c>
      <c r="CQ11" s="32">
        <f>_xlfn.NORM.DIST(_xlfn.NORM.INV((1-Eu_g_konfidensniveau)/2,0,1)-Eu_tabel_g[[#This Row],[x base]],0,1,TRUE)+1-_xlfn.NORM.DIST(_xlfn.NORM.INV(1-(1-Eu_g_konfidensniveau)/2,0,1)-Eu_tabel_g[[#This Row],[x base]],0,1,TRUE)</f>
        <v>0.86570472365340956</v>
      </c>
      <c r="CR11" s="32" t="e" cm="1">
        <f t="array" ref="CR11">IF($CR$3,INDEX(Eu_tabel_g[[#This Row],[Styrke venstre]:[Styrke tosidet]],CR$7),NA())</f>
        <v>#N/A</v>
      </c>
      <c r="CS11" s="52" t="e">
        <f>Eu_tabel_g[[#This Row],[Falsk positiv
Nulhypotese accepteres
Fejltype 1]]</f>
        <v>#N/A</v>
      </c>
      <c r="CT11" s="52" t="e">
        <f>IF(CHOOSE(CR$7,Eu_tabel_g[[#This Row],[x base]]&gt;0,Eu_tabel_g[[#This Row],[x base]]&lt;0,Eu_tabel_g[[#This Row],[x base]]=0),Eu_tabel_g[[#This Row],[Styrke, aktiv]],NA())</f>
        <v>#N/A</v>
      </c>
      <c r="CU11" s="52" t="e">
        <f>IFERROR(IF($CR$3,Eu_tabel_g[[#This Row],[Styrke, aktiv]],NA()),NA())</f>
        <v>#N/A</v>
      </c>
      <c r="CV11" s="52" t="e">
        <f>IF(ISNA(Eu_tabel_g[[#This Row],[Sand negativ
Nulhypotese afvises
Korrekt]]),NA(),IF($CR$3,1,NA()))</f>
        <v>#N/A</v>
      </c>
      <c r="CW11" s="34" t="str" cm="1">
        <f t="array" ref="CW11">_xlfn.SWITCH(BZ11,_xlfn.IFNA(CU$2,-99),CU$5,_xlfn.IFNA(CU$3,-99),CU$6,_xlfn.IFNA(CU$4,-99),CU$7,"")</f>
        <v/>
      </c>
      <c r="DA11" s="7">
        <f t="shared" si="50"/>
        <v>0.80000000036879471</v>
      </c>
      <c r="DB11">
        <f>IF(ROW(Styrkeberegning_G[[#This Row],[X base venstre]])=ROW(Styrkeberegning_G[[#Headers],[X base venstre]])+1,DB$7/(DA$7/$B$67),DB10/(DA10/$B$67))</f>
        <v>-2.8015817883308998</v>
      </c>
      <c r="DC11">
        <f>Styrkeberegning_G[[#This Row],[X base venstre]]*-1</f>
        <v>2.8015817883308998</v>
      </c>
      <c r="DN11" s="32">
        <f t="shared" si="51"/>
        <v>1</v>
      </c>
      <c r="DO11" s="32">
        <f t="shared" si="52"/>
        <v>2</v>
      </c>
      <c r="DP11" s="32">
        <f t="shared" si="53"/>
        <v>1.9479235210706913</v>
      </c>
      <c r="DQ11" s="32" t="e">
        <f t="shared" si="54"/>
        <v>#N/A</v>
      </c>
      <c r="DR11" s="32" t="e">
        <f t="shared" si="55"/>
        <v>#N/A</v>
      </c>
      <c r="DS11" s="32">
        <f t="shared" si="56"/>
        <v>3.2030638559866179E-3</v>
      </c>
      <c r="DT11" s="32" t="e">
        <f t="shared" si="57"/>
        <v>#N/A</v>
      </c>
      <c r="DU11" s="32" t="b">
        <f t="shared" si="58"/>
        <v>1</v>
      </c>
      <c r="DV11" s="32" t="b">
        <f t="shared" si="59"/>
        <v>0</v>
      </c>
      <c r="DW11" s="32" t="b">
        <f t="shared" si="60"/>
        <v>1</v>
      </c>
      <c r="DX11" s="32" t="b">
        <f t="shared" si="61"/>
        <v>0</v>
      </c>
      <c r="DY11" s="32">
        <f t="shared" si="62"/>
        <v>3.2030638559866179E-3</v>
      </c>
      <c r="DZ11" s="32">
        <f t="shared" si="63"/>
        <v>3.2030638559866179E-3</v>
      </c>
      <c r="EA11" s="32" t="e">
        <f t="shared" si="64"/>
        <v>#N/A</v>
      </c>
      <c r="EB11" s="45" t="str">
        <f t="shared" si="65"/>
        <v/>
      </c>
      <c r="EG11" s="32">
        <f t="shared" si="66"/>
        <v>1</v>
      </c>
      <c r="EH11" s="32">
        <f t="shared" si="67"/>
        <v>2</v>
      </c>
      <c r="EI11" s="32">
        <f t="shared" si="68"/>
        <v>-3.0662770169727138</v>
      </c>
      <c r="EJ11" s="32">
        <f t="shared" si="69"/>
        <v>3.6247646909920227E-3</v>
      </c>
      <c r="EK11" s="32" t="e">
        <f t="shared" si="70"/>
        <v>#N/A</v>
      </c>
      <c r="EL11" s="32" t="e">
        <f t="shared" si="71"/>
        <v>#N/A</v>
      </c>
      <c r="EM11" s="32" t="e">
        <f t="shared" si="72"/>
        <v>#N/A</v>
      </c>
      <c r="EN11" s="32" t="b">
        <f t="shared" si="73"/>
        <v>1</v>
      </c>
      <c r="EO11" s="32" t="b">
        <f t="shared" si="74"/>
        <v>0</v>
      </c>
      <c r="EP11" s="32" t="b">
        <f t="shared" si="75"/>
        <v>1</v>
      </c>
      <c r="EQ11" s="32" t="b">
        <f t="shared" si="76"/>
        <v>0</v>
      </c>
      <c r="ER11" s="32">
        <f t="shared" si="77"/>
        <v>3.6247646909920227E-3</v>
      </c>
      <c r="ES11" s="32">
        <f t="shared" si="78"/>
        <v>3.6247646909920227E-3</v>
      </c>
      <c r="ET11" s="32" t="e">
        <f t="shared" si="79"/>
        <v>#N/A</v>
      </c>
      <c r="EU11" s="45" t="str">
        <f t="shared" si="80"/>
        <v/>
      </c>
      <c r="EV1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 s="32" t="e" cm="1">
        <f t="array" ref="EY11">IF($CR$3,INDEX(Eu_tabel_a[[#This Row],[Styrke venstre]:[Styrke tosidet]],EY$7),NA())</f>
        <v>#N/A</v>
      </c>
      <c r="EZ11" s="32" t="e">
        <f>IF(EY$3,IF(CHOOSE(EY$7,Eu_tabel_a[[#This Row],[x base]]&gt;0,Eu_tabel_a[[#This Row],[x base]]&lt;0,Eu_tabel_a[[#This Row],[x base]]=0),1,NA()),NA())</f>
        <v>#N/A</v>
      </c>
      <c r="FA11" s="32" t="e">
        <f>IF(CHOOSE(EY$7,Eu_tabel_a[[#This Row],[x base]]&gt;0,Eu_tabel_a[[#This Row],[x base]]&lt;0,Eu_tabel_a[[#This Row],[x base]]=0),Eu_tabel_a[[#This Row],[Styrke, aktiv]],NA())</f>
        <v>#N/A</v>
      </c>
      <c r="FB11" s="32" t="e">
        <f>IFERROR(IF($EY$3,Eu_tabel_a[[#This Row],[Styrke, aktiv]],NA()),NA())</f>
        <v>#N/A</v>
      </c>
      <c r="FC11" s="32" t="e">
        <f>IF(ISNA(Eu_tabel_a[[#This Row],[Sand negativ
Nulhypotese afvises
Korrekt]]),NA(),IF(EY$3,1,NA()))</f>
        <v>#N/A</v>
      </c>
      <c r="FD11" s="33" t="str" cm="1">
        <f t="array" ref="FD11">IFERROR(_xlfn.SWITCH(Eu_tabel_a[[#This Row],[Indeks]],_xlfn.IFNA(FB$2,-99),FB$5,_xlfn.IFNA(FB$3,-99),FB$6,_xlfn.IFNA(FB$4,-99),FB$7,""),"")</f>
        <v/>
      </c>
      <c r="FE11" s="32">
        <f>Eu_tabel_a[[#This Row],[x base]]*SQRT(Eu_a_h0_x*(1-Eu_a_h0_x)/Eu_a_n_x)+Eu_a_h0_x</f>
        <v>0</v>
      </c>
      <c r="FJ11" s="74" t="e">
        <f t="shared" si="18"/>
        <v>#N/A</v>
      </c>
      <c r="FK11" s="82" t="e">
        <f t="shared" si="31"/>
        <v>#DIV/0!</v>
      </c>
      <c r="FL11" s="7" t="e">
        <f t="shared" si="12"/>
        <v>#DIV/0!</v>
      </c>
      <c r="FM11" t="e">
        <f t="shared" si="32"/>
        <v>#DIV/0!</v>
      </c>
      <c r="FN11" s="8" t="e">
        <f t="shared" si="33"/>
        <v>#DIV/0!</v>
      </c>
      <c r="FO11" s="8" t="e">
        <f t="shared" si="34"/>
        <v>#DIV/0!</v>
      </c>
      <c r="FP11" s="81" t="e">
        <f t="shared" si="35"/>
        <v>#DIV/0!</v>
      </c>
      <c r="FQ11" s="74" t="e">
        <f t="shared" ca="1" si="13"/>
        <v>#N/A</v>
      </c>
      <c r="FR11" s="82" t="e" vm="3">
        <f t="shared" ca="1" si="19"/>
        <v>#VALUE!</v>
      </c>
      <c r="FS11" s="7" t="e" vm="3">
        <f t="shared" ca="1" si="14"/>
        <v>#VALUE!</v>
      </c>
      <c r="FT11" t="e" vm="3">
        <f t="shared" ca="1" si="8"/>
        <v>#VALUE!</v>
      </c>
      <c r="FU11" s="8" t="e" vm="3">
        <f t="shared" ca="1" si="9"/>
        <v>#VALUE!</v>
      </c>
      <c r="FV11" s="8" t="e" vm="3">
        <f t="shared" ca="1" si="10"/>
        <v>#VALUE!</v>
      </c>
      <c r="FW11" s="81" t="e" vm="3">
        <f t="shared" ca="1" si="11"/>
        <v>#VALUE!</v>
      </c>
      <c r="FX11" s="74" t="e">
        <f t="shared" si="15"/>
        <v>#N/A</v>
      </c>
      <c r="FY11" s="82" t="e">
        <f t="shared" si="20"/>
        <v>#N/A</v>
      </c>
      <c r="FZ11" s="7" t="e">
        <f t="shared" si="16"/>
        <v>#N/A</v>
      </c>
      <c r="GA11" t="e">
        <f t="shared" si="21"/>
        <v>#N/A</v>
      </c>
      <c r="GB11" s="8" t="e">
        <f t="shared" si="22"/>
        <v>#N/A</v>
      </c>
      <c r="GC11" s="8" t="e">
        <f t="shared" si="23"/>
        <v>#N/A</v>
      </c>
      <c r="GD11" s="81" t="e">
        <f t="shared" si="24"/>
        <v>#N/A</v>
      </c>
      <c r="GE11" s="74" t="e">
        <f t="shared" si="25"/>
        <v>#N/A</v>
      </c>
      <c r="GF11" s="82" t="e">
        <f t="shared" si="26"/>
        <v>#N/A</v>
      </c>
      <c r="GG11" s="7" t="e">
        <f t="shared" si="17"/>
        <v>#N/A</v>
      </c>
      <c r="GH11" t="e">
        <f t="shared" si="27"/>
        <v>#N/A</v>
      </c>
      <c r="GI11" s="8" t="e">
        <f t="shared" si="28"/>
        <v>#N/A</v>
      </c>
      <c r="GJ11" s="8" t="e">
        <f t="shared" si="29"/>
        <v>#N/A</v>
      </c>
      <c r="GK11" s="81" t="e">
        <f t="shared" si="30"/>
        <v>#N/A</v>
      </c>
      <c r="GL11" s="81"/>
      <c r="GM11" s="81"/>
      <c r="GP11" s="32">
        <f t="shared" si="81"/>
        <v>1</v>
      </c>
      <c r="GQ11" s="32">
        <f t="shared" si="82"/>
        <v>2</v>
      </c>
      <c r="GR11" s="32">
        <f t="shared" si="83"/>
        <v>-3.0662770169727138</v>
      </c>
      <c r="GS11" s="32">
        <f t="shared" si="84"/>
        <v>3.6247646909920227E-3</v>
      </c>
      <c r="GT11" s="32" t="e">
        <f t="shared" si="85"/>
        <v>#N/A</v>
      </c>
      <c r="GU11" s="32" t="e">
        <f t="shared" si="86"/>
        <v>#N/A</v>
      </c>
      <c r="GV11" s="32" t="e">
        <f t="shared" si="87"/>
        <v>#N/A</v>
      </c>
      <c r="GW11" s="32" t="b">
        <f t="shared" si="88"/>
        <v>1</v>
      </c>
      <c r="GX11" s="32" t="b">
        <f t="shared" si="89"/>
        <v>0</v>
      </c>
      <c r="GY11" s="32" t="b">
        <f t="shared" si="90"/>
        <v>1</v>
      </c>
      <c r="GZ11" s="32" t="b">
        <f t="shared" si="91"/>
        <v>0</v>
      </c>
      <c r="HA11" s="32">
        <f t="shared" si="92"/>
        <v>3.6247646909920227E-3</v>
      </c>
      <c r="HB11" s="32">
        <f t="shared" si="93"/>
        <v>3.6247646909920227E-3</v>
      </c>
      <c r="HC11" s="32" t="e">
        <f t="shared" si="94"/>
        <v>#N/A</v>
      </c>
      <c r="HD11" s="45" t="str">
        <f t="shared" si="95"/>
        <v/>
      </c>
      <c r="HJ11" s="32">
        <f t="shared" si="96"/>
        <v>1</v>
      </c>
      <c r="HK11" s="32">
        <f t="shared" si="97"/>
        <v>2</v>
      </c>
      <c r="HL11" s="32">
        <f t="shared" si="98"/>
        <v>-4.7481943601992764</v>
      </c>
      <c r="HM11" s="32" t="e">
        <f t="shared" si="99"/>
        <v>#N/A</v>
      </c>
      <c r="HN11" s="32">
        <f t="shared" si="100"/>
        <v>1.2130723617778491E-3</v>
      </c>
      <c r="HO11" s="32" t="e">
        <f t="shared" si="101"/>
        <v>#N/A</v>
      </c>
      <c r="HP11" s="32" t="e">
        <f t="shared" si="102"/>
        <v>#N/A</v>
      </c>
      <c r="HQ11" s="32" t="b">
        <f t="shared" si="103"/>
        <v>1</v>
      </c>
      <c r="HR11" s="32" t="b">
        <f t="shared" si="104"/>
        <v>0</v>
      </c>
      <c r="HS11" s="32" t="b">
        <f t="shared" si="105"/>
        <v>1</v>
      </c>
      <c r="HT11" s="32" t="b">
        <f t="shared" si="106"/>
        <v>0</v>
      </c>
      <c r="HU11" s="32">
        <f t="shared" si="107"/>
        <v>1.2130723617778491E-3</v>
      </c>
      <c r="HV11" s="32">
        <f t="shared" si="108"/>
        <v>1.2130723617778491E-3</v>
      </c>
      <c r="HW11" s="32" t="e">
        <f t="shared" si="109"/>
        <v>#N/A</v>
      </c>
      <c r="HX11" s="45" t="str">
        <f t="shared" si="110"/>
        <v/>
      </c>
    </row>
    <row r="12" spans="1:235" x14ac:dyDescent="0.2">
      <c r="BE12" s="53" t="s">
        <v>8</v>
      </c>
      <c r="BF12" s="35" t="s">
        <v>8</v>
      </c>
      <c r="BG12" s="35" t="s">
        <v>8</v>
      </c>
      <c r="BH12" s="35" t="s">
        <v>8</v>
      </c>
      <c r="BI12" s="35" t="s">
        <v>8</v>
      </c>
      <c r="BJ12" s="35" t="s">
        <v>8</v>
      </c>
      <c r="BL12" s="53" t="s">
        <v>250</v>
      </c>
      <c r="BM12" s="86" t="e" cm="1">
        <f t="array" ref="BM12">IF(NOT($BF$2),INDEX(E_g_valg[Parameter 1],E_g_aktiv),NA())</f>
        <v>#N/A</v>
      </c>
      <c r="BZ12" s="32">
        <f t="shared" si="36"/>
        <v>2</v>
      </c>
      <c r="CA12" s="32">
        <f>Eu_tabel_g[[#This Row],[Indeks]]+1</f>
        <v>3</v>
      </c>
      <c r="CB12" s="32">
        <f t="shared" si="37"/>
        <v>-3.0423217277776144</v>
      </c>
      <c r="CC12" s="32">
        <f t="shared" si="38"/>
        <v>3.8999198362770038E-3</v>
      </c>
      <c r="CD12" s="32" t="e">
        <f t="shared" si="39"/>
        <v>#N/A</v>
      </c>
      <c r="CE12" s="32" t="e">
        <f t="shared" si="40"/>
        <v>#N/A</v>
      </c>
      <c r="CF12" s="32" t="e">
        <f t="shared" si="41"/>
        <v>#N/A</v>
      </c>
      <c r="CG12" s="32" t="b">
        <f t="shared" si="42"/>
        <v>1</v>
      </c>
      <c r="CH12" s="32" t="b">
        <f t="shared" si="43"/>
        <v>0</v>
      </c>
      <c r="CI12" s="32" t="b">
        <f t="shared" si="44"/>
        <v>1</v>
      </c>
      <c r="CJ12" s="32" t="b">
        <f t="shared" si="45"/>
        <v>0</v>
      </c>
      <c r="CK12" s="32">
        <f t="shared" si="111"/>
        <v>3.8999198362770038E-3</v>
      </c>
      <c r="CL12" s="32">
        <f t="shared" si="47"/>
        <v>3.8999198362770038E-3</v>
      </c>
      <c r="CM12" s="32" t="e">
        <f t="shared" si="48"/>
        <v>#N/A</v>
      </c>
      <c r="CN12" s="45" t="str">
        <f t="shared" si="49"/>
        <v/>
      </c>
      <c r="CO12" s="32">
        <f>_xlfn.NORM.DIST(_xlfn.NORM.INV(1-Eu_g_konfidensniveau,0,1)-Eu_tabel_g[[#This Row],[x base]],0,1,TRUE)</f>
        <v>0.91886357365027505</v>
      </c>
      <c r="CP12" s="32">
        <f>1-_xlfn.NORM.DIST(_xlfn.NORM.INV(Eu_g_konfidensniveau,0,1)-Eu_tabel_g[[#This Row],[x base]],0,1,TRUE)</f>
        <v>1.3850080688992961E-6</v>
      </c>
      <c r="CQ12" s="32">
        <f>_xlfn.NORM.DIST(_xlfn.NORM.INV((1-Eu_g_konfidensniveau)/2,0,1)-Eu_tabel_g[[#This Row],[x base]],0,1,TRUE)+1-_xlfn.NORM.DIST(_xlfn.NORM.INV(1-(1-Eu_g_konfidensniveau)/2,0,1)-Eu_tabel_g[[#This Row],[x base]],0,1,TRUE)</f>
        <v>0.86045348467743621</v>
      </c>
      <c r="CR12" s="32" t="e" cm="1">
        <f t="array" ref="CR12">IF($CR$3,INDEX(Eu_tabel_g[[#This Row],[Styrke venstre]:[Styrke tosidet]],CR$7),NA())</f>
        <v>#N/A</v>
      </c>
      <c r="CS12" s="52" t="e">
        <f>Eu_tabel_g[[#This Row],[Falsk positiv
Nulhypotese accepteres
Fejltype 1]]</f>
        <v>#N/A</v>
      </c>
      <c r="CT12" s="52" t="e">
        <f>IF(CHOOSE(CR$7,Eu_tabel_g[[#This Row],[x base]]&gt;0,Eu_tabel_g[[#This Row],[x base]]&lt;0,Eu_tabel_g[[#This Row],[x base]]=0),Eu_tabel_g[[#This Row],[Styrke, aktiv]],NA())</f>
        <v>#N/A</v>
      </c>
      <c r="CU12" s="52" t="e">
        <f>IFERROR(IF($CR$3,Eu_tabel_g[[#This Row],[Styrke, aktiv]],NA()),NA())</f>
        <v>#N/A</v>
      </c>
      <c r="CV12" s="52" t="e">
        <f>IF(ISNA(Eu_tabel_g[[#This Row],[Sand negativ
Nulhypotese afvises
Korrekt]]),NA(),IF($CR$3,1,NA()))</f>
        <v>#N/A</v>
      </c>
      <c r="CW12" s="34" t="str" cm="1">
        <f t="array" ref="CW12">_xlfn.SWITCH(BZ12,_xlfn.IFNA(CU$2,-99),CU$5,_xlfn.IFNA(CU$3,-99),CU$6,_xlfn.IFNA(CU$4,-99),CU$7,"")</f>
        <v/>
      </c>
      <c r="DA12" s="7">
        <f t="shared" si="50"/>
        <v>0.80000000000722593</v>
      </c>
      <c r="DB12">
        <f>IF(ROW(Styrkeberegning_G[[#This Row],[X base venstre]])=ROW(Styrkeberegning_G[[#Headers],[X base venstre]])+1,DB$7/(DA$7/$B$67),DB11/(DA11/$B$67))</f>
        <v>-2.8015817870393893</v>
      </c>
      <c r="DC12">
        <f>Styrkeberegning_G[[#This Row],[X base venstre]]*-1</f>
        <v>2.8015817870393893</v>
      </c>
      <c r="DN12" s="32">
        <f t="shared" si="51"/>
        <v>2</v>
      </c>
      <c r="DO12" s="32">
        <f t="shared" si="52"/>
        <v>3</v>
      </c>
      <c r="DP12" s="32">
        <f t="shared" si="53"/>
        <v>2.0619943774876925</v>
      </c>
      <c r="DQ12" s="32" t="e">
        <f t="shared" si="54"/>
        <v>#N/A</v>
      </c>
      <c r="DR12" s="32" t="e">
        <f t="shared" si="55"/>
        <v>#N/A</v>
      </c>
      <c r="DS12" s="32">
        <f t="shared" si="56"/>
        <v>3.9085485663345257E-3</v>
      </c>
      <c r="DT12" s="32" t="e">
        <f t="shared" si="57"/>
        <v>#N/A</v>
      </c>
      <c r="DU12" s="32" t="b">
        <f t="shared" si="58"/>
        <v>1</v>
      </c>
      <c r="DV12" s="32" t="b">
        <f t="shared" si="59"/>
        <v>0</v>
      </c>
      <c r="DW12" s="32" t="b">
        <f t="shared" si="60"/>
        <v>1</v>
      </c>
      <c r="DX12" s="32" t="b">
        <f t="shared" si="61"/>
        <v>0</v>
      </c>
      <c r="DY12" s="32">
        <f t="shared" si="62"/>
        <v>3.9085485663345257E-3</v>
      </c>
      <c r="DZ12" s="32">
        <f t="shared" si="63"/>
        <v>3.9085485663345257E-3</v>
      </c>
      <c r="EA12" s="32" t="e">
        <f t="shared" si="64"/>
        <v>#N/A</v>
      </c>
      <c r="EB12" s="45" t="str">
        <f t="shared" si="65"/>
        <v/>
      </c>
      <c r="EG12" s="32">
        <f t="shared" si="66"/>
        <v>2</v>
      </c>
      <c r="EH12" s="32">
        <f t="shared" si="67"/>
        <v>3</v>
      </c>
      <c r="EI12" s="32">
        <f t="shared" si="68"/>
        <v>-3.0423217277776144</v>
      </c>
      <c r="EJ12" s="32">
        <f t="shared" si="69"/>
        <v>3.8999198362770038E-3</v>
      </c>
      <c r="EK12" s="32" t="e">
        <f t="shared" si="70"/>
        <v>#N/A</v>
      </c>
      <c r="EL12" s="32" t="e">
        <f t="shared" si="71"/>
        <v>#N/A</v>
      </c>
      <c r="EM12" s="32" t="e">
        <f t="shared" si="72"/>
        <v>#N/A</v>
      </c>
      <c r="EN12" s="32" t="b">
        <f t="shared" si="73"/>
        <v>1</v>
      </c>
      <c r="EO12" s="32" t="b">
        <f t="shared" si="74"/>
        <v>0</v>
      </c>
      <c r="EP12" s="32" t="b">
        <f t="shared" si="75"/>
        <v>1</v>
      </c>
      <c r="EQ12" s="32" t="b">
        <f t="shared" si="76"/>
        <v>0</v>
      </c>
      <c r="ER12" s="32">
        <f t="shared" si="77"/>
        <v>3.8999198362770038E-3</v>
      </c>
      <c r="ES12" s="32">
        <f t="shared" si="78"/>
        <v>3.8999198362770038E-3</v>
      </c>
      <c r="ET12" s="32" t="e">
        <f t="shared" si="79"/>
        <v>#N/A</v>
      </c>
      <c r="EU12" s="45" t="str">
        <f t="shared" si="80"/>
        <v/>
      </c>
      <c r="EV1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 s="32" t="e" cm="1">
        <f t="array" ref="EY12">IF($CR$3,INDEX(Eu_tabel_a[[#This Row],[Styrke venstre]:[Styrke tosidet]],EY$7),NA())</f>
        <v>#N/A</v>
      </c>
      <c r="EZ12" s="32" t="e">
        <f>IF(EY$3,IF(CHOOSE(EY$7,Eu_tabel_a[[#This Row],[x base]]&gt;0,Eu_tabel_a[[#This Row],[x base]]&lt;0,Eu_tabel_a[[#This Row],[x base]]=0),1,NA()),NA())</f>
        <v>#N/A</v>
      </c>
      <c r="FA12" s="32" t="e">
        <f>IF(CHOOSE(EY$7,Eu_tabel_a[[#This Row],[x base]]&gt;0,Eu_tabel_a[[#This Row],[x base]]&lt;0,Eu_tabel_a[[#This Row],[x base]]=0),Eu_tabel_a[[#This Row],[Styrke, aktiv]],NA())</f>
        <v>#N/A</v>
      </c>
      <c r="FB12" s="32" t="e">
        <f>IFERROR(IF($EY$3,Eu_tabel_a[[#This Row],[Styrke, aktiv]],NA()),NA())</f>
        <v>#N/A</v>
      </c>
      <c r="FC12" s="32" t="e">
        <f>IF(ISNA(Eu_tabel_a[[#This Row],[Sand negativ
Nulhypotese afvises
Korrekt]]),NA(),IF(EY$3,1,NA()))</f>
        <v>#N/A</v>
      </c>
      <c r="FD12" s="33" t="str" cm="1">
        <f t="array" ref="FD12">IFERROR(_xlfn.SWITCH(Eu_tabel_a[[#This Row],[Indeks]],_xlfn.IFNA(FB$2,-99),FB$5,_xlfn.IFNA(FB$3,-99),FB$6,_xlfn.IFNA(FB$4,-99),FB$7,""),"")</f>
        <v/>
      </c>
      <c r="FE12" s="32">
        <f>Eu_tabel_a[[#This Row],[x base]]*SQRT(Eu_a_h0_x*(1-Eu_a_h0_x)/Eu_a_n_x)+Eu_a_h0_x</f>
        <v>0</v>
      </c>
      <c r="FJ12" s="74" t="e">
        <f t="shared" si="18"/>
        <v>#N/A</v>
      </c>
      <c r="FK12" s="82" t="e">
        <f t="shared" si="31"/>
        <v>#DIV/0!</v>
      </c>
      <c r="FL12" s="7" t="e">
        <f t="shared" si="12"/>
        <v>#DIV/0!</v>
      </c>
      <c r="FM12" t="e">
        <f t="shared" si="32"/>
        <v>#DIV/0!</v>
      </c>
      <c r="FN12" s="8" t="e">
        <f t="shared" si="33"/>
        <v>#DIV/0!</v>
      </c>
      <c r="FO12" s="8" t="e">
        <f t="shared" si="34"/>
        <v>#DIV/0!</v>
      </c>
      <c r="FP12" s="81" t="e">
        <f t="shared" si="35"/>
        <v>#DIV/0!</v>
      </c>
      <c r="FQ12" s="74" t="e">
        <f t="shared" ca="1" si="13"/>
        <v>#N/A</v>
      </c>
      <c r="FR12" s="82" t="e" vm="3">
        <f t="shared" ca="1" si="19"/>
        <v>#VALUE!</v>
      </c>
      <c r="FS12" s="7" t="e" vm="3">
        <f t="shared" ca="1" si="14"/>
        <v>#VALUE!</v>
      </c>
      <c r="FT12" t="e" vm="3">
        <f t="shared" ca="1" si="8"/>
        <v>#VALUE!</v>
      </c>
      <c r="FU12" s="8" t="e" vm="3">
        <f t="shared" ca="1" si="9"/>
        <v>#VALUE!</v>
      </c>
      <c r="FV12" s="8" t="e" vm="3">
        <f t="shared" ca="1" si="10"/>
        <v>#VALUE!</v>
      </c>
      <c r="FW12" s="81" t="e" vm="3">
        <f t="shared" ca="1" si="11"/>
        <v>#VALUE!</v>
      </c>
      <c r="FX12" s="74" t="e">
        <f t="shared" si="15"/>
        <v>#N/A</v>
      </c>
      <c r="FY12" s="82" t="e">
        <f t="shared" si="20"/>
        <v>#N/A</v>
      </c>
      <c r="FZ12" s="7" t="e">
        <f t="shared" si="16"/>
        <v>#N/A</v>
      </c>
      <c r="GA12" t="e">
        <f t="shared" si="21"/>
        <v>#N/A</v>
      </c>
      <c r="GB12" s="8" t="e">
        <f t="shared" si="22"/>
        <v>#N/A</v>
      </c>
      <c r="GC12" s="8" t="e">
        <f t="shared" si="23"/>
        <v>#N/A</v>
      </c>
      <c r="GD12" s="81" t="e">
        <f t="shared" si="24"/>
        <v>#N/A</v>
      </c>
      <c r="GE12" s="74" t="e">
        <f t="shared" si="25"/>
        <v>#N/A</v>
      </c>
      <c r="GF12" s="82" t="e">
        <f t="shared" si="26"/>
        <v>#N/A</v>
      </c>
      <c r="GG12" s="7" t="e">
        <f t="shared" si="17"/>
        <v>#N/A</v>
      </c>
      <c r="GH12" t="e">
        <f t="shared" si="27"/>
        <v>#N/A</v>
      </c>
      <c r="GI12" s="8" t="e">
        <f t="shared" si="28"/>
        <v>#N/A</v>
      </c>
      <c r="GJ12" s="8" t="e">
        <f t="shared" si="29"/>
        <v>#N/A</v>
      </c>
      <c r="GK12" s="81" t="e">
        <f t="shared" si="30"/>
        <v>#N/A</v>
      </c>
      <c r="GL12" s="81"/>
      <c r="GM12" s="81"/>
      <c r="GP12" s="32">
        <f t="shared" si="81"/>
        <v>2</v>
      </c>
      <c r="GQ12" s="32">
        <f t="shared" si="82"/>
        <v>3</v>
      </c>
      <c r="GR12" s="32">
        <f t="shared" si="83"/>
        <v>-3.0423217277776144</v>
      </c>
      <c r="GS12" s="32">
        <f t="shared" si="84"/>
        <v>3.8999198362770038E-3</v>
      </c>
      <c r="GT12" s="32" t="e">
        <f t="shared" si="85"/>
        <v>#N/A</v>
      </c>
      <c r="GU12" s="32" t="e">
        <f t="shared" si="86"/>
        <v>#N/A</v>
      </c>
      <c r="GV12" s="32" t="e">
        <f t="shared" si="87"/>
        <v>#N/A</v>
      </c>
      <c r="GW12" s="32" t="b">
        <f t="shared" si="88"/>
        <v>1</v>
      </c>
      <c r="GX12" s="32" t="b">
        <f t="shared" si="89"/>
        <v>0</v>
      </c>
      <c r="GY12" s="32" t="b">
        <f t="shared" si="90"/>
        <v>1</v>
      </c>
      <c r="GZ12" s="32" t="b">
        <f t="shared" si="91"/>
        <v>0</v>
      </c>
      <c r="HA12" s="32">
        <f t="shared" si="92"/>
        <v>3.8999198362770038E-3</v>
      </c>
      <c r="HB12" s="32">
        <f t="shared" si="93"/>
        <v>3.8999198362770038E-3</v>
      </c>
      <c r="HC12" s="32" t="e">
        <f t="shared" si="94"/>
        <v>#N/A</v>
      </c>
      <c r="HD12" s="45" t="str">
        <f t="shared" si="95"/>
        <v/>
      </c>
      <c r="HJ12" s="32">
        <f t="shared" si="96"/>
        <v>2</v>
      </c>
      <c r="HK12" s="32">
        <f t="shared" si="97"/>
        <v>3</v>
      </c>
      <c r="HL12" s="32">
        <f t="shared" si="98"/>
        <v>-4.7110990917602198</v>
      </c>
      <c r="HM12" s="32" t="e">
        <f t="shared" si="99"/>
        <v>#N/A</v>
      </c>
      <c r="HN12" s="32">
        <f t="shared" si="100"/>
        <v>1.2724530798355995E-3</v>
      </c>
      <c r="HO12" s="32" t="e">
        <f t="shared" si="101"/>
        <v>#N/A</v>
      </c>
      <c r="HP12" s="32" t="e">
        <f t="shared" si="102"/>
        <v>#N/A</v>
      </c>
      <c r="HQ12" s="32" t="b">
        <f t="shared" si="103"/>
        <v>1</v>
      </c>
      <c r="HR12" s="32" t="b">
        <f t="shared" si="104"/>
        <v>0</v>
      </c>
      <c r="HS12" s="32" t="b">
        <f t="shared" si="105"/>
        <v>1</v>
      </c>
      <c r="HT12" s="32" t="b">
        <f t="shared" si="106"/>
        <v>0</v>
      </c>
      <c r="HU12" s="32">
        <f t="shared" si="107"/>
        <v>1.2724530798355995E-3</v>
      </c>
      <c r="HV12" s="32">
        <f t="shared" si="108"/>
        <v>1.2724530798355995E-3</v>
      </c>
      <c r="HW12" s="32" t="e">
        <f t="shared" si="109"/>
        <v>#N/A</v>
      </c>
      <c r="HX12" s="45" t="str">
        <f t="shared" si="110"/>
        <v/>
      </c>
    </row>
    <row r="13" spans="1:235" x14ac:dyDescent="0.2">
      <c r="BE13" s="35" t="s">
        <v>58</v>
      </c>
      <c r="BF13" s="37" t="str">
        <f>INDEX(E_g_valg[Forudsætning 1],E_g_aktiv)</f>
        <v>Datatypen er interval</v>
      </c>
      <c r="BG13" s="37" t="str">
        <f>INDEX(E_s_valg[Forudsætning 1],E_s_aktiv)</f>
        <v>Datatypen er interval</v>
      </c>
      <c r="BH13" s="37" t="str">
        <f>INDEX(E_a_valg[Forudsætning 1],E_a_aktiv)</f>
        <v>Datatypen er nominal, hvor succes er TRUE og øvrige værdier er FALSE</v>
      </c>
      <c r="BI13" s="37" t="str">
        <f>INDEX(E_i_valg[Forudsætning 1],E_i_aktiv)</f>
        <v>Observationerne består af antal successer fra lige store tidsintervaller</v>
      </c>
      <c r="BJ13" s="37" t="str">
        <f>INDEX(E_k_valg[Forudsætning 1],E_k_aktiv)</f>
        <v>Datatypen er interval</v>
      </c>
      <c r="BL13" s="53" t="s">
        <v>251</v>
      </c>
      <c r="BM13" s="86" t="e" cm="1">
        <f t="array" ref="BM13">IF(NOT($BF$2),IF(NOT(ISBLANK(INDEX(E_g_valg[Parameter 2],E_g_aktiv))),INDEX(E_g_valg[Parameter 2],E_g_aktiv),NA()),NA())</f>
        <v>#N/A</v>
      </c>
      <c r="BZ13" s="32">
        <f t="shared" si="36"/>
        <v>3</v>
      </c>
      <c r="CA13" s="32">
        <f>Eu_tabel_g[[#This Row],[Indeks]]+1</f>
        <v>4</v>
      </c>
      <c r="CB13" s="32">
        <f t="shared" si="37"/>
        <v>-3.0183664385825151</v>
      </c>
      <c r="CC13" s="32">
        <f t="shared" si="38"/>
        <v>4.1935547655993473E-3</v>
      </c>
      <c r="CD13" s="32" t="e">
        <f t="shared" si="39"/>
        <v>#N/A</v>
      </c>
      <c r="CE13" s="32" t="e">
        <f t="shared" si="40"/>
        <v>#N/A</v>
      </c>
      <c r="CF13" s="32" t="e">
        <f t="shared" si="41"/>
        <v>#N/A</v>
      </c>
      <c r="CG13" s="32" t="b">
        <f t="shared" si="42"/>
        <v>1</v>
      </c>
      <c r="CH13" s="32" t="b">
        <f t="shared" si="43"/>
        <v>0</v>
      </c>
      <c r="CI13" s="32" t="b">
        <f t="shared" si="44"/>
        <v>1</v>
      </c>
      <c r="CJ13" s="32" t="b">
        <f t="shared" si="45"/>
        <v>0</v>
      </c>
      <c r="CK13" s="32">
        <f t="shared" si="111"/>
        <v>4.1935547655993473E-3</v>
      </c>
      <c r="CL13" s="32">
        <f t="shared" si="47"/>
        <v>4.1935547655993473E-3</v>
      </c>
      <c r="CM13" s="32" t="e">
        <f t="shared" si="48"/>
        <v>#N/A</v>
      </c>
      <c r="CN13" s="45" t="str">
        <f t="shared" si="49"/>
        <v/>
      </c>
      <c r="CO13" s="32">
        <f>_xlfn.NORM.DIST(_xlfn.NORM.INV(1-Eu_g_konfidensniveau,0,1)-Eu_tabel_g[[#This Row],[x base]],0,1,TRUE)</f>
        <v>0.91520350942874473</v>
      </c>
      <c r="CP13" s="32">
        <f>1-_xlfn.NORM.DIST(_xlfn.NORM.INV(Eu_g_konfidensniveau,0,1)-Eu_tabel_g[[#This Row],[x base]],0,1,TRUE)</f>
        <v>1.5564977342563679E-6</v>
      </c>
      <c r="CQ13" s="32">
        <f>_xlfn.NORM.DIST(_xlfn.NORM.INV((1-Eu_g_konfidensniveau)/2,0,1)-Eu_tabel_g[[#This Row],[x base]],0,1,TRUE)+1-_xlfn.NORM.DIST(_xlfn.NORM.INV(1-(1-Eu_g_konfidensniveau)/2,0,1)-Eu_tabel_g[[#This Row],[x base]],0,1,TRUE)</f>
        <v>0.85506432011602818</v>
      </c>
      <c r="CR13" s="32" t="e" cm="1">
        <f t="array" ref="CR13">IF($CR$3,INDEX(Eu_tabel_g[[#This Row],[Styrke venstre]:[Styrke tosidet]],CR$7),NA())</f>
        <v>#N/A</v>
      </c>
      <c r="CS13" s="52" t="e">
        <f>Eu_tabel_g[[#This Row],[Falsk positiv
Nulhypotese accepteres
Fejltype 1]]</f>
        <v>#N/A</v>
      </c>
      <c r="CT13" s="52" t="e">
        <f>IF(CHOOSE(CR$7,Eu_tabel_g[[#This Row],[x base]]&gt;0,Eu_tabel_g[[#This Row],[x base]]&lt;0,Eu_tabel_g[[#This Row],[x base]]=0),Eu_tabel_g[[#This Row],[Styrke, aktiv]],NA())</f>
        <v>#N/A</v>
      </c>
      <c r="CU13" s="52" t="e">
        <f>IFERROR(IF($CR$3,Eu_tabel_g[[#This Row],[Styrke, aktiv]],NA()),NA())</f>
        <v>#N/A</v>
      </c>
      <c r="CV13" s="52" t="e">
        <f>IF(ISNA(Eu_tabel_g[[#This Row],[Sand negativ
Nulhypotese afvises
Korrekt]]),NA(),IF($CR$3,1,NA()))</f>
        <v>#N/A</v>
      </c>
      <c r="CW13" s="34" t="str" cm="1">
        <f t="array" ref="CW13">_xlfn.SWITCH(BZ13,_xlfn.IFNA(CU$2,-99),CU$5,_xlfn.IFNA(CU$3,-99),CU$6,_xlfn.IFNA(CU$4,-99),CU$7,"")</f>
        <v/>
      </c>
      <c r="DA13" s="7">
        <f t="shared" si="50"/>
        <v>0.80000000000014171</v>
      </c>
      <c r="DB13">
        <f>IF(ROW(Styrkeberegning_G[[#This Row],[X base venstre]])=ROW(Styrkeberegning_G[[#Headers],[X base venstre]])+1,DB$7/(DA$7/$B$67),DB12/(DA12/$B$67))</f>
        <v>-2.8015817870140847</v>
      </c>
      <c r="DC13">
        <f>Styrkeberegning_G[[#This Row],[X base venstre]]*-1</f>
        <v>2.8015817870140847</v>
      </c>
      <c r="DN13" s="32">
        <f t="shared" si="51"/>
        <v>3</v>
      </c>
      <c r="DO13" s="32">
        <f t="shared" si="52"/>
        <v>4</v>
      </c>
      <c r="DP13" s="32">
        <f t="shared" si="53"/>
        <v>2.1760652339046933</v>
      </c>
      <c r="DQ13" s="32" t="e">
        <f t="shared" si="54"/>
        <v>#N/A</v>
      </c>
      <c r="DR13" s="32" t="e">
        <f t="shared" si="55"/>
        <v>#N/A</v>
      </c>
      <c r="DS13" s="32">
        <f t="shared" si="56"/>
        <v>4.7040864314258782E-3</v>
      </c>
      <c r="DT13" s="32" t="e">
        <f t="shared" si="57"/>
        <v>#N/A</v>
      </c>
      <c r="DU13" s="32" t="b">
        <f t="shared" si="58"/>
        <v>1</v>
      </c>
      <c r="DV13" s="32" t="b">
        <f t="shared" si="59"/>
        <v>0</v>
      </c>
      <c r="DW13" s="32" t="b">
        <f t="shared" si="60"/>
        <v>1</v>
      </c>
      <c r="DX13" s="32" t="b">
        <f t="shared" si="61"/>
        <v>0</v>
      </c>
      <c r="DY13" s="32">
        <f t="shared" si="62"/>
        <v>4.7040864314258782E-3</v>
      </c>
      <c r="DZ13" s="32">
        <f t="shared" si="63"/>
        <v>4.7040864314258782E-3</v>
      </c>
      <c r="EA13" s="32" t="e">
        <f t="shared" si="64"/>
        <v>#N/A</v>
      </c>
      <c r="EB13" s="45" t="str">
        <f t="shared" si="65"/>
        <v/>
      </c>
      <c r="EG13" s="32">
        <f t="shared" si="66"/>
        <v>3</v>
      </c>
      <c r="EH13" s="32">
        <f t="shared" si="67"/>
        <v>4</v>
      </c>
      <c r="EI13" s="32">
        <f t="shared" si="68"/>
        <v>-3.0183664385825151</v>
      </c>
      <c r="EJ13" s="32">
        <f t="shared" si="69"/>
        <v>4.1935547655993473E-3</v>
      </c>
      <c r="EK13" s="32" t="e">
        <f t="shared" si="70"/>
        <v>#N/A</v>
      </c>
      <c r="EL13" s="32" t="e">
        <f t="shared" si="71"/>
        <v>#N/A</v>
      </c>
      <c r="EM13" s="32" t="e">
        <f t="shared" si="72"/>
        <v>#N/A</v>
      </c>
      <c r="EN13" s="32" t="b">
        <f t="shared" si="73"/>
        <v>1</v>
      </c>
      <c r="EO13" s="32" t="b">
        <f t="shared" si="74"/>
        <v>0</v>
      </c>
      <c r="EP13" s="32" t="b">
        <f t="shared" si="75"/>
        <v>1</v>
      </c>
      <c r="EQ13" s="32" t="b">
        <f t="shared" si="76"/>
        <v>0</v>
      </c>
      <c r="ER13" s="32">
        <f t="shared" si="77"/>
        <v>4.1935547655993473E-3</v>
      </c>
      <c r="ES13" s="32">
        <f t="shared" si="78"/>
        <v>4.1935547655993473E-3</v>
      </c>
      <c r="ET13" s="32" t="e">
        <f t="shared" si="79"/>
        <v>#N/A</v>
      </c>
      <c r="EU13" s="45" t="str">
        <f t="shared" si="80"/>
        <v/>
      </c>
      <c r="EV1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 s="32" t="e" cm="1">
        <f t="array" ref="EY13">IF($CR$3,INDEX(Eu_tabel_a[[#This Row],[Styrke venstre]:[Styrke tosidet]],EY$7),NA())</f>
        <v>#N/A</v>
      </c>
      <c r="EZ13" s="32" t="e">
        <f>IF(EY$3,IF(CHOOSE(EY$7,Eu_tabel_a[[#This Row],[x base]]&gt;0,Eu_tabel_a[[#This Row],[x base]]&lt;0,Eu_tabel_a[[#This Row],[x base]]=0),1,NA()),NA())</f>
        <v>#N/A</v>
      </c>
      <c r="FA13" s="32" t="e">
        <f>IF(CHOOSE(EY$7,Eu_tabel_a[[#This Row],[x base]]&gt;0,Eu_tabel_a[[#This Row],[x base]]&lt;0,Eu_tabel_a[[#This Row],[x base]]=0),Eu_tabel_a[[#This Row],[Styrke, aktiv]],NA())</f>
        <v>#N/A</v>
      </c>
      <c r="FB13" s="32" t="e">
        <f>IFERROR(IF($EY$3,Eu_tabel_a[[#This Row],[Styrke, aktiv]],NA()),NA())</f>
        <v>#N/A</v>
      </c>
      <c r="FC13" s="32" t="e">
        <f>IF(ISNA(Eu_tabel_a[[#This Row],[Sand negativ
Nulhypotese afvises
Korrekt]]),NA(),IF(EY$3,1,NA()))</f>
        <v>#N/A</v>
      </c>
      <c r="FD13" s="33" t="str" cm="1">
        <f t="array" ref="FD13">IFERROR(_xlfn.SWITCH(Eu_tabel_a[[#This Row],[Indeks]],_xlfn.IFNA(FB$2,-99),FB$5,_xlfn.IFNA(FB$3,-99),FB$6,_xlfn.IFNA(FB$4,-99),FB$7,""),"")</f>
        <v/>
      </c>
      <c r="FE13" s="32">
        <f>Eu_tabel_a[[#This Row],[x base]]*SQRT(Eu_a_h0_x*(1-Eu_a_h0_x)/Eu_a_n_x)+Eu_a_h0_x</f>
        <v>0</v>
      </c>
      <c r="FJ13" s="74" t="e">
        <f t="shared" si="18"/>
        <v>#N/A</v>
      </c>
      <c r="FK13" s="82" t="e">
        <f t="shared" si="31"/>
        <v>#DIV/0!</v>
      </c>
      <c r="FL13" s="7" t="e">
        <f t="shared" si="12"/>
        <v>#DIV/0!</v>
      </c>
      <c r="FM13" t="e">
        <f t="shared" si="32"/>
        <v>#DIV/0!</v>
      </c>
      <c r="FN13" s="8" t="e">
        <f t="shared" si="33"/>
        <v>#DIV/0!</v>
      </c>
      <c r="FO13" s="8" t="e">
        <f t="shared" si="34"/>
        <v>#DIV/0!</v>
      </c>
      <c r="FP13" s="81" t="e">
        <f t="shared" si="35"/>
        <v>#DIV/0!</v>
      </c>
      <c r="FQ13" s="74" t="e">
        <f t="shared" ca="1" si="13"/>
        <v>#N/A</v>
      </c>
      <c r="FR13" s="82" t="e" vm="3">
        <f t="shared" ca="1" si="19"/>
        <v>#VALUE!</v>
      </c>
      <c r="FS13" s="7" t="e" vm="3">
        <f t="shared" ca="1" si="14"/>
        <v>#VALUE!</v>
      </c>
      <c r="FT13" t="e" vm="3">
        <f t="shared" ca="1" si="8"/>
        <v>#VALUE!</v>
      </c>
      <c r="FU13" s="8" t="e" vm="3">
        <f t="shared" ca="1" si="9"/>
        <v>#VALUE!</v>
      </c>
      <c r="FV13" s="8" t="e" vm="3">
        <f t="shared" ca="1" si="10"/>
        <v>#VALUE!</v>
      </c>
      <c r="FW13" s="81" t="e" vm="3">
        <f t="shared" ca="1" si="11"/>
        <v>#VALUE!</v>
      </c>
      <c r="FX13" s="74" t="e">
        <f t="shared" si="15"/>
        <v>#N/A</v>
      </c>
      <c r="FY13" s="82" t="e">
        <f t="shared" si="20"/>
        <v>#N/A</v>
      </c>
      <c r="FZ13" s="7" t="e">
        <f t="shared" si="16"/>
        <v>#N/A</v>
      </c>
      <c r="GA13" t="e">
        <f t="shared" si="21"/>
        <v>#N/A</v>
      </c>
      <c r="GB13" s="8" t="e">
        <f t="shared" si="22"/>
        <v>#N/A</v>
      </c>
      <c r="GC13" s="8" t="e">
        <f t="shared" si="23"/>
        <v>#N/A</v>
      </c>
      <c r="GD13" s="81" t="e">
        <f t="shared" si="24"/>
        <v>#N/A</v>
      </c>
      <c r="GE13" s="74" t="e">
        <f t="shared" si="25"/>
        <v>#N/A</v>
      </c>
      <c r="GF13" s="82" t="e">
        <f t="shared" si="26"/>
        <v>#N/A</v>
      </c>
      <c r="GG13" s="7" t="e">
        <f t="shared" si="17"/>
        <v>#N/A</v>
      </c>
      <c r="GH13" t="e">
        <f t="shared" si="27"/>
        <v>#N/A</v>
      </c>
      <c r="GI13" s="8" t="e">
        <f t="shared" si="28"/>
        <v>#N/A</v>
      </c>
      <c r="GJ13" s="8" t="e">
        <f t="shared" si="29"/>
        <v>#N/A</v>
      </c>
      <c r="GK13" s="81" t="e">
        <f t="shared" si="30"/>
        <v>#N/A</v>
      </c>
      <c r="GL13" s="81"/>
      <c r="GM13" s="81"/>
      <c r="GP13" s="32">
        <f t="shared" si="81"/>
        <v>3</v>
      </c>
      <c r="GQ13" s="32">
        <f t="shared" si="82"/>
        <v>4</v>
      </c>
      <c r="GR13" s="32">
        <f t="shared" si="83"/>
        <v>-3.0183664385825151</v>
      </c>
      <c r="GS13" s="32">
        <f t="shared" si="84"/>
        <v>4.1935547655993473E-3</v>
      </c>
      <c r="GT13" s="32" t="e">
        <f t="shared" si="85"/>
        <v>#N/A</v>
      </c>
      <c r="GU13" s="32" t="e">
        <f t="shared" si="86"/>
        <v>#N/A</v>
      </c>
      <c r="GV13" s="32" t="e">
        <f t="shared" si="87"/>
        <v>#N/A</v>
      </c>
      <c r="GW13" s="32" t="b">
        <f t="shared" si="88"/>
        <v>1</v>
      </c>
      <c r="GX13" s="32" t="b">
        <f t="shared" si="89"/>
        <v>0</v>
      </c>
      <c r="GY13" s="32" t="b">
        <f t="shared" si="90"/>
        <v>1</v>
      </c>
      <c r="GZ13" s="32" t="b">
        <f t="shared" si="91"/>
        <v>0</v>
      </c>
      <c r="HA13" s="32">
        <f t="shared" si="92"/>
        <v>4.1935547655993473E-3</v>
      </c>
      <c r="HB13" s="32">
        <f t="shared" si="93"/>
        <v>4.1935547655993473E-3</v>
      </c>
      <c r="HC13" s="32" t="e">
        <f t="shared" si="94"/>
        <v>#N/A</v>
      </c>
      <c r="HD13" s="45" t="str">
        <f t="shared" si="95"/>
        <v/>
      </c>
      <c r="HJ13" s="32">
        <f t="shared" si="96"/>
        <v>3</v>
      </c>
      <c r="HK13" s="32">
        <f t="shared" si="97"/>
        <v>4</v>
      </c>
      <c r="HL13" s="32">
        <f t="shared" si="98"/>
        <v>-4.6740038233211623</v>
      </c>
      <c r="HM13" s="32" t="e">
        <f t="shared" si="99"/>
        <v>#N/A</v>
      </c>
      <c r="HN13" s="32">
        <f t="shared" si="100"/>
        <v>1.3350024886192569E-3</v>
      </c>
      <c r="HO13" s="32" t="e">
        <f t="shared" si="101"/>
        <v>#N/A</v>
      </c>
      <c r="HP13" s="32" t="e">
        <f t="shared" si="102"/>
        <v>#N/A</v>
      </c>
      <c r="HQ13" s="32" t="b">
        <f t="shared" si="103"/>
        <v>1</v>
      </c>
      <c r="HR13" s="32" t="b">
        <f t="shared" si="104"/>
        <v>0</v>
      </c>
      <c r="HS13" s="32" t="b">
        <f t="shared" si="105"/>
        <v>1</v>
      </c>
      <c r="HT13" s="32" t="b">
        <f t="shared" si="106"/>
        <v>0</v>
      </c>
      <c r="HU13" s="32">
        <f t="shared" si="107"/>
        <v>1.3350024886192569E-3</v>
      </c>
      <c r="HV13" s="32">
        <f t="shared" si="108"/>
        <v>1.3350024886192569E-3</v>
      </c>
      <c r="HW13" s="32" t="e">
        <f t="shared" si="109"/>
        <v>#N/A</v>
      </c>
      <c r="HX13" s="45" t="str">
        <f t="shared" si="110"/>
        <v/>
      </c>
    </row>
    <row r="14" spans="1:235" x14ac:dyDescent="0.2">
      <c r="A14" s="3" t="s">
        <v>210</v>
      </c>
      <c r="O14" s="3" t="s">
        <v>210</v>
      </c>
      <c r="V14" s="3" t="s">
        <v>210</v>
      </c>
      <c r="BE14" s="35" t="s">
        <v>59</v>
      </c>
      <c r="BF14" s="37">
        <f>INDEX(E_g_valg[Forudsætning 2],E_g_aktiv)</f>
        <v>0</v>
      </c>
      <c r="BG14" s="37">
        <f>INDEX(E_s_valg[Forudsætning 2],E_s_aktiv)</f>
        <v>0</v>
      </c>
      <c r="BH14" s="37">
        <f>INDEX(E_a_valg[Forudsætning 2],E_a_aktiv)</f>
        <v>0</v>
      </c>
      <c r="BI14" s="37">
        <f>INDEX(E_i_valg[Forudsætning 2],E_i_aktiv)</f>
        <v>0</v>
      </c>
      <c r="BJ14" s="37" t="str">
        <f>INDEX(E_k_valg[Forudsætning 2],E_k_aktiv)</f>
        <v>Forudsætningerne for den lineære regression er opfyldt</v>
      </c>
      <c r="BL14" s="53" t="s">
        <v>29</v>
      </c>
      <c r="BM14" s="86" t="e" cm="1">
        <f t="array" ref="BM14">IF(NOT($BF$2),INDEX(E_g_valg[Teststørrelse],E_g_aktiv),NA())</f>
        <v>#N/A</v>
      </c>
      <c r="BZ14" s="32">
        <f t="shared" si="36"/>
        <v>4</v>
      </c>
      <c r="CA14" s="32">
        <f>Eu_tabel_g[[#This Row],[Indeks]]+1</f>
        <v>5</v>
      </c>
      <c r="CB14" s="32">
        <f t="shared" si="37"/>
        <v>-2.9944111493874157</v>
      </c>
      <c r="CC14" s="32">
        <f t="shared" si="38"/>
        <v>4.5067112740675413E-3</v>
      </c>
      <c r="CD14" s="32" t="e">
        <f t="shared" si="39"/>
        <v>#N/A</v>
      </c>
      <c r="CE14" s="32" t="e">
        <f t="shared" si="40"/>
        <v>#N/A</v>
      </c>
      <c r="CF14" s="32" t="e">
        <f t="shared" si="41"/>
        <v>#N/A</v>
      </c>
      <c r="CG14" s="32" t="b">
        <f t="shared" si="42"/>
        <v>1</v>
      </c>
      <c r="CH14" s="32" t="b">
        <f t="shared" si="43"/>
        <v>0</v>
      </c>
      <c r="CI14" s="32" t="b">
        <f t="shared" si="44"/>
        <v>1</v>
      </c>
      <c r="CJ14" s="32" t="b">
        <f t="shared" si="45"/>
        <v>0</v>
      </c>
      <c r="CK14" s="32">
        <f t="shared" si="111"/>
        <v>4.5067112740675413E-3</v>
      </c>
      <c r="CL14" s="32">
        <f t="shared" si="47"/>
        <v>4.5067112740675413E-3</v>
      </c>
      <c r="CM14" s="32" t="e">
        <f t="shared" si="48"/>
        <v>#N/A</v>
      </c>
      <c r="CN14" s="45" t="str">
        <f t="shared" si="49"/>
        <v/>
      </c>
      <c r="CO14" s="32">
        <f>_xlfn.NORM.DIST(_xlfn.NORM.INV(1-Eu_g_konfidensniveau,0,1)-Eu_tabel_g[[#This Row],[x base]],0,1,TRUE)</f>
        <v>0.91142102134110681</v>
      </c>
      <c r="CP14" s="32">
        <f>1-_xlfn.NORM.DIST(_xlfn.NORM.INV(Eu_g_konfidensniveau,0,1)-Eu_tabel_g[[#This Row],[x base]],0,1,TRUE)</f>
        <v>1.7482542555846692E-6</v>
      </c>
      <c r="CQ14" s="32">
        <f>_xlfn.NORM.DIST(_xlfn.NORM.INV((1-Eu_g_konfidensniveau)/2,0,1)-Eu_tabel_g[[#This Row],[x base]],0,1,TRUE)+1-_xlfn.NORM.DIST(_xlfn.NORM.INV(1-(1-Eu_g_konfidensniveau)/2,0,1)-Eu_tabel_g[[#This Row],[x base]],0,1,TRUE)</f>
        <v>0.84953678041496672</v>
      </c>
      <c r="CR14" s="32" t="e" cm="1">
        <f t="array" ref="CR14">IF($CR$3,INDEX(Eu_tabel_g[[#This Row],[Styrke venstre]:[Styrke tosidet]],CR$7),NA())</f>
        <v>#N/A</v>
      </c>
      <c r="CS14" s="52" t="e">
        <f>Eu_tabel_g[[#This Row],[Falsk positiv
Nulhypotese accepteres
Fejltype 1]]</f>
        <v>#N/A</v>
      </c>
      <c r="CT14" s="52" t="e">
        <f>IF(CHOOSE(CR$7,Eu_tabel_g[[#This Row],[x base]]&gt;0,Eu_tabel_g[[#This Row],[x base]]&lt;0,Eu_tabel_g[[#This Row],[x base]]=0),Eu_tabel_g[[#This Row],[Styrke, aktiv]],NA())</f>
        <v>#N/A</v>
      </c>
      <c r="CU14" s="52" t="e">
        <f>IFERROR(IF($CR$3,Eu_tabel_g[[#This Row],[Styrke, aktiv]],NA()),NA())</f>
        <v>#N/A</v>
      </c>
      <c r="CV14" s="52" t="e">
        <f>IF(ISNA(Eu_tabel_g[[#This Row],[Sand negativ
Nulhypotese afvises
Korrekt]]),NA(),IF($CR$3,1,NA()))</f>
        <v>#N/A</v>
      </c>
      <c r="CW14" s="34" t="str" cm="1">
        <f t="array" ref="CW14">_xlfn.SWITCH(BZ14,_xlfn.IFNA(CU$2,-99),CU$5,_xlfn.IFNA(CU$3,-99),CU$6,_xlfn.IFNA(CU$4,-99),CU$7,"")</f>
        <v/>
      </c>
      <c r="DA14" s="7">
        <f t="shared" si="50"/>
        <v>0.80000000000000271</v>
      </c>
      <c r="DB14">
        <f>IF(ROW(Styrkeberegning_G[[#This Row],[X base venstre]])=ROW(Styrkeberegning_G[[#Headers],[X base venstre]])+1,DB$7/(DA$7/$B$67),DB13/(DA13/$B$67))</f>
        <v>-2.8015817870135882</v>
      </c>
      <c r="DC14">
        <f>Styrkeberegning_G[[#This Row],[X base venstre]]*-1</f>
        <v>2.8015817870135882</v>
      </c>
      <c r="DN14" s="32">
        <f t="shared" si="51"/>
        <v>4</v>
      </c>
      <c r="DO14" s="32">
        <f t="shared" si="52"/>
        <v>5</v>
      </c>
      <c r="DP14" s="32">
        <f t="shared" si="53"/>
        <v>2.2901360903216945</v>
      </c>
      <c r="DQ14" s="32" t="e">
        <f t="shared" si="54"/>
        <v>#N/A</v>
      </c>
      <c r="DR14" s="32" t="e">
        <f t="shared" si="55"/>
        <v>#N/A</v>
      </c>
      <c r="DS14" s="32">
        <f t="shared" si="56"/>
        <v>5.5918734303673726E-3</v>
      </c>
      <c r="DT14" s="32" t="e">
        <f t="shared" si="57"/>
        <v>#N/A</v>
      </c>
      <c r="DU14" s="32" t="b">
        <f t="shared" si="58"/>
        <v>1</v>
      </c>
      <c r="DV14" s="32" t="b">
        <f t="shared" si="59"/>
        <v>0</v>
      </c>
      <c r="DW14" s="32" t="b">
        <f t="shared" si="60"/>
        <v>1</v>
      </c>
      <c r="DX14" s="32" t="b">
        <f t="shared" si="61"/>
        <v>0</v>
      </c>
      <c r="DY14" s="32">
        <f t="shared" si="62"/>
        <v>5.5918734303673726E-3</v>
      </c>
      <c r="DZ14" s="32">
        <f t="shared" si="63"/>
        <v>5.5918734303673726E-3</v>
      </c>
      <c r="EA14" s="32" t="e">
        <f t="shared" si="64"/>
        <v>#N/A</v>
      </c>
      <c r="EB14" s="45" t="str">
        <f t="shared" si="65"/>
        <v/>
      </c>
      <c r="EG14" s="32">
        <f t="shared" si="66"/>
        <v>4</v>
      </c>
      <c r="EH14" s="32">
        <f t="shared" si="67"/>
        <v>5</v>
      </c>
      <c r="EI14" s="32">
        <f t="shared" si="68"/>
        <v>-2.9944111493874157</v>
      </c>
      <c r="EJ14" s="32">
        <f t="shared" si="69"/>
        <v>4.5067112740675413E-3</v>
      </c>
      <c r="EK14" s="32" t="e">
        <f t="shared" si="70"/>
        <v>#N/A</v>
      </c>
      <c r="EL14" s="32" t="e">
        <f t="shared" si="71"/>
        <v>#N/A</v>
      </c>
      <c r="EM14" s="32" t="e">
        <f t="shared" si="72"/>
        <v>#N/A</v>
      </c>
      <c r="EN14" s="32" t="b">
        <f t="shared" si="73"/>
        <v>1</v>
      </c>
      <c r="EO14" s="32" t="b">
        <f t="shared" si="74"/>
        <v>0</v>
      </c>
      <c r="EP14" s="32" t="b">
        <f t="shared" si="75"/>
        <v>1</v>
      </c>
      <c r="EQ14" s="32" t="b">
        <f t="shared" si="76"/>
        <v>0</v>
      </c>
      <c r="ER14" s="32">
        <f t="shared" si="77"/>
        <v>4.5067112740675413E-3</v>
      </c>
      <c r="ES14" s="32">
        <f t="shared" si="78"/>
        <v>4.5067112740675413E-3</v>
      </c>
      <c r="ET14" s="32" t="e">
        <f t="shared" si="79"/>
        <v>#N/A</v>
      </c>
      <c r="EU14" s="45" t="str">
        <f t="shared" si="80"/>
        <v/>
      </c>
      <c r="EV1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 s="32" t="e" cm="1">
        <f t="array" ref="EY14">IF($CR$3,INDEX(Eu_tabel_a[[#This Row],[Styrke venstre]:[Styrke tosidet]],EY$7),NA())</f>
        <v>#N/A</v>
      </c>
      <c r="EZ14" s="32" t="e">
        <f>IF(EY$3,IF(CHOOSE(EY$7,Eu_tabel_a[[#This Row],[x base]]&gt;0,Eu_tabel_a[[#This Row],[x base]]&lt;0,Eu_tabel_a[[#This Row],[x base]]=0),1,NA()),NA())</f>
        <v>#N/A</v>
      </c>
      <c r="FA14" s="32" t="e">
        <f>IF(CHOOSE(EY$7,Eu_tabel_a[[#This Row],[x base]]&gt;0,Eu_tabel_a[[#This Row],[x base]]&lt;0,Eu_tabel_a[[#This Row],[x base]]=0),Eu_tabel_a[[#This Row],[Styrke, aktiv]],NA())</f>
        <v>#N/A</v>
      </c>
      <c r="FB14" s="32" t="e">
        <f>IFERROR(IF($EY$3,Eu_tabel_a[[#This Row],[Styrke, aktiv]],NA()),NA())</f>
        <v>#N/A</v>
      </c>
      <c r="FC14" s="32" t="e">
        <f>IF(ISNA(Eu_tabel_a[[#This Row],[Sand negativ
Nulhypotese afvises
Korrekt]]),NA(),IF(EY$3,1,NA()))</f>
        <v>#N/A</v>
      </c>
      <c r="FD14" s="33" t="str" cm="1">
        <f t="array" ref="FD14">IFERROR(_xlfn.SWITCH(Eu_tabel_a[[#This Row],[Indeks]],_xlfn.IFNA(FB$2,-99),FB$5,_xlfn.IFNA(FB$3,-99),FB$6,_xlfn.IFNA(FB$4,-99),FB$7,""),"")</f>
        <v/>
      </c>
      <c r="FE14" s="32">
        <f>Eu_tabel_a[[#This Row],[x base]]*SQRT(Eu_a_h0_x*(1-Eu_a_h0_x)/Eu_a_n_x)+Eu_a_h0_x</f>
        <v>0</v>
      </c>
      <c r="FJ14" s="74" t="e">
        <f t="shared" si="18"/>
        <v>#N/A</v>
      </c>
      <c r="FK14" s="82" t="e">
        <f t="shared" si="31"/>
        <v>#DIV/0!</v>
      </c>
      <c r="FL14" s="7" t="e">
        <f t="shared" si="12"/>
        <v>#DIV/0!</v>
      </c>
      <c r="FM14" t="e">
        <f t="shared" si="32"/>
        <v>#DIV/0!</v>
      </c>
      <c r="FN14" s="8" t="e">
        <f t="shared" si="33"/>
        <v>#DIV/0!</v>
      </c>
      <c r="FO14" s="8" t="e">
        <f t="shared" si="34"/>
        <v>#DIV/0!</v>
      </c>
      <c r="FP14" s="81" t="e">
        <f t="shared" si="35"/>
        <v>#DIV/0!</v>
      </c>
      <c r="FQ14" s="74" t="e">
        <f t="shared" ca="1" si="13"/>
        <v>#N/A</v>
      </c>
      <c r="FR14" s="82" t="e" vm="3">
        <f t="shared" ca="1" si="19"/>
        <v>#VALUE!</v>
      </c>
      <c r="FS14" s="7" t="e" vm="3">
        <f t="shared" ca="1" si="14"/>
        <v>#VALUE!</v>
      </c>
      <c r="FT14" t="e" vm="3">
        <f t="shared" ca="1" si="8"/>
        <v>#VALUE!</v>
      </c>
      <c r="FU14" s="8" t="e" vm="3">
        <f t="shared" ca="1" si="9"/>
        <v>#VALUE!</v>
      </c>
      <c r="FV14" s="8" t="e" vm="3">
        <f t="shared" ca="1" si="10"/>
        <v>#VALUE!</v>
      </c>
      <c r="FW14" s="81" t="e" vm="3">
        <f t="shared" ca="1" si="11"/>
        <v>#VALUE!</v>
      </c>
      <c r="FX14" s="74" t="e">
        <f t="shared" si="15"/>
        <v>#N/A</v>
      </c>
      <c r="FY14" s="82" t="e">
        <f t="shared" si="20"/>
        <v>#N/A</v>
      </c>
      <c r="FZ14" s="7" t="e">
        <f t="shared" si="16"/>
        <v>#N/A</v>
      </c>
      <c r="GA14" t="e">
        <f t="shared" si="21"/>
        <v>#N/A</v>
      </c>
      <c r="GB14" s="8" t="e">
        <f t="shared" si="22"/>
        <v>#N/A</v>
      </c>
      <c r="GC14" s="8" t="e">
        <f t="shared" si="23"/>
        <v>#N/A</v>
      </c>
      <c r="GD14" s="81" t="e">
        <f t="shared" si="24"/>
        <v>#N/A</v>
      </c>
      <c r="GE14" s="74" t="e">
        <f t="shared" si="25"/>
        <v>#N/A</v>
      </c>
      <c r="GF14" s="82" t="e">
        <f t="shared" si="26"/>
        <v>#N/A</v>
      </c>
      <c r="GG14" s="7" t="e">
        <f t="shared" si="17"/>
        <v>#N/A</v>
      </c>
      <c r="GH14" t="e">
        <f t="shared" si="27"/>
        <v>#N/A</v>
      </c>
      <c r="GI14" s="8" t="e">
        <f t="shared" si="28"/>
        <v>#N/A</v>
      </c>
      <c r="GJ14" s="8" t="e">
        <f t="shared" si="29"/>
        <v>#N/A</v>
      </c>
      <c r="GK14" s="81" t="e">
        <f t="shared" si="30"/>
        <v>#N/A</v>
      </c>
      <c r="GL14" s="81"/>
      <c r="GM14" s="81"/>
      <c r="GP14" s="32">
        <f t="shared" si="81"/>
        <v>4</v>
      </c>
      <c r="GQ14" s="32">
        <f t="shared" si="82"/>
        <v>5</v>
      </c>
      <c r="GR14" s="32">
        <f t="shared" si="83"/>
        <v>-2.9944111493874157</v>
      </c>
      <c r="GS14" s="32">
        <f t="shared" si="84"/>
        <v>4.5067112740675413E-3</v>
      </c>
      <c r="GT14" s="32" t="e">
        <f t="shared" si="85"/>
        <v>#N/A</v>
      </c>
      <c r="GU14" s="32" t="e">
        <f t="shared" si="86"/>
        <v>#N/A</v>
      </c>
      <c r="GV14" s="32" t="e">
        <f t="shared" si="87"/>
        <v>#N/A</v>
      </c>
      <c r="GW14" s="32" t="b">
        <f t="shared" si="88"/>
        <v>1</v>
      </c>
      <c r="GX14" s="32" t="b">
        <f t="shared" si="89"/>
        <v>0</v>
      </c>
      <c r="GY14" s="32" t="b">
        <f t="shared" si="90"/>
        <v>1</v>
      </c>
      <c r="GZ14" s="32" t="b">
        <f t="shared" si="91"/>
        <v>0</v>
      </c>
      <c r="HA14" s="32">
        <f t="shared" si="92"/>
        <v>4.5067112740675413E-3</v>
      </c>
      <c r="HB14" s="32">
        <f t="shared" si="93"/>
        <v>4.5067112740675413E-3</v>
      </c>
      <c r="HC14" s="32" t="e">
        <f t="shared" si="94"/>
        <v>#N/A</v>
      </c>
      <c r="HD14" s="45" t="str">
        <f t="shared" si="95"/>
        <v/>
      </c>
      <c r="HJ14" s="32">
        <f t="shared" si="96"/>
        <v>4</v>
      </c>
      <c r="HK14" s="32">
        <f t="shared" si="97"/>
        <v>5</v>
      </c>
      <c r="HL14" s="32">
        <f t="shared" si="98"/>
        <v>-4.6369085548821056</v>
      </c>
      <c r="HM14" s="32" t="e">
        <f t="shared" si="99"/>
        <v>#N/A</v>
      </c>
      <c r="HN14" s="32">
        <f t="shared" si="100"/>
        <v>1.4009017297980497E-3</v>
      </c>
      <c r="HO14" s="32" t="e">
        <f t="shared" si="101"/>
        <v>#N/A</v>
      </c>
      <c r="HP14" s="32" t="e">
        <f t="shared" si="102"/>
        <v>#N/A</v>
      </c>
      <c r="HQ14" s="32" t="b">
        <f t="shared" si="103"/>
        <v>1</v>
      </c>
      <c r="HR14" s="32" t="b">
        <f t="shared" si="104"/>
        <v>0</v>
      </c>
      <c r="HS14" s="32" t="b">
        <f t="shared" si="105"/>
        <v>1</v>
      </c>
      <c r="HT14" s="32" t="b">
        <f t="shared" si="106"/>
        <v>0</v>
      </c>
      <c r="HU14" s="32">
        <f t="shared" si="107"/>
        <v>1.4009017297980497E-3</v>
      </c>
      <c r="HV14" s="32">
        <f t="shared" si="108"/>
        <v>1.4009017297980497E-3</v>
      </c>
      <c r="HW14" s="32" t="e">
        <f t="shared" si="109"/>
        <v>#N/A</v>
      </c>
      <c r="HX14" s="45" t="str">
        <f t="shared" si="110"/>
        <v/>
      </c>
    </row>
    <row r="15" spans="1:235" x14ac:dyDescent="0.2">
      <c r="A15" s="35" t="s">
        <v>4</v>
      </c>
      <c r="B15" s="30">
        <v>0.95</v>
      </c>
      <c r="C15" s="53" t="s">
        <v>201</v>
      </c>
      <c r="H15" s="3" t="s">
        <v>210</v>
      </c>
      <c r="O15" s="35" t="s">
        <v>4</v>
      </c>
      <c r="P15" s="30">
        <v>0.95</v>
      </c>
      <c r="Q15" s="53" t="s">
        <v>308</v>
      </c>
      <c r="V15" s="35" t="s">
        <v>4</v>
      </c>
      <c r="W15" s="30">
        <v>0.95</v>
      </c>
      <c r="X15" s="53" t="s">
        <v>201</v>
      </c>
      <c r="AC15" s="3" t="s">
        <v>210</v>
      </c>
      <c r="BE15" s="35" t="s">
        <v>63</v>
      </c>
      <c r="BF15" s="37" t="str">
        <f>INDEX(E_g_valg[Forudsætning 3],E_g_aktiv)</f>
        <v>Antal observationer er større end 30</v>
      </c>
      <c r="BG15" s="37">
        <f>INDEX(E_s_valg[Forudsætning 3],E_s_aktiv)</f>
        <v>0</v>
      </c>
      <c r="BH15" s="37" t="str">
        <f>INDEX(E_a_valg[Forudsætning 3],E_a_aktiv)</f>
        <v>Forudsætningsformlen n * p̂ * ( 1 - p̂ ) &gt; 9 er opfyldt</v>
      </c>
      <c r="BI15" s="37" t="str">
        <f>INDEX(E_i_valg[Forudsætning 3],E_i_aktiv)</f>
        <v>Forudsætningsformlen λ̂ * n &gt; 9 er opfyldt</v>
      </c>
      <c r="BJ15" s="37">
        <f>INDEX(E_k_valg[Forudsætning 3],E_k_aktiv)</f>
        <v>0</v>
      </c>
      <c r="BL15" s="53" t="s">
        <v>209</v>
      </c>
      <c r="BM15" s="87" t="e" cm="1">
        <f t="array" ref="BM15">IF(NOT($BF$2),INDEX(E_g_valg[p-værdi],E_g_aktiv),NA())</f>
        <v>#N/A</v>
      </c>
      <c r="BZ15" s="32">
        <f t="shared" si="36"/>
        <v>5</v>
      </c>
      <c r="CA15" s="32">
        <f>Eu_tabel_g[[#This Row],[Indeks]]+1</f>
        <v>6</v>
      </c>
      <c r="CB15" s="32">
        <f t="shared" si="37"/>
        <v>-2.9704558601923168</v>
      </c>
      <c r="CC15" s="32">
        <f t="shared" si="38"/>
        <v>4.8404744224978778E-3</v>
      </c>
      <c r="CD15" s="32" t="e">
        <f t="shared" si="39"/>
        <v>#N/A</v>
      </c>
      <c r="CE15" s="32" t="e">
        <f t="shared" si="40"/>
        <v>#N/A</v>
      </c>
      <c r="CF15" s="32" t="e">
        <f t="shared" si="41"/>
        <v>#N/A</v>
      </c>
      <c r="CG15" s="32" t="b">
        <f t="shared" si="42"/>
        <v>1</v>
      </c>
      <c r="CH15" s="32" t="b">
        <f t="shared" si="43"/>
        <v>0</v>
      </c>
      <c r="CI15" s="32" t="b">
        <f t="shared" si="44"/>
        <v>1</v>
      </c>
      <c r="CJ15" s="32" t="b">
        <f t="shared" si="45"/>
        <v>0</v>
      </c>
      <c r="CK15" s="32">
        <f t="shared" si="111"/>
        <v>4.8404744224978778E-3</v>
      </c>
      <c r="CL15" s="32">
        <f t="shared" si="47"/>
        <v>4.8404744224978778E-3</v>
      </c>
      <c r="CM15" s="32" t="e">
        <f t="shared" si="48"/>
        <v>#N/A</v>
      </c>
      <c r="CN15" s="45" t="str">
        <f t="shared" si="49"/>
        <v/>
      </c>
      <c r="CO15" s="32">
        <f>_xlfn.NORM.DIST(_xlfn.NORM.INV(1-Eu_g_konfidensniveau,0,1)-Eu_tabel_g[[#This Row],[x base]],0,1,TRUE)</f>
        <v>0.90751425694156995</v>
      </c>
      <c r="CP15" s="32">
        <f>1-_xlfn.NORM.DIST(_xlfn.NORM.INV(Eu_g_konfidensniveau,0,1)-Eu_tabel_g[[#This Row],[x base]],0,1,TRUE)</f>
        <v>1.9625497901243349E-6</v>
      </c>
      <c r="CQ15" s="32">
        <f>_xlfn.NORM.DIST(_xlfn.NORM.INV((1-Eu_g_konfidensniveau)/2,0,1)-Eu_tabel_g[[#This Row],[x base]],0,1,TRUE)+1-_xlfn.NORM.DIST(_xlfn.NORM.INV(1-(1-Eu_g_konfidensniveau)/2,0,1)-Eu_tabel_g[[#This Row],[x base]],0,1,TRUE)</f>
        <v>0.84387056532820104</v>
      </c>
      <c r="CR15" s="32" t="e" cm="1">
        <f t="array" ref="CR15">IF($CR$3,INDEX(Eu_tabel_g[[#This Row],[Styrke venstre]:[Styrke tosidet]],CR$7),NA())</f>
        <v>#N/A</v>
      </c>
      <c r="CS15" s="52" t="e">
        <f>Eu_tabel_g[[#This Row],[Falsk positiv
Nulhypotese accepteres
Fejltype 1]]</f>
        <v>#N/A</v>
      </c>
      <c r="CT15" s="52" t="e">
        <f>IF(CHOOSE(CR$7,Eu_tabel_g[[#This Row],[x base]]&gt;0,Eu_tabel_g[[#This Row],[x base]]&lt;0,Eu_tabel_g[[#This Row],[x base]]=0),Eu_tabel_g[[#This Row],[Styrke, aktiv]],NA())</f>
        <v>#N/A</v>
      </c>
      <c r="CU15" s="52" t="e">
        <f>IFERROR(IF($CR$3,Eu_tabel_g[[#This Row],[Styrke, aktiv]],NA()),NA())</f>
        <v>#N/A</v>
      </c>
      <c r="CV15" s="52" t="e">
        <f>IF(ISNA(Eu_tabel_g[[#This Row],[Sand negativ
Nulhypotese afvises
Korrekt]]),NA(),IF($CR$3,1,NA()))</f>
        <v>#N/A</v>
      </c>
      <c r="CW15" s="34" t="str" cm="1">
        <f t="array" ref="CW15">_xlfn.SWITCH(BZ15,_xlfn.IFNA(CU$2,-99),CU$5,_xlfn.IFNA(CU$3,-99),CU$6,_xlfn.IFNA(CU$4,-99),CU$7,"")</f>
        <v/>
      </c>
      <c r="DA15" s="7">
        <f t="shared" si="50"/>
        <v>0.80000000000000027</v>
      </c>
      <c r="DB15">
        <f>IF(ROW(Styrkeberegning_G[[#This Row],[X base venstre]])=ROW(Styrkeberegning_G[[#Headers],[X base venstre]])+1,DB$7/(DA$7/$B$67),DB14/(DA14/$B$67))</f>
        <v>-2.8015817870135789</v>
      </c>
      <c r="DC15">
        <f>Styrkeberegning_G[[#This Row],[X base venstre]]*-1</f>
        <v>2.8015817870135789</v>
      </c>
      <c r="DN15" s="32">
        <f t="shared" si="51"/>
        <v>5</v>
      </c>
      <c r="DO15" s="32">
        <f t="shared" si="52"/>
        <v>6</v>
      </c>
      <c r="DP15" s="32">
        <f t="shared" si="53"/>
        <v>2.4042069467386953</v>
      </c>
      <c r="DQ15" s="32" t="e">
        <f t="shared" si="54"/>
        <v>#N/A</v>
      </c>
      <c r="DR15" s="32" t="e">
        <f t="shared" si="55"/>
        <v>#N/A</v>
      </c>
      <c r="DS15" s="32">
        <f t="shared" si="56"/>
        <v>6.5733183610466994E-3</v>
      </c>
      <c r="DT15" s="32" t="e">
        <f t="shared" si="57"/>
        <v>#N/A</v>
      </c>
      <c r="DU15" s="32" t="b">
        <f t="shared" si="58"/>
        <v>1</v>
      </c>
      <c r="DV15" s="32" t="b">
        <f t="shared" si="59"/>
        <v>0</v>
      </c>
      <c r="DW15" s="32" t="b">
        <f t="shared" si="60"/>
        <v>1</v>
      </c>
      <c r="DX15" s="32" t="b">
        <f t="shared" si="61"/>
        <v>0</v>
      </c>
      <c r="DY15" s="32">
        <f t="shared" si="62"/>
        <v>6.5733183610466994E-3</v>
      </c>
      <c r="DZ15" s="32">
        <f t="shared" si="63"/>
        <v>6.5733183610466994E-3</v>
      </c>
      <c r="EA15" s="32" t="e">
        <f t="shared" si="64"/>
        <v>#N/A</v>
      </c>
      <c r="EB15" s="45" t="str">
        <f t="shared" si="65"/>
        <v/>
      </c>
      <c r="EG15" s="32">
        <f t="shared" si="66"/>
        <v>5</v>
      </c>
      <c r="EH15" s="32">
        <f t="shared" si="67"/>
        <v>6</v>
      </c>
      <c r="EI15" s="32">
        <f t="shared" si="68"/>
        <v>-2.9704558601923168</v>
      </c>
      <c r="EJ15" s="32">
        <f t="shared" si="69"/>
        <v>4.8404744224978778E-3</v>
      </c>
      <c r="EK15" s="32" t="e">
        <f t="shared" si="70"/>
        <v>#N/A</v>
      </c>
      <c r="EL15" s="32" t="e">
        <f t="shared" si="71"/>
        <v>#N/A</v>
      </c>
      <c r="EM15" s="32" t="e">
        <f t="shared" si="72"/>
        <v>#N/A</v>
      </c>
      <c r="EN15" s="32" t="b">
        <f t="shared" si="73"/>
        <v>1</v>
      </c>
      <c r="EO15" s="32" t="b">
        <f t="shared" si="74"/>
        <v>0</v>
      </c>
      <c r="EP15" s="32" t="b">
        <f t="shared" si="75"/>
        <v>1</v>
      </c>
      <c r="EQ15" s="32" t="b">
        <f t="shared" si="76"/>
        <v>0</v>
      </c>
      <c r="ER15" s="32">
        <f t="shared" si="77"/>
        <v>4.8404744224978778E-3</v>
      </c>
      <c r="ES15" s="32">
        <f t="shared" si="78"/>
        <v>4.8404744224978778E-3</v>
      </c>
      <c r="ET15" s="32" t="e">
        <f t="shared" si="79"/>
        <v>#N/A</v>
      </c>
      <c r="EU15" s="45" t="str">
        <f t="shared" si="80"/>
        <v/>
      </c>
      <c r="EV1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 s="32" t="e" cm="1">
        <f t="array" ref="EY15">IF($CR$3,INDEX(Eu_tabel_a[[#This Row],[Styrke venstre]:[Styrke tosidet]],EY$7),NA())</f>
        <v>#N/A</v>
      </c>
      <c r="EZ15" s="32" t="e">
        <f>IF(EY$3,IF(CHOOSE(EY$7,Eu_tabel_a[[#This Row],[x base]]&gt;0,Eu_tabel_a[[#This Row],[x base]]&lt;0,Eu_tabel_a[[#This Row],[x base]]=0),1,NA()),NA())</f>
        <v>#N/A</v>
      </c>
      <c r="FA15" s="32" t="e">
        <f>IF(CHOOSE(EY$7,Eu_tabel_a[[#This Row],[x base]]&gt;0,Eu_tabel_a[[#This Row],[x base]]&lt;0,Eu_tabel_a[[#This Row],[x base]]=0),Eu_tabel_a[[#This Row],[Styrke, aktiv]],NA())</f>
        <v>#N/A</v>
      </c>
      <c r="FB15" s="32" t="e">
        <f>IFERROR(IF($EY$3,Eu_tabel_a[[#This Row],[Styrke, aktiv]],NA()),NA())</f>
        <v>#N/A</v>
      </c>
      <c r="FC15" s="32" t="e">
        <f>IF(ISNA(Eu_tabel_a[[#This Row],[Sand negativ
Nulhypotese afvises
Korrekt]]),NA(),IF(EY$3,1,NA()))</f>
        <v>#N/A</v>
      </c>
      <c r="FD15" s="33" t="str" cm="1">
        <f t="array" ref="FD15">IFERROR(_xlfn.SWITCH(Eu_tabel_a[[#This Row],[Indeks]],_xlfn.IFNA(FB$2,-99),FB$5,_xlfn.IFNA(FB$3,-99),FB$6,_xlfn.IFNA(FB$4,-99),FB$7,""),"")</f>
        <v/>
      </c>
      <c r="FE15" s="32">
        <f>Eu_tabel_a[[#This Row],[x base]]*SQRT(Eu_a_h0_x*(1-Eu_a_h0_x)/Eu_a_n_x)+Eu_a_h0_x</f>
        <v>0</v>
      </c>
      <c r="FJ15" s="74" t="e">
        <f t="shared" si="18"/>
        <v>#N/A</v>
      </c>
      <c r="FK15" s="82" t="e">
        <f t="shared" si="31"/>
        <v>#DIV/0!</v>
      </c>
      <c r="FL15" s="7" t="e">
        <f t="shared" si="12"/>
        <v>#DIV/0!</v>
      </c>
      <c r="FM15" t="e">
        <f t="shared" si="32"/>
        <v>#DIV/0!</v>
      </c>
      <c r="FN15" s="8" t="e">
        <f t="shared" si="33"/>
        <v>#DIV/0!</v>
      </c>
      <c r="FO15" s="8" t="e">
        <f t="shared" si="34"/>
        <v>#DIV/0!</v>
      </c>
      <c r="FP15" s="81" t="e">
        <f t="shared" si="35"/>
        <v>#DIV/0!</v>
      </c>
      <c r="FQ15" s="74" t="e">
        <f t="shared" ca="1" si="13"/>
        <v>#N/A</v>
      </c>
      <c r="FR15" s="82" t="e" vm="3">
        <f t="shared" ca="1" si="19"/>
        <v>#VALUE!</v>
      </c>
      <c r="FS15" s="7" t="e" vm="3">
        <f t="shared" ca="1" si="14"/>
        <v>#VALUE!</v>
      </c>
      <c r="FT15" t="e" vm="3">
        <f t="shared" ca="1" si="8"/>
        <v>#VALUE!</v>
      </c>
      <c r="FU15" s="8" t="e" vm="3">
        <f t="shared" ca="1" si="9"/>
        <v>#VALUE!</v>
      </c>
      <c r="FV15" s="8" t="e" vm="3">
        <f t="shared" ca="1" si="10"/>
        <v>#VALUE!</v>
      </c>
      <c r="FW15" s="81" t="e" vm="3">
        <f t="shared" ca="1" si="11"/>
        <v>#VALUE!</v>
      </c>
      <c r="FX15" s="74" t="e">
        <f t="shared" si="15"/>
        <v>#N/A</v>
      </c>
      <c r="FY15" s="82" t="e">
        <f t="shared" si="20"/>
        <v>#N/A</v>
      </c>
      <c r="FZ15" s="7" t="e">
        <f t="shared" si="16"/>
        <v>#N/A</v>
      </c>
      <c r="GA15" t="e">
        <f t="shared" si="21"/>
        <v>#N/A</v>
      </c>
      <c r="GB15" s="8" t="e">
        <f t="shared" si="22"/>
        <v>#N/A</v>
      </c>
      <c r="GC15" s="8" t="e">
        <f t="shared" si="23"/>
        <v>#N/A</v>
      </c>
      <c r="GD15" s="81" t="e">
        <f t="shared" si="24"/>
        <v>#N/A</v>
      </c>
      <c r="GE15" s="74" t="e">
        <f t="shared" si="25"/>
        <v>#N/A</v>
      </c>
      <c r="GF15" s="82" t="e">
        <f t="shared" si="26"/>
        <v>#N/A</v>
      </c>
      <c r="GG15" s="7" t="e">
        <f t="shared" si="17"/>
        <v>#N/A</v>
      </c>
      <c r="GH15" t="e">
        <f t="shared" si="27"/>
        <v>#N/A</v>
      </c>
      <c r="GI15" s="8" t="e">
        <f t="shared" si="28"/>
        <v>#N/A</v>
      </c>
      <c r="GJ15" s="8" t="e">
        <f t="shared" si="29"/>
        <v>#N/A</v>
      </c>
      <c r="GK15" s="81" t="e">
        <f t="shared" si="30"/>
        <v>#N/A</v>
      </c>
      <c r="GL15" s="81"/>
      <c r="GM15" s="81"/>
      <c r="GP15" s="32">
        <f t="shared" si="81"/>
        <v>5</v>
      </c>
      <c r="GQ15" s="32">
        <f t="shared" si="82"/>
        <v>6</v>
      </c>
      <c r="GR15" s="32">
        <f t="shared" si="83"/>
        <v>-2.9704558601923168</v>
      </c>
      <c r="GS15" s="32">
        <f t="shared" si="84"/>
        <v>4.8404744224978778E-3</v>
      </c>
      <c r="GT15" s="32" t="e">
        <f t="shared" si="85"/>
        <v>#N/A</v>
      </c>
      <c r="GU15" s="32" t="e">
        <f t="shared" si="86"/>
        <v>#N/A</v>
      </c>
      <c r="GV15" s="32" t="e">
        <f t="shared" si="87"/>
        <v>#N/A</v>
      </c>
      <c r="GW15" s="32" t="b">
        <f t="shared" si="88"/>
        <v>1</v>
      </c>
      <c r="GX15" s="32" t="b">
        <f t="shared" si="89"/>
        <v>0</v>
      </c>
      <c r="GY15" s="32" t="b">
        <f t="shared" si="90"/>
        <v>1</v>
      </c>
      <c r="GZ15" s="32" t="b">
        <f t="shared" si="91"/>
        <v>0</v>
      </c>
      <c r="HA15" s="32">
        <f t="shared" si="92"/>
        <v>4.8404744224978778E-3</v>
      </c>
      <c r="HB15" s="32">
        <f t="shared" si="93"/>
        <v>4.8404744224978778E-3</v>
      </c>
      <c r="HC15" s="32" t="e">
        <f t="shared" si="94"/>
        <v>#N/A</v>
      </c>
      <c r="HD15" s="45" t="str">
        <f t="shared" si="95"/>
        <v/>
      </c>
      <c r="HJ15" s="32">
        <f t="shared" si="96"/>
        <v>5</v>
      </c>
      <c r="HK15" s="32">
        <f t="shared" si="97"/>
        <v>6</v>
      </c>
      <c r="HL15" s="32">
        <f t="shared" si="98"/>
        <v>-4.599813286443049</v>
      </c>
      <c r="HM15" s="32" t="e">
        <f t="shared" si="99"/>
        <v>#N/A</v>
      </c>
      <c r="HN15" s="32">
        <f t="shared" si="100"/>
        <v>1.4703428466840097E-3</v>
      </c>
      <c r="HO15" s="32" t="e">
        <f t="shared" si="101"/>
        <v>#N/A</v>
      </c>
      <c r="HP15" s="32" t="e">
        <f t="shared" si="102"/>
        <v>#N/A</v>
      </c>
      <c r="HQ15" s="32" t="b">
        <f t="shared" si="103"/>
        <v>1</v>
      </c>
      <c r="HR15" s="32" t="b">
        <f t="shared" si="104"/>
        <v>0</v>
      </c>
      <c r="HS15" s="32" t="b">
        <f t="shared" si="105"/>
        <v>1</v>
      </c>
      <c r="HT15" s="32" t="b">
        <f t="shared" si="106"/>
        <v>0</v>
      </c>
      <c r="HU15" s="32">
        <f t="shared" si="107"/>
        <v>1.4703428466840097E-3</v>
      </c>
      <c r="HV15" s="32">
        <f t="shared" si="108"/>
        <v>1.4703428466840097E-3</v>
      </c>
      <c r="HW15" s="32" t="e">
        <f t="shared" si="109"/>
        <v>#N/A</v>
      </c>
      <c r="HX15" s="45" t="str">
        <f t="shared" si="110"/>
        <v/>
      </c>
    </row>
    <row r="16" spans="1:235" x14ac:dyDescent="0.2">
      <c r="A16" s="35" t="s">
        <v>202</v>
      </c>
      <c r="B16" s="46">
        <v>1</v>
      </c>
      <c r="C16" s="54" cm="1">
        <f t="array" ref="C16">IFERROR(IF(BF2,INDEX(E_g_valg[Stikprøvestørrelse for ønsket fejlmargin],E_g_aktiv),NA()),NA())</f>
        <v>72</v>
      </c>
      <c r="H16" s="35" t="s">
        <v>4</v>
      </c>
      <c r="I16" s="30">
        <v>0.95</v>
      </c>
      <c r="O16" s="35" t="s">
        <v>202</v>
      </c>
      <c r="P16" s="47">
        <v>0.01</v>
      </c>
      <c r="Q16" s="54" cm="1">
        <f t="array" ref="Q16">IFERROR(IF(BH2,INDEX(E_a_valg[Stikprøvestørrelse for ønsket fejlmargin],E_a_aktiv),NA()),NA())</f>
        <v>9337</v>
      </c>
      <c r="V16" s="35" t="s">
        <v>202</v>
      </c>
      <c r="W16" s="46">
        <v>1</v>
      </c>
      <c r="X16" s="54" cm="1">
        <f t="array" ref="X16">IFERROR(IF(BI2,INDEX(E_i_valg[Stikprøvestørrelse for ønsket fejlmargin],E_i_aktiv),NA()),NA())</f>
        <v>8</v>
      </c>
      <c r="AC16" s="35" t="s">
        <v>4</v>
      </c>
      <c r="AD16" s="30">
        <v>0.95</v>
      </c>
      <c r="BE16" s="35" t="s">
        <v>68</v>
      </c>
      <c r="BF16" s="37" t="str">
        <f>INDEX(E_g_valg[Forudsætning 4],E_g_aktiv)</f>
        <v>Standardafvigelse i populationen er ikke kendt</v>
      </c>
      <c r="BG16" s="37" t="str">
        <f>INDEX(E_s_valg[Forudsætning 4],E_s_aktiv)</f>
        <v>Populationen er normalfordelt</v>
      </c>
      <c r="BH16" s="37">
        <f>INDEX(E_a_valg[Forudsætning 4],E_a_aktiv)</f>
        <v>0</v>
      </c>
      <c r="BI16" s="37">
        <f>INDEX(E_i_valg[Forudsætning 4],E_i_aktiv)</f>
        <v>0</v>
      </c>
      <c r="BJ16" s="37">
        <f>INDEX(E_k_valg[Forudsætning 4],E_k_aktiv)</f>
        <v>0</v>
      </c>
      <c r="BL16" s="53" t="s">
        <v>248</v>
      </c>
      <c r="BM16" s="87" t="e" cm="1">
        <f t="array" ref="BM16">IF(NOT($BF$2),IF(INDEX(E_g_valg[Nulhypotese kan ikke afvises],E_g_aktiv),"Nulhypotese kan ikke afvises","Nulhypotese afvises"),NA())</f>
        <v>#N/A</v>
      </c>
      <c r="BZ16" s="32">
        <f t="shared" si="36"/>
        <v>6</v>
      </c>
      <c r="CA16" s="32">
        <f>Eu_tabel_g[[#This Row],[Indeks]]+1</f>
        <v>7</v>
      </c>
      <c r="CB16" s="32">
        <f t="shared" si="37"/>
        <v>-2.9465005709972174</v>
      </c>
      <c r="CC16" s="32">
        <f t="shared" si="38"/>
        <v>5.1959731862444456E-3</v>
      </c>
      <c r="CD16" s="32" t="e">
        <f t="shared" si="39"/>
        <v>#N/A</v>
      </c>
      <c r="CE16" s="32" t="e">
        <f t="shared" si="40"/>
        <v>#N/A</v>
      </c>
      <c r="CF16" s="32" t="e">
        <f t="shared" si="41"/>
        <v>#N/A</v>
      </c>
      <c r="CG16" s="32" t="b">
        <f t="shared" si="42"/>
        <v>1</v>
      </c>
      <c r="CH16" s="32" t="b">
        <f t="shared" si="43"/>
        <v>0</v>
      </c>
      <c r="CI16" s="32" t="b">
        <f t="shared" si="44"/>
        <v>1</v>
      </c>
      <c r="CJ16" s="32" t="b">
        <f t="shared" si="45"/>
        <v>0</v>
      </c>
      <c r="CK16" s="32">
        <f t="shared" si="111"/>
        <v>5.1959731862444456E-3</v>
      </c>
      <c r="CL16" s="32">
        <f t="shared" si="47"/>
        <v>5.1959731862444456E-3</v>
      </c>
      <c r="CM16" s="32" t="e">
        <f t="shared" si="48"/>
        <v>#N/A</v>
      </c>
      <c r="CN16" s="45" t="str">
        <f t="shared" si="49"/>
        <v/>
      </c>
      <c r="CO16" s="32">
        <f>_xlfn.NORM.DIST(_xlfn.NORM.INV(1-Eu_g_konfidensniveau,0,1)-Eu_tabel_g[[#This Row],[x base]],0,1,TRUE)</f>
        <v>0.90348144784895701</v>
      </c>
      <c r="CP16" s="32">
        <f>1-_xlfn.NORM.DIST(_xlfn.NORM.INV(Eu_g_konfidensniveau,0,1)-Eu_tabel_g[[#This Row],[x base]],0,1,TRUE)</f>
        <v>2.2018961847170004E-6</v>
      </c>
      <c r="CQ16" s="32">
        <f>_xlfn.NORM.DIST(_xlfn.NORM.INV((1-Eu_g_konfidensniveau)/2,0,1)-Eu_tabel_g[[#This Row],[x base]],0,1,TRUE)+1-_xlfn.NORM.DIST(_xlfn.NORM.INV(1-(1-Eu_g_konfidensniveau)/2,0,1)-Eu_tabel_g[[#This Row],[x base]],0,1,TRUE)</f>
        <v>0.83806552823634373</v>
      </c>
      <c r="CR16" s="32" t="e" cm="1">
        <f t="array" ref="CR16">IF($CR$3,INDEX(Eu_tabel_g[[#This Row],[Styrke venstre]:[Styrke tosidet]],CR$7),NA())</f>
        <v>#N/A</v>
      </c>
      <c r="CS16" s="52" t="e">
        <f>Eu_tabel_g[[#This Row],[Falsk positiv
Nulhypotese accepteres
Fejltype 1]]</f>
        <v>#N/A</v>
      </c>
      <c r="CT16" s="52" t="e">
        <f>IF(CHOOSE(CR$7,Eu_tabel_g[[#This Row],[x base]]&gt;0,Eu_tabel_g[[#This Row],[x base]]&lt;0,Eu_tabel_g[[#This Row],[x base]]=0),Eu_tabel_g[[#This Row],[Styrke, aktiv]],NA())</f>
        <v>#N/A</v>
      </c>
      <c r="CU16" s="52" t="e">
        <f>IFERROR(IF($CR$3,Eu_tabel_g[[#This Row],[Styrke, aktiv]],NA()),NA())</f>
        <v>#N/A</v>
      </c>
      <c r="CV16" s="52" t="e">
        <f>IF(ISNA(Eu_tabel_g[[#This Row],[Sand negativ
Nulhypotese afvises
Korrekt]]),NA(),IF($CR$3,1,NA()))</f>
        <v>#N/A</v>
      </c>
      <c r="CW16" s="34" t="str" cm="1">
        <f t="array" ref="CW16">_xlfn.SWITCH(BZ16,_xlfn.IFNA(CU$2,-99),CU$5,_xlfn.IFNA(CU$3,-99),CU$6,_xlfn.IFNA(CU$4,-99),CU$7,"")</f>
        <v/>
      </c>
      <c r="DA16" s="7">
        <f t="shared" si="50"/>
        <v>0.8</v>
      </c>
      <c r="DB16">
        <f>IF(ROW(Styrkeberegning_G[[#This Row],[X base venstre]])=ROW(Styrkeberegning_G[[#Headers],[X base venstre]])+1,DB$7/(DA$7/$B$67),DB15/(DA15/$B$67))</f>
        <v>-2.8015817870135784</v>
      </c>
      <c r="DC16">
        <f>Styrkeberegning_G[[#This Row],[X base venstre]]*-1</f>
        <v>2.8015817870135784</v>
      </c>
      <c r="DN16" s="32">
        <f t="shared" si="51"/>
        <v>6</v>
      </c>
      <c r="DO16" s="32">
        <f t="shared" si="52"/>
        <v>7</v>
      </c>
      <c r="DP16" s="32">
        <f t="shared" si="53"/>
        <v>2.5182778031556965</v>
      </c>
      <c r="DQ16" s="32" t="e">
        <f t="shared" si="54"/>
        <v>#N/A</v>
      </c>
      <c r="DR16" s="32" t="e">
        <f t="shared" si="55"/>
        <v>#N/A</v>
      </c>
      <c r="DS16" s="32">
        <f t="shared" si="56"/>
        <v>7.6490508688432726E-3</v>
      </c>
      <c r="DT16" s="32" t="e">
        <f t="shared" si="57"/>
        <v>#N/A</v>
      </c>
      <c r="DU16" s="32" t="b">
        <f t="shared" si="58"/>
        <v>1</v>
      </c>
      <c r="DV16" s="32" t="b">
        <f t="shared" si="59"/>
        <v>0</v>
      </c>
      <c r="DW16" s="32" t="b">
        <f t="shared" si="60"/>
        <v>1</v>
      </c>
      <c r="DX16" s="32" t="b">
        <f t="shared" si="61"/>
        <v>0</v>
      </c>
      <c r="DY16" s="32">
        <f t="shared" si="62"/>
        <v>7.6490508688432726E-3</v>
      </c>
      <c r="DZ16" s="32">
        <f t="shared" si="63"/>
        <v>7.6490508688432726E-3</v>
      </c>
      <c r="EA16" s="32" t="e">
        <f t="shared" si="64"/>
        <v>#N/A</v>
      </c>
      <c r="EB16" s="45" t="str">
        <f t="shared" si="65"/>
        <v/>
      </c>
      <c r="EG16" s="32">
        <f t="shared" si="66"/>
        <v>6</v>
      </c>
      <c r="EH16" s="32">
        <f t="shared" si="67"/>
        <v>7</v>
      </c>
      <c r="EI16" s="32">
        <f t="shared" si="68"/>
        <v>-2.9465005709972174</v>
      </c>
      <c r="EJ16" s="32">
        <f t="shared" si="69"/>
        <v>5.1959731862444456E-3</v>
      </c>
      <c r="EK16" s="32" t="e">
        <f t="shared" si="70"/>
        <v>#N/A</v>
      </c>
      <c r="EL16" s="32" t="e">
        <f t="shared" si="71"/>
        <v>#N/A</v>
      </c>
      <c r="EM16" s="32" t="e">
        <f t="shared" si="72"/>
        <v>#N/A</v>
      </c>
      <c r="EN16" s="32" t="b">
        <f t="shared" si="73"/>
        <v>1</v>
      </c>
      <c r="EO16" s="32" t="b">
        <f t="shared" si="74"/>
        <v>0</v>
      </c>
      <c r="EP16" s="32" t="b">
        <f t="shared" si="75"/>
        <v>1</v>
      </c>
      <c r="EQ16" s="32" t="b">
        <f t="shared" si="76"/>
        <v>0</v>
      </c>
      <c r="ER16" s="32">
        <f t="shared" si="77"/>
        <v>5.1959731862444456E-3</v>
      </c>
      <c r="ES16" s="32">
        <f t="shared" si="78"/>
        <v>5.1959731862444456E-3</v>
      </c>
      <c r="ET16" s="32" t="e">
        <f t="shared" si="79"/>
        <v>#N/A</v>
      </c>
      <c r="EU16" s="45" t="str">
        <f t="shared" si="80"/>
        <v/>
      </c>
      <c r="EV1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 s="32" t="e" cm="1">
        <f t="array" ref="EY16">IF($CR$3,INDEX(Eu_tabel_a[[#This Row],[Styrke venstre]:[Styrke tosidet]],EY$7),NA())</f>
        <v>#N/A</v>
      </c>
      <c r="EZ16" s="32" t="e">
        <f>IF(EY$3,IF(CHOOSE(EY$7,Eu_tabel_a[[#This Row],[x base]]&gt;0,Eu_tabel_a[[#This Row],[x base]]&lt;0,Eu_tabel_a[[#This Row],[x base]]=0),1,NA()),NA())</f>
        <v>#N/A</v>
      </c>
      <c r="FA16" s="32" t="e">
        <f>IF(CHOOSE(EY$7,Eu_tabel_a[[#This Row],[x base]]&gt;0,Eu_tabel_a[[#This Row],[x base]]&lt;0,Eu_tabel_a[[#This Row],[x base]]=0),Eu_tabel_a[[#This Row],[Styrke, aktiv]],NA())</f>
        <v>#N/A</v>
      </c>
      <c r="FB16" s="32" t="e">
        <f>IFERROR(IF($EY$3,Eu_tabel_a[[#This Row],[Styrke, aktiv]],NA()),NA())</f>
        <v>#N/A</v>
      </c>
      <c r="FC16" s="32" t="e">
        <f>IF(ISNA(Eu_tabel_a[[#This Row],[Sand negativ
Nulhypotese afvises
Korrekt]]),NA(),IF(EY$3,1,NA()))</f>
        <v>#N/A</v>
      </c>
      <c r="FD16" s="33" t="str" cm="1">
        <f t="array" ref="FD16">IFERROR(_xlfn.SWITCH(Eu_tabel_a[[#This Row],[Indeks]],_xlfn.IFNA(FB$2,-99),FB$5,_xlfn.IFNA(FB$3,-99),FB$6,_xlfn.IFNA(FB$4,-99),FB$7,""),"")</f>
        <v/>
      </c>
      <c r="FE16" s="32">
        <f>Eu_tabel_a[[#This Row],[x base]]*SQRT(Eu_a_h0_x*(1-Eu_a_h0_x)/Eu_a_n_x)+Eu_a_h0_x</f>
        <v>0</v>
      </c>
      <c r="FJ16" s="74" t="e">
        <f t="shared" si="18"/>
        <v>#N/A</v>
      </c>
      <c r="FK16" s="82" t="e">
        <f t="shared" si="31"/>
        <v>#DIV/0!</v>
      </c>
      <c r="FL16" s="7" t="e">
        <f t="shared" si="12"/>
        <v>#DIV/0!</v>
      </c>
      <c r="FM16" t="e">
        <f t="shared" si="32"/>
        <v>#DIV/0!</v>
      </c>
      <c r="FN16" s="8" t="e">
        <f t="shared" si="33"/>
        <v>#DIV/0!</v>
      </c>
      <c r="FO16" s="8" t="e">
        <f t="shared" si="34"/>
        <v>#DIV/0!</v>
      </c>
      <c r="FP16" s="81" t="e">
        <f t="shared" si="35"/>
        <v>#DIV/0!</v>
      </c>
      <c r="FQ16" s="74" t="e">
        <f t="shared" ca="1" si="13"/>
        <v>#N/A</v>
      </c>
      <c r="FR16" s="82" t="e" vm="3">
        <f t="shared" ca="1" si="19"/>
        <v>#VALUE!</v>
      </c>
      <c r="FS16" s="7" t="e" vm="3">
        <f t="shared" ca="1" si="14"/>
        <v>#VALUE!</v>
      </c>
      <c r="FT16" t="e" vm="3">
        <f t="shared" ca="1" si="8"/>
        <v>#VALUE!</v>
      </c>
      <c r="FU16" s="8" t="e" vm="3">
        <f t="shared" ca="1" si="9"/>
        <v>#VALUE!</v>
      </c>
      <c r="FV16" s="8" t="e" vm="3">
        <f t="shared" ca="1" si="10"/>
        <v>#VALUE!</v>
      </c>
      <c r="FW16" s="81" t="e" vm="3">
        <f t="shared" ca="1" si="11"/>
        <v>#VALUE!</v>
      </c>
      <c r="FX16" s="74" t="e">
        <f t="shared" si="15"/>
        <v>#N/A</v>
      </c>
      <c r="FY16" s="82" t="e">
        <f t="shared" si="20"/>
        <v>#N/A</v>
      </c>
      <c r="FZ16" s="7" t="e">
        <f t="shared" si="16"/>
        <v>#N/A</v>
      </c>
      <c r="GA16" t="e">
        <f t="shared" si="21"/>
        <v>#N/A</v>
      </c>
      <c r="GB16" s="8" t="e">
        <f t="shared" si="22"/>
        <v>#N/A</v>
      </c>
      <c r="GC16" s="8" t="e">
        <f t="shared" si="23"/>
        <v>#N/A</v>
      </c>
      <c r="GD16" s="81" t="e">
        <f t="shared" si="24"/>
        <v>#N/A</v>
      </c>
      <c r="GE16" s="74" t="e">
        <f t="shared" si="25"/>
        <v>#N/A</v>
      </c>
      <c r="GF16" s="82" t="e">
        <f t="shared" si="26"/>
        <v>#N/A</v>
      </c>
      <c r="GG16" s="7" t="e">
        <f t="shared" si="17"/>
        <v>#N/A</v>
      </c>
      <c r="GH16" t="e">
        <f t="shared" si="27"/>
        <v>#N/A</v>
      </c>
      <c r="GI16" s="8" t="e">
        <f t="shared" si="28"/>
        <v>#N/A</v>
      </c>
      <c r="GJ16" s="8" t="e">
        <f t="shared" si="29"/>
        <v>#N/A</v>
      </c>
      <c r="GK16" s="81" t="e">
        <f t="shared" si="30"/>
        <v>#N/A</v>
      </c>
      <c r="GL16" s="81"/>
      <c r="GM16" s="81"/>
      <c r="GP16" s="32">
        <f t="shared" si="81"/>
        <v>6</v>
      </c>
      <c r="GQ16" s="32">
        <f t="shared" si="82"/>
        <v>7</v>
      </c>
      <c r="GR16" s="32">
        <f t="shared" si="83"/>
        <v>-2.9465005709972174</v>
      </c>
      <c r="GS16" s="32">
        <f t="shared" si="84"/>
        <v>5.1959731862444456E-3</v>
      </c>
      <c r="GT16" s="32" t="e">
        <f t="shared" si="85"/>
        <v>#N/A</v>
      </c>
      <c r="GU16" s="32" t="e">
        <f t="shared" si="86"/>
        <v>#N/A</v>
      </c>
      <c r="GV16" s="32" t="e">
        <f t="shared" si="87"/>
        <v>#N/A</v>
      </c>
      <c r="GW16" s="32" t="b">
        <f t="shared" si="88"/>
        <v>1</v>
      </c>
      <c r="GX16" s="32" t="b">
        <f t="shared" si="89"/>
        <v>0</v>
      </c>
      <c r="GY16" s="32" t="b">
        <f t="shared" si="90"/>
        <v>1</v>
      </c>
      <c r="GZ16" s="32" t="b">
        <f t="shared" si="91"/>
        <v>0</v>
      </c>
      <c r="HA16" s="32">
        <f t="shared" si="92"/>
        <v>5.1959731862444456E-3</v>
      </c>
      <c r="HB16" s="32">
        <f t="shared" si="93"/>
        <v>5.1959731862444456E-3</v>
      </c>
      <c r="HC16" s="32" t="e">
        <f t="shared" si="94"/>
        <v>#N/A</v>
      </c>
      <c r="HD16" s="45" t="str">
        <f t="shared" si="95"/>
        <v/>
      </c>
      <c r="HJ16" s="32">
        <f t="shared" si="96"/>
        <v>6</v>
      </c>
      <c r="HK16" s="32">
        <f t="shared" si="97"/>
        <v>7</v>
      </c>
      <c r="HL16" s="32">
        <f t="shared" si="98"/>
        <v>-4.5627180180039923</v>
      </c>
      <c r="HM16" s="32" t="e">
        <f t="shared" si="99"/>
        <v>#N/A</v>
      </c>
      <c r="HN16" s="32">
        <f t="shared" si="100"/>
        <v>1.5435294614151312E-3</v>
      </c>
      <c r="HO16" s="32" t="e">
        <f t="shared" si="101"/>
        <v>#N/A</v>
      </c>
      <c r="HP16" s="32" t="e">
        <f t="shared" si="102"/>
        <v>#N/A</v>
      </c>
      <c r="HQ16" s="32" t="b">
        <f t="shared" si="103"/>
        <v>1</v>
      </c>
      <c r="HR16" s="32" t="b">
        <f t="shared" si="104"/>
        <v>0</v>
      </c>
      <c r="HS16" s="32" t="b">
        <f t="shared" si="105"/>
        <v>1</v>
      </c>
      <c r="HT16" s="32" t="b">
        <f t="shared" si="106"/>
        <v>0</v>
      </c>
      <c r="HU16" s="32">
        <f t="shared" si="107"/>
        <v>1.5435294614151312E-3</v>
      </c>
      <c r="HV16" s="32">
        <f t="shared" si="108"/>
        <v>1.5435294614151312E-3</v>
      </c>
      <c r="HW16" s="32" t="e">
        <f t="shared" si="109"/>
        <v>#N/A</v>
      </c>
      <c r="HX16" s="45" t="str">
        <f t="shared" si="110"/>
        <v/>
      </c>
    </row>
    <row r="17" spans="57:232" x14ac:dyDescent="0.2">
      <c r="BE17" s="53" t="s">
        <v>223</v>
      </c>
      <c r="BF17" s="35" t="s">
        <v>223</v>
      </c>
      <c r="BG17" s="35" t="s">
        <v>223</v>
      </c>
      <c r="BH17" s="35" t="s">
        <v>223</v>
      </c>
      <c r="BI17" s="35" t="s">
        <v>223</v>
      </c>
      <c r="BJ17" s="35" t="s">
        <v>223</v>
      </c>
      <c r="BZ17" s="32">
        <f t="shared" si="36"/>
        <v>7</v>
      </c>
      <c r="CA17" s="32">
        <f>Eu_tabel_g[[#This Row],[Indeks]]+1</f>
        <v>8</v>
      </c>
      <c r="CB17" s="32">
        <f t="shared" si="37"/>
        <v>-2.922545281802118</v>
      </c>
      <c r="CC17" s="32">
        <f t="shared" si="38"/>
        <v>5.5743810217063422E-3</v>
      </c>
      <c r="CD17" s="32" t="e">
        <f t="shared" si="39"/>
        <v>#N/A</v>
      </c>
      <c r="CE17" s="32" t="e">
        <f t="shared" si="40"/>
        <v>#N/A</v>
      </c>
      <c r="CF17" s="32" t="e">
        <f t="shared" si="41"/>
        <v>#N/A</v>
      </c>
      <c r="CG17" s="32" t="b">
        <f t="shared" si="42"/>
        <v>1</v>
      </c>
      <c r="CH17" s="32" t="b">
        <f t="shared" si="43"/>
        <v>0</v>
      </c>
      <c r="CI17" s="32" t="b">
        <f t="shared" si="44"/>
        <v>1</v>
      </c>
      <c r="CJ17" s="32" t="b">
        <f t="shared" si="45"/>
        <v>0</v>
      </c>
      <c r="CK17" s="32">
        <f t="shared" si="111"/>
        <v>5.5743810217063422E-3</v>
      </c>
      <c r="CL17" s="32">
        <f t="shared" si="47"/>
        <v>5.5743810217063422E-3</v>
      </c>
      <c r="CM17" s="32" t="e">
        <f t="shared" si="48"/>
        <v>#N/A</v>
      </c>
      <c r="CN17" s="45" t="str">
        <f t="shared" si="49"/>
        <v/>
      </c>
      <c r="CO17" s="32">
        <f>_xlfn.NORM.DIST(_xlfn.NORM.INV(1-Eu_g_konfidensniveau,0,1)-Eu_tabel_g[[#This Row],[x base]],0,1,TRUE)</f>
        <v>0.89932091557589511</v>
      </c>
      <c r="CP17" s="32">
        <f>1-_xlfn.NORM.DIST(_xlfn.NORM.INV(Eu_g_konfidensniveau,0,1)-Eu_tabel_g[[#This Row],[x base]],0,1,TRUE)</f>
        <v>2.4690684962136444E-6</v>
      </c>
      <c r="CQ17" s="32">
        <f>_xlfn.NORM.DIST(_xlfn.NORM.INV((1-Eu_g_konfidensniveau)/2,0,1)-Eu_tabel_g[[#This Row],[x base]],0,1,TRUE)+1-_xlfn.NORM.DIST(_xlfn.NORM.INV(1-(1-Eu_g_konfidensniveau)/2,0,1)-Eu_tabel_g[[#This Row],[x base]],0,1,TRUE)</f>
        <v>0.83212168021726474</v>
      </c>
      <c r="CR17" s="32" t="e" cm="1">
        <f t="array" ref="CR17">IF($CR$3,INDEX(Eu_tabel_g[[#This Row],[Styrke venstre]:[Styrke tosidet]],CR$7),NA())</f>
        <v>#N/A</v>
      </c>
      <c r="CS17" s="52" t="e">
        <f>Eu_tabel_g[[#This Row],[Falsk positiv
Nulhypotese accepteres
Fejltype 1]]</f>
        <v>#N/A</v>
      </c>
      <c r="CT17" s="52" t="e">
        <f>IF(CHOOSE(CR$7,Eu_tabel_g[[#This Row],[x base]]&gt;0,Eu_tabel_g[[#This Row],[x base]]&lt;0,Eu_tabel_g[[#This Row],[x base]]=0),Eu_tabel_g[[#This Row],[Styrke, aktiv]],NA())</f>
        <v>#N/A</v>
      </c>
      <c r="CU17" s="52" t="e">
        <f>IFERROR(IF($CR$3,Eu_tabel_g[[#This Row],[Styrke, aktiv]],NA()),NA())</f>
        <v>#N/A</v>
      </c>
      <c r="CV17" s="52" t="e">
        <f>IF(ISNA(Eu_tabel_g[[#This Row],[Sand negativ
Nulhypotese afvises
Korrekt]]),NA(),IF($CR$3,1,NA()))</f>
        <v>#N/A</v>
      </c>
      <c r="CW17" s="34" t="str" cm="1">
        <f t="array" ref="CW17">_xlfn.SWITCH(BZ17,_xlfn.IFNA(CU$2,-99),CU$5,_xlfn.IFNA(CU$3,-99),CU$6,_xlfn.IFNA(CU$4,-99),CU$7,"")</f>
        <v/>
      </c>
      <c r="DA17" s="7">
        <f t="shared" si="50"/>
        <v>0.8</v>
      </c>
      <c r="DB17">
        <f>IF(ROW(Styrkeberegning_G[[#This Row],[X base venstre]])=ROW(Styrkeberegning_G[[#Headers],[X base venstre]])+1,DB$7/(DA$7/$B$67),DB16/(DA16/$B$67))</f>
        <v>-2.8015817870135784</v>
      </c>
      <c r="DC17">
        <f>Styrkeberegning_G[[#This Row],[X base venstre]]*-1</f>
        <v>2.8015817870135784</v>
      </c>
      <c r="DN17" s="32">
        <f t="shared" si="51"/>
        <v>7</v>
      </c>
      <c r="DO17" s="32">
        <f t="shared" si="52"/>
        <v>8</v>
      </c>
      <c r="DP17" s="32">
        <f t="shared" si="53"/>
        <v>2.6323486595726973</v>
      </c>
      <c r="DQ17" s="32" t="e">
        <f t="shared" si="54"/>
        <v>#N/A</v>
      </c>
      <c r="DR17" s="32" t="e">
        <f t="shared" si="55"/>
        <v>#N/A</v>
      </c>
      <c r="DS17" s="32">
        <f t="shared" si="56"/>
        <v>8.8189394770563246E-3</v>
      </c>
      <c r="DT17" s="32" t="e">
        <f t="shared" si="57"/>
        <v>#N/A</v>
      </c>
      <c r="DU17" s="32" t="b">
        <f t="shared" si="58"/>
        <v>1</v>
      </c>
      <c r="DV17" s="32" t="b">
        <f t="shared" si="59"/>
        <v>0</v>
      </c>
      <c r="DW17" s="32" t="b">
        <f t="shared" si="60"/>
        <v>1</v>
      </c>
      <c r="DX17" s="32" t="b">
        <f t="shared" si="61"/>
        <v>0</v>
      </c>
      <c r="DY17" s="32">
        <f t="shared" si="62"/>
        <v>8.8189394770563246E-3</v>
      </c>
      <c r="DZ17" s="32">
        <f t="shared" si="63"/>
        <v>8.8189394770563246E-3</v>
      </c>
      <c r="EA17" s="32" t="e">
        <f t="shared" si="64"/>
        <v>#N/A</v>
      </c>
      <c r="EB17" s="45" t="str">
        <f t="shared" si="65"/>
        <v/>
      </c>
      <c r="EG17" s="32">
        <f t="shared" si="66"/>
        <v>7</v>
      </c>
      <c r="EH17" s="32">
        <f t="shared" si="67"/>
        <v>8</v>
      </c>
      <c r="EI17" s="32">
        <f t="shared" si="68"/>
        <v>-2.922545281802118</v>
      </c>
      <c r="EJ17" s="32">
        <f t="shared" si="69"/>
        <v>5.5743810217063422E-3</v>
      </c>
      <c r="EK17" s="32" t="e">
        <f t="shared" si="70"/>
        <v>#N/A</v>
      </c>
      <c r="EL17" s="32" t="e">
        <f t="shared" si="71"/>
        <v>#N/A</v>
      </c>
      <c r="EM17" s="32" t="e">
        <f t="shared" si="72"/>
        <v>#N/A</v>
      </c>
      <c r="EN17" s="32" t="b">
        <f t="shared" si="73"/>
        <v>1</v>
      </c>
      <c r="EO17" s="32" t="b">
        <f t="shared" si="74"/>
        <v>0</v>
      </c>
      <c r="EP17" s="32" t="b">
        <f t="shared" si="75"/>
        <v>1</v>
      </c>
      <c r="EQ17" s="32" t="b">
        <f t="shared" si="76"/>
        <v>0</v>
      </c>
      <c r="ER17" s="32">
        <f t="shared" si="77"/>
        <v>5.5743810217063422E-3</v>
      </c>
      <c r="ES17" s="32">
        <f t="shared" si="78"/>
        <v>5.5743810217063422E-3</v>
      </c>
      <c r="ET17" s="32" t="e">
        <f t="shared" si="79"/>
        <v>#N/A</v>
      </c>
      <c r="EU17" s="45" t="str">
        <f t="shared" si="80"/>
        <v/>
      </c>
      <c r="EV1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 s="32" t="e" cm="1">
        <f t="array" ref="EY17">IF($CR$3,INDEX(Eu_tabel_a[[#This Row],[Styrke venstre]:[Styrke tosidet]],EY$7),NA())</f>
        <v>#N/A</v>
      </c>
      <c r="EZ17" s="32" t="e">
        <f>IF(EY$3,IF(CHOOSE(EY$7,Eu_tabel_a[[#This Row],[x base]]&gt;0,Eu_tabel_a[[#This Row],[x base]]&lt;0,Eu_tabel_a[[#This Row],[x base]]=0),1,NA()),NA())</f>
        <v>#N/A</v>
      </c>
      <c r="FA17" s="32" t="e">
        <f>IF(CHOOSE(EY$7,Eu_tabel_a[[#This Row],[x base]]&gt;0,Eu_tabel_a[[#This Row],[x base]]&lt;0,Eu_tabel_a[[#This Row],[x base]]=0),Eu_tabel_a[[#This Row],[Styrke, aktiv]],NA())</f>
        <v>#N/A</v>
      </c>
      <c r="FB17" s="32" t="e">
        <f>IFERROR(IF($EY$3,Eu_tabel_a[[#This Row],[Styrke, aktiv]],NA()),NA())</f>
        <v>#N/A</v>
      </c>
      <c r="FC17" s="32" t="e">
        <f>IF(ISNA(Eu_tabel_a[[#This Row],[Sand negativ
Nulhypotese afvises
Korrekt]]),NA(),IF(EY$3,1,NA()))</f>
        <v>#N/A</v>
      </c>
      <c r="FD17" s="33" t="str" cm="1">
        <f t="array" ref="FD17">IFERROR(_xlfn.SWITCH(Eu_tabel_a[[#This Row],[Indeks]],_xlfn.IFNA(FB$2,-99),FB$5,_xlfn.IFNA(FB$3,-99),FB$6,_xlfn.IFNA(FB$4,-99),FB$7,""),"")</f>
        <v/>
      </c>
      <c r="FE17" s="32">
        <f>Eu_tabel_a[[#This Row],[x base]]*SQRT(Eu_a_h0_x*(1-Eu_a_h0_x)/Eu_a_n_x)+Eu_a_h0_x</f>
        <v>0</v>
      </c>
      <c r="FJ17" s="74" t="e">
        <f t="shared" si="18"/>
        <v>#N/A</v>
      </c>
      <c r="FK17" s="82" t="e">
        <f t="shared" si="31"/>
        <v>#DIV/0!</v>
      </c>
      <c r="FL17" s="7" t="e">
        <f t="shared" si="12"/>
        <v>#DIV/0!</v>
      </c>
      <c r="FM17" t="e">
        <f t="shared" si="32"/>
        <v>#DIV/0!</v>
      </c>
      <c r="FN17" s="8" t="e">
        <f t="shared" si="33"/>
        <v>#DIV/0!</v>
      </c>
      <c r="FO17" s="8" t="e">
        <f t="shared" si="34"/>
        <v>#DIV/0!</v>
      </c>
      <c r="FP17" s="81" t="e">
        <f t="shared" si="35"/>
        <v>#DIV/0!</v>
      </c>
      <c r="FQ17" s="74" t="e">
        <f t="shared" ca="1" si="13"/>
        <v>#N/A</v>
      </c>
      <c r="FR17" s="82" t="e" vm="3">
        <f t="shared" ca="1" si="19"/>
        <v>#VALUE!</v>
      </c>
      <c r="FS17" s="7" t="e" vm="3">
        <f t="shared" ca="1" si="14"/>
        <v>#VALUE!</v>
      </c>
      <c r="FT17" t="e" vm="3">
        <f t="shared" ca="1" si="8"/>
        <v>#VALUE!</v>
      </c>
      <c r="FU17" s="8" t="e" vm="3">
        <f t="shared" ca="1" si="9"/>
        <v>#VALUE!</v>
      </c>
      <c r="FV17" s="8" t="e" vm="3">
        <f t="shared" ca="1" si="10"/>
        <v>#VALUE!</v>
      </c>
      <c r="FW17" s="81" t="e" vm="3">
        <f t="shared" ca="1" si="11"/>
        <v>#VALUE!</v>
      </c>
      <c r="FX17" s="74" t="e">
        <f t="shared" si="15"/>
        <v>#N/A</v>
      </c>
      <c r="FY17" s="82" t="e">
        <f t="shared" si="20"/>
        <v>#N/A</v>
      </c>
      <c r="FZ17" s="7" t="e">
        <f t="shared" si="16"/>
        <v>#N/A</v>
      </c>
      <c r="GA17" t="e">
        <f t="shared" si="21"/>
        <v>#N/A</v>
      </c>
      <c r="GB17" s="8" t="e">
        <f t="shared" si="22"/>
        <v>#N/A</v>
      </c>
      <c r="GC17" s="8" t="e">
        <f t="shared" si="23"/>
        <v>#N/A</v>
      </c>
      <c r="GD17" s="81" t="e">
        <f t="shared" si="24"/>
        <v>#N/A</v>
      </c>
      <c r="GE17" s="74" t="e">
        <f t="shared" si="25"/>
        <v>#N/A</v>
      </c>
      <c r="GF17" s="82" t="e">
        <f t="shared" si="26"/>
        <v>#N/A</v>
      </c>
      <c r="GG17" s="7" t="e">
        <f t="shared" si="17"/>
        <v>#N/A</v>
      </c>
      <c r="GH17" t="e">
        <f t="shared" si="27"/>
        <v>#N/A</v>
      </c>
      <c r="GI17" s="8" t="e">
        <f t="shared" si="28"/>
        <v>#N/A</v>
      </c>
      <c r="GJ17" s="8" t="e">
        <f t="shared" si="29"/>
        <v>#N/A</v>
      </c>
      <c r="GK17" s="81" t="e">
        <f t="shared" si="30"/>
        <v>#N/A</v>
      </c>
      <c r="GL17" s="81"/>
      <c r="GM17" s="81"/>
      <c r="GP17" s="32">
        <f t="shared" si="81"/>
        <v>7</v>
      </c>
      <c r="GQ17" s="32">
        <f t="shared" si="82"/>
        <v>8</v>
      </c>
      <c r="GR17" s="32">
        <f t="shared" si="83"/>
        <v>-2.922545281802118</v>
      </c>
      <c r="GS17" s="32">
        <f t="shared" si="84"/>
        <v>5.5743810217063422E-3</v>
      </c>
      <c r="GT17" s="32" t="e">
        <f t="shared" si="85"/>
        <v>#N/A</v>
      </c>
      <c r="GU17" s="32" t="e">
        <f t="shared" si="86"/>
        <v>#N/A</v>
      </c>
      <c r="GV17" s="32" t="e">
        <f t="shared" si="87"/>
        <v>#N/A</v>
      </c>
      <c r="GW17" s="32" t="b">
        <f t="shared" si="88"/>
        <v>1</v>
      </c>
      <c r="GX17" s="32" t="b">
        <f t="shared" si="89"/>
        <v>0</v>
      </c>
      <c r="GY17" s="32" t="b">
        <f t="shared" si="90"/>
        <v>1</v>
      </c>
      <c r="GZ17" s="32" t="b">
        <f t="shared" si="91"/>
        <v>0</v>
      </c>
      <c r="HA17" s="32">
        <f t="shared" si="92"/>
        <v>5.5743810217063422E-3</v>
      </c>
      <c r="HB17" s="32">
        <f t="shared" si="93"/>
        <v>5.5743810217063422E-3</v>
      </c>
      <c r="HC17" s="32" t="e">
        <f t="shared" si="94"/>
        <v>#N/A</v>
      </c>
      <c r="HD17" s="45" t="str">
        <f t="shared" si="95"/>
        <v/>
      </c>
      <c r="HJ17" s="32">
        <f t="shared" si="96"/>
        <v>7</v>
      </c>
      <c r="HK17" s="32">
        <f t="shared" si="97"/>
        <v>8</v>
      </c>
      <c r="HL17" s="32">
        <f t="shared" si="98"/>
        <v>-4.5256227495649348</v>
      </c>
      <c r="HM17" s="32" t="e">
        <f t="shared" si="99"/>
        <v>#N/A</v>
      </c>
      <c r="HN17" s="32">
        <f t="shared" si="100"/>
        <v>1.6206774944199514E-3</v>
      </c>
      <c r="HO17" s="32" t="e">
        <f t="shared" si="101"/>
        <v>#N/A</v>
      </c>
      <c r="HP17" s="32" t="e">
        <f t="shared" si="102"/>
        <v>#N/A</v>
      </c>
      <c r="HQ17" s="32" t="b">
        <f t="shared" si="103"/>
        <v>1</v>
      </c>
      <c r="HR17" s="32" t="b">
        <f t="shared" si="104"/>
        <v>0</v>
      </c>
      <c r="HS17" s="32" t="b">
        <f t="shared" si="105"/>
        <v>1</v>
      </c>
      <c r="HT17" s="32" t="b">
        <f t="shared" si="106"/>
        <v>0</v>
      </c>
      <c r="HU17" s="32">
        <f t="shared" si="107"/>
        <v>1.6206774944199514E-3</v>
      </c>
      <c r="HV17" s="32">
        <f t="shared" si="108"/>
        <v>1.6206774944199514E-3</v>
      </c>
      <c r="HW17" s="32" t="e">
        <f t="shared" si="109"/>
        <v>#N/A</v>
      </c>
      <c r="HX17" s="45" t="str">
        <f t="shared" si="110"/>
        <v/>
      </c>
    </row>
    <row r="18" spans="57:232" x14ac:dyDescent="0.2">
      <c r="BE18" s="35" t="s">
        <v>58</v>
      </c>
      <c r="BF18" s="37" t="b">
        <f>INDEX(E_g_valg[Kontrol af forudsætning 1],E_g_aktiv)</f>
        <v>1</v>
      </c>
      <c r="BG18" s="37" t="b">
        <f>INDEX(E_s_valg[Kontrol af forudsætning 1],E_s_aktiv)</f>
        <v>1</v>
      </c>
      <c r="BH18" s="37" t="b">
        <f>INDEX(E_a_valg[Kontrol af forudsætning 1],E_a_aktiv)</f>
        <v>1</v>
      </c>
      <c r="BI18" s="37" t="b">
        <f>INDEX(E_i_valg[Kontrol af forudsætning 1],E_i_aktiv)</f>
        <v>1</v>
      </c>
      <c r="BJ18" s="37" t="b">
        <f>INDEX(E_k_valg[Kontrol af forudsætning 1],E_k_aktiv)</f>
        <v>1</v>
      </c>
      <c r="BL18" s="53" t="s">
        <v>42</v>
      </c>
      <c r="BM18" s="86" t="str" cm="1">
        <f t="array" ref="BM18">INDEX(E_s_valg[Parameter],E_s_aktiv)</f>
        <v>Standardafvigelse</v>
      </c>
      <c r="BZ18" s="32">
        <f t="shared" si="36"/>
        <v>8</v>
      </c>
      <c r="CA18" s="32">
        <f>Eu_tabel_g[[#This Row],[Indeks]]+1</f>
        <v>9</v>
      </c>
      <c r="CB18" s="32">
        <f t="shared" si="37"/>
        <v>-2.8985899926070187</v>
      </c>
      <c r="CC18" s="32">
        <f t="shared" si="38"/>
        <v>5.9769163423966454E-3</v>
      </c>
      <c r="CD18" s="32" t="e">
        <f t="shared" si="39"/>
        <v>#N/A</v>
      </c>
      <c r="CE18" s="32" t="e">
        <f t="shared" si="40"/>
        <v>#N/A</v>
      </c>
      <c r="CF18" s="32" t="e">
        <f t="shared" si="41"/>
        <v>#N/A</v>
      </c>
      <c r="CG18" s="32" t="b">
        <f t="shared" si="42"/>
        <v>1</v>
      </c>
      <c r="CH18" s="32" t="b">
        <f t="shared" si="43"/>
        <v>0</v>
      </c>
      <c r="CI18" s="32" t="b">
        <f t="shared" si="44"/>
        <v>1</v>
      </c>
      <c r="CJ18" s="32" t="b">
        <f t="shared" si="45"/>
        <v>0</v>
      </c>
      <c r="CK18" s="32">
        <f t="shared" si="111"/>
        <v>5.9769163423966454E-3</v>
      </c>
      <c r="CL18" s="32">
        <f t="shared" si="47"/>
        <v>5.9769163423966454E-3</v>
      </c>
      <c r="CM18" s="32" t="e">
        <f t="shared" si="48"/>
        <v>#N/A</v>
      </c>
      <c r="CN18" s="45" t="str">
        <f t="shared" si="49"/>
        <v/>
      </c>
      <c r="CO18" s="32">
        <f>_xlfn.NORM.DIST(_xlfn.NORM.INV(1-Eu_g_konfidensniveau,0,1)-Eu_tabel_g[[#This Row],[x base]],0,1,TRUE)</f>
        <v>0.89503107733648157</v>
      </c>
      <c r="CP18" s="32">
        <f>1-_xlfn.NORM.DIST(_xlfn.NORM.INV(Eu_g_konfidensniveau,0,1)-Eu_tabel_g[[#This Row],[x base]],0,1,TRUE)</f>
        <v>2.767130622527425E-6</v>
      </c>
      <c r="CQ18" s="32">
        <f>_xlfn.NORM.DIST(_xlfn.NORM.INV((1-Eu_g_konfidensniveau)/2,0,1)-Eu_tabel_g[[#This Row],[x base]],0,1,TRUE)+1-_xlfn.NORM.DIST(_xlfn.NORM.INV(1-(1-Eu_g_konfidensniveau)/2,0,1)-Eu_tabel_g[[#This Row],[x base]],0,1,TRUE)</f>
        <v>0.82603919385088276</v>
      </c>
      <c r="CR18" s="32" t="e" cm="1">
        <f t="array" ref="CR18">IF($CR$3,INDEX(Eu_tabel_g[[#This Row],[Styrke venstre]:[Styrke tosidet]],CR$7),NA())</f>
        <v>#N/A</v>
      </c>
      <c r="CS18" s="52" t="e">
        <f>Eu_tabel_g[[#This Row],[Falsk positiv
Nulhypotese accepteres
Fejltype 1]]</f>
        <v>#N/A</v>
      </c>
      <c r="CT18" s="52" t="e">
        <f>IF(CHOOSE(CR$7,Eu_tabel_g[[#This Row],[x base]]&gt;0,Eu_tabel_g[[#This Row],[x base]]&lt;0,Eu_tabel_g[[#This Row],[x base]]=0),Eu_tabel_g[[#This Row],[Styrke, aktiv]],NA())</f>
        <v>#N/A</v>
      </c>
      <c r="CU18" s="52" t="e">
        <f>IFERROR(IF($CR$3,Eu_tabel_g[[#This Row],[Styrke, aktiv]],NA()),NA())</f>
        <v>#N/A</v>
      </c>
      <c r="CV18" s="52" t="e">
        <f>IF(ISNA(Eu_tabel_g[[#This Row],[Sand negativ
Nulhypotese afvises
Korrekt]]),NA(),IF($CR$3,1,NA()))</f>
        <v>#N/A</v>
      </c>
      <c r="CW18" s="34" t="str" cm="1">
        <f t="array" ref="CW18">_xlfn.SWITCH(BZ18,_xlfn.IFNA(CU$2,-99),CU$5,_xlfn.IFNA(CU$3,-99),CU$6,_xlfn.IFNA(CU$4,-99),CU$7,"")</f>
        <v/>
      </c>
      <c r="DA18" s="7">
        <f t="shared" si="50"/>
        <v>0.8</v>
      </c>
      <c r="DB18">
        <f>IF(ROW(Styrkeberegning_G[[#This Row],[X base venstre]])=ROW(Styrkeberegning_G[[#Headers],[X base venstre]])+1,DB$7/(DA$7/$B$67),DB17/(DA17/$B$67))</f>
        <v>-2.8015817870135784</v>
      </c>
      <c r="DC18">
        <f>Styrkeberegning_G[[#This Row],[X base venstre]]*-1</f>
        <v>2.8015817870135784</v>
      </c>
      <c r="DN18" s="32">
        <f t="shared" si="51"/>
        <v>8</v>
      </c>
      <c r="DO18" s="32">
        <f t="shared" si="52"/>
        <v>9</v>
      </c>
      <c r="DP18" s="32">
        <f t="shared" si="53"/>
        <v>2.7464195159896985</v>
      </c>
      <c r="DQ18" s="32" t="e">
        <f t="shared" si="54"/>
        <v>#N/A</v>
      </c>
      <c r="DR18" s="32" t="e">
        <f t="shared" si="55"/>
        <v>#N/A</v>
      </c>
      <c r="DS18" s="32">
        <f t="shared" si="56"/>
        <v>1.0082118119969227E-2</v>
      </c>
      <c r="DT18" s="32" t="e">
        <f t="shared" si="57"/>
        <v>#N/A</v>
      </c>
      <c r="DU18" s="32" t="b">
        <f t="shared" si="58"/>
        <v>1</v>
      </c>
      <c r="DV18" s="32" t="b">
        <f t="shared" si="59"/>
        <v>0</v>
      </c>
      <c r="DW18" s="32" t="b">
        <f t="shared" si="60"/>
        <v>1</v>
      </c>
      <c r="DX18" s="32" t="b">
        <f t="shared" si="61"/>
        <v>0</v>
      </c>
      <c r="DY18" s="32">
        <f t="shared" si="62"/>
        <v>1.0082118119969227E-2</v>
      </c>
      <c r="DZ18" s="32">
        <f t="shared" si="63"/>
        <v>1.0082118119969227E-2</v>
      </c>
      <c r="EA18" s="32" t="e">
        <f t="shared" si="64"/>
        <v>#N/A</v>
      </c>
      <c r="EB18" s="45" t="str">
        <f t="shared" si="65"/>
        <v/>
      </c>
      <c r="EG18" s="32">
        <f t="shared" si="66"/>
        <v>8</v>
      </c>
      <c r="EH18" s="32">
        <f t="shared" si="67"/>
        <v>9</v>
      </c>
      <c r="EI18" s="32">
        <f t="shared" si="68"/>
        <v>-2.8985899926070187</v>
      </c>
      <c r="EJ18" s="32">
        <f t="shared" si="69"/>
        <v>5.9769163423966454E-3</v>
      </c>
      <c r="EK18" s="32" t="e">
        <f t="shared" si="70"/>
        <v>#N/A</v>
      </c>
      <c r="EL18" s="32" t="e">
        <f t="shared" si="71"/>
        <v>#N/A</v>
      </c>
      <c r="EM18" s="32" t="e">
        <f t="shared" si="72"/>
        <v>#N/A</v>
      </c>
      <c r="EN18" s="32" t="b">
        <f t="shared" si="73"/>
        <v>1</v>
      </c>
      <c r="EO18" s="32" t="b">
        <f t="shared" si="74"/>
        <v>0</v>
      </c>
      <c r="EP18" s="32" t="b">
        <f t="shared" si="75"/>
        <v>1</v>
      </c>
      <c r="EQ18" s="32" t="b">
        <f t="shared" si="76"/>
        <v>0</v>
      </c>
      <c r="ER18" s="32">
        <f t="shared" si="77"/>
        <v>5.9769163423966454E-3</v>
      </c>
      <c r="ES18" s="32">
        <f t="shared" si="78"/>
        <v>5.9769163423966454E-3</v>
      </c>
      <c r="ET18" s="32" t="e">
        <f t="shared" si="79"/>
        <v>#N/A</v>
      </c>
      <c r="EU18" s="45" t="str">
        <f t="shared" si="80"/>
        <v/>
      </c>
      <c r="EV1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 s="32" t="e" cm="1">
        <f t="array" ref="EY18">IF($CR$3,INDEX(Eu_tabel_a[[#This Row],[Styrke venstre]:[Styrke tosidet]],EY$7),NA())</f>
        <v>#N/A</v>
      </c>
      <c r="EZ18" s="32" t="e">
        <f>IF(EY$3,IF(CHOOSE(EY$7,Eu_tabel_a[[#This Row],[x base]]&gt;0,Eu_tabel_a[[#This Row],[x base]]&lt;0,Eu_tabel_a[[#This Row],[x base]]=0),1,NA()),NA())</f>
        <v>#N/A</v>
      </c>
      <c r="FA18" s="32" t="e">
        <f>IF(CHOOSE(EY$7,Eu_tabel_a[[#This Row],[x base]]&gt;0,Eu_tabel_a[[#This Row],[x base]]&lt;0,Eu_tabel_a[[#This Row],[x base]]=0),Eu_tabel_a[[#This Row],[Styrke, aktiv]],NA())</f>
        <v>#N/A</v>
      </c>
      <c r="FB18" s="32" t="e">
        <f>IFERROR(IF($EY$3,Eu_tabel_a[[#This Row],[Styrke, aktiv]],NA()),NA())</f>
        <v>#N/A</v>
      </c>
      <c r="FC18" s="32" t="e">
        <f>IF(ISNA(Eu_tabel_a[[#This Row],[Sand negativ
Nulhypotese afvises
Korrekt]]),NA(),IF(EY$3,1,NA()))</f>
        <v>#N/A</v>
      </c>
      <c r="FD18" s="33" t="str" cm="1">
        <f t="array" ref="FD18">IFERROR(_xlfn.SWITCH(Eu_tabel_a[[#This Row],[Indeks]],_xlfn.IFNA(FB$2,-99),FB$5,_xlfn.IFNA(FB$3,-99),FB$6,_xlfn.IFNA(FB$4,-99),FB$7,""),"")</f>
        <v/>
      </c>
      <c r="FE18" s="32">
        <f>Eu_tabel_a[[#This Row],[x base]]*SQRT(Eu_a_h0_x*(1-Eu_a_h0_x)/Eu_a_n_x)+Eu_a_h0_x</f>
        <v>0</v>
      </c>
      <c r="FJ18" s="74" t="e">
        <f t="shared" si="18"/>
        <v>#N/A</v>
      </c>
      <c r="FK18" s="82" t="e">
        <f t="shared" si="31"/>
        <v>#DIV/0!</v>
      </c>
      <c r="FL18" s="7" t="e">
        <f t="shared" si="12"/>
        <v>#DIV/0!</v>
      </c>
      <c r="FM18" t="e">
        <f t="shared" si="32"/>
        <v>#DIV/0!</v>
      </c>
      <c r="FN18" s="8" t="e">
        <f t="shared" si="33"/>
        <v>#DIV/0!</v>
      </c>
      <c r="FO18" s="8" t="e">
        <f t="shared" si="34"/>
        <v>#DIV/0!</v>
      </c>
      <c r="FP18" s="81" t="e">
        <f t="shared" si="35"/>
        <v>#DIV/0!</v>
      </c>
      <c r="FQ18" s="74" t="e">
        <f t="shared" ca="1" si="13"/>
        <v>#N/A</v>
      </c>
      <c r="FR18" s="82" t="e" vm="3">
        <f t="shared" ca="1" si="19"/>
        <v>#VALUE!</v>
      </c>
      <c r="FS18" s="7" t="e" vm="3">
        <f t="shared" ca="1" si="14"/>
        <v>#VALUE!</v>
      </c>
      <c r="FT18" t="e" vm="3">
        <f t="shared" ca="1" si="8"/>
        <v>#VALUE!</v>
      </c>
      <c r="FU18" s="8" t="e" vm="3">
        <f t="shared" ca="1" si="9"/>
        <v>#VALUE!</v>
      </c>
      <c r="FV18" s="8" t="e" vm="3">
        <f t="shared" ca="1" si="10"/>
        <v>#VALUE!</v>
      </c>
      <c r="FW18" s="81" t="e" vm="3">
        <f t="shared" ca="1" si="11"/>
        <v>#VALUE!</v>
      </c>
      <c r="FX18" s="74" t="e">
        <f t="shared" si="15"/>
        <v>#N/A</v>
      </c>
      <c r="FY18" s="82" t="e">
        <f t="shared" si="20"/>
        <v>#N/A</v>
      </c>
      <c r="FZ18" s="7" t="e">
        <f t="shared" si="16"/>
        <v>#N/A</v>
      </c>
      <c r="GA18" t="e">
        <f t="shared" si="21"/>
        <v>#N/A</v>
      </c>
      <c r="GB18" s="8" t="e">
        <f t="shared" si="22"/>
        <v>#N/A</v>
      </c>
      <c r="GC18" s="8" t="e">
        <f t="shared" si="23"/>
        <v>#N/A</v>
      </c>
      <c r="GD18" s="81" t="e">
        <f t="shared" si="24"/>
        <v>#N/A</v>
      </c>
      <c r="GE18" s="74" t="e">
        <f t="shared" si="25"/>
        <v>#N/A</v>
      </c>
      <c r="GF18" s="82" t="e">
        <f t="shared" si="26"/>
        <v>#N/A</v>
      </c>
      <c r="GG18" s="7" t="e">
        <f t="shared" si="17"/>
        <v>#N/A</v>
      </c>
      <c r="GH18" t="e">
        <f t="shared" si="27"/>
        <v>#N/A</v>
      </c>
      <c r="GI18" s="8" t="e">
        <f t="shared" si="28"/>
        <v>#N/A</v>
      </c>
      <c r="GJ18" s="8" t="e">
        <f t="shared" si="29"/>
        <v>#N/A</v>
      </c>
      <c r="GK18" s="81" t="e">
        <f t="shared" si="30"/>
        <v>#N/A</v>
      </c>
      <c r="GL18" s="81"/>
      <c r="GM18" s="81"/>
      <c r="GP18" s="32">
        <f t="shared" si="81"/>
        <v>8</v>
      </c>
      <c r="GQ18" s="32">
        <f t="shared" si="82"/>
        <v>9</v>
      </c>
      <c r="GR18" s="32">
        <f t="shared" si="83"/>
        <v>-2.8985899926070187</v>
      </c>
      <c r="GS18" s="32">
        <f t="shared" si="84"/>
        <v>5.9769163423966454E-3</v>
      </c>
      <c r="GT18" s="32" t="e">
        <f t="shared" si="85"/>
        <v>#N/A</v>
      </c>
      <c r="GU18" s="32" t="e">
        <f t="shared" si="86"/>
        <v>#N/A</v>
      </c>
      <c r="GV18" s="32" t="e">
        <f t="shared" si="87"/>
        <v>#N/A</v>
      </c>
      <c r="GW18" s="32" t="b">
        <f t="shared" si="88"/>
        <v>1</v>
      </c>
      <c r="GX18" s="32" t="b">
        <f t="shared" si="89"/>
        <v>0</v>
      </c>
      <c r="GY18" s="32" t="b">
        <f t="shared" si="90"/>
        <v>1</v>
      </c>
      <c r="GZ18" s="32" t="b">
        <f t="shared" si="91"/>
        <v>0</v>
      </c>
      <c r="HA18" s="32">
        <f t="shared" si="92"/>
        <v>5.9769163423966454E-3</v>
      </c>
      <c r="HB18" s="32">
        <f t="shared" si="93"/>
        <v>5.9769163423966454E-3</v>
      </c>
      <c r="HC18" s="32" t="e">
        <f t="shared" si="94"/>
        <v>#N/A</v>
      </c>
      <c r="HD18" s="45" t="str">
        <f t="shared" si="95"/>
        <v/>
      </c>
      <c r="HJ18" s="32">
        <f t="shared" si="96"/>
        <v>8</v>
      </c>
      <c r="HK18" s="32">
        <f t="shared" si="97"/>
        <v>9</v>
      </c>
      <c r="HL18" s="32">
        <f t="shared" si="98"/>
        <v>-4.4885274811258782</v>
      </c>
      <c r="HM18" s="32" t="e">
        <f t="shared" si="99"/>
        <v>#N/A</v>
      </c>
      <c r="HN18" s="32">
        <f t="shared" si="100"/>
        <v>1.7020159287022905E-3</v>
      </c>
      <c r="HO18" s="32" t="e">
        <f t="shared" si="101"/>
        <v>#N/A</v>
      </c>
      <c r="HP18" s="32" t="e">
        <f t="shared" si="102"/>
        <v>#N/A</v>
      </c>
      <c r="HQ18" s="32" t="b">
        <f t="shared" si="103"/>
        <v>1</v>
      </c>
      <c r="HR18" s="32" t="b">
        <f t="shared" si="104"/>
        <v>0</v>
      </c>
      <c r="HS18" s="32" t="b">
        <f t="shared" si="105"/>
        <v>1</v>
      </c>
      <c r="HT18" s="32" t="b">
        <f t="shared" si="106"/>
        <v>0</v>
      </c>
      <c r="HU18" s="32">
        <f t="shared" si="107"/>
        <v>1.7020159287022905E-3</v>
      </c>
      <c r="HV18" s="32">
        <f t="shared" si="108"/>
        <v>1.7020159287022905E-3</v>
      </c>
      <c r="HW18" s="32" t="e">
        <f t="shared" si="109"/>
        <v>#N/A</v>
      </c>
      <c r="HX18" s="45" t="str">
        <f t="shared" si="110"/>
        <v/>
      </c>
    </row>
    <row r="19" spans="57:232" x14ac:dyDescent="0.2">
      <c r="BE19" s="35" t="s">
        <v>59</v>
      </c>
      <c r="BF19" s="37">
        <f>INDEX(E_g_valg[Kontrol af forudsætning 2],E_g_aktiv)</f>
        <v>0</v>
      </c>
      <c r="BG19" s="37">
        <f>INDEX(E_s_valg[Kontrol af forudsætning 2],E_s_aktiv)</f>
        <v>0</v>
      </c>
      <c r="BH19" s="37">
        <f>INDEX(E_a_valg[Kontrol af forudsætning 2],E_a_aktiv)</f>
        <v>0</v>
      </c>
      <c r="BI19" s="37">
        <f>INDEX(E_i_valg[Kontrol af forudsætning 2],E_i_aktiv)</f>
        <v>0</v>
      </c>
      <c r="BJ19" s="37" t="str">
        <f>INDEX(E_k_valg[Kontrol af forudsætning 2],E_k_aktiv)</f>
        <v>Skal vurderes</v>
      </c>
      <c r="BL19" s="53" t="s">
        <v>49</v>
      </c>
      <c r="BM19" s="86" t="str" cm="1">
        <f t="array" ref="BM19">INDEX(E_s_valg[Hypotesetype],E_s_aktiv)</f>
        <v>Konfidensinterval</v>
      </c>
      <c r="BZ19" s="32">
        <f t="shared" si="36"/>
        <v>9</v>
      </c>
      <c r="CA19" s="32">
        <f>Eu_tabel_g[[#This Row],[Indeks]]+1</f>
        <v>10</v>
      </c>
      <c r="CB19" s="32">
        <f t="shared" si="37"/>
        <v>-2.8746347034119193</v>
      </c>
      <c r="CC19" s="32">
        <f t="shared" si="38"/>
        <v>6.4048428962354522E-3</v>
      </c>
      <c r="CD19" s="32" t="e">
        <f t="shared" si="39"/>
        <v>#N/A</v>
      </c>
      <c r="CE19" s="32" t="e">
        <f t="shared" si="40"/>
        <v>#N/A</v>
      </c>
      <c r="CF19" s="32" t="e">
        <f t="shared" si="41"/>
        <v>#N/A</v>
      </c>
      <c r="CG19" s="32" t="b">
        <f t="shared" si="42"/>
        <v>1</v>
      </c>
      <c r="CH19" s="32" t="b">
        <f t="shared" si="43"/>
        <v>0</v>
      </c>
      <c r="CI19" s="32" t="b">
        <f t="shared" si="44"/>
        <v>1</v>
      </c>
      <c r="CJ19" s="32" t="b">
        <f t="shared" si="45"/>
        <v>0</v>
      </c>
      <c r="CK19" s="32">
        <f t="shared" si="111"/>
        <v>6.4048428962354522E-3</v>
      </c>
      <c r="CL19" s="32">
        <f t="shared" si="47"/>
        <v>6.4048428962354522E-3</v>
      </c>
      <c r="CM19" s="32" t="e">
        <f t="shared" si="48"/>
        <v>#N/A</v>
      </c>
      <c r="CN19" s="45" t="str">
        <f t="shared" si="49"/>
        <v/>
      </c>
      <c r="CO19" s="32">
        <f>_xlfn.NORM.DIST(_xlfn.NORM.INV(1-Eu_g_konfidensniveau,0,1)-Eu_tabel_g[[#This Row],[x base]],0,1,TRUE)</f>
        <v>0.89061045181482168</v>
      </c>
      <c r="CP19" s="32">
        <f>1-_xlfn.NORM.DIST(_xlfn.NORM.INV(Eu_g_konfidensniveau,0,1)-Eu_tabel_g[[#This Row],[x base]],0,1,TRUE)</f>
        <v>3.0994632123082511E-6</v>
      </c>
      <c r="CQ19" s="32">
        <f>_xlfn.NORM.DIST(_xlfn.NORM.INV((1-Eu_g_konfidensniveau)/2,0,1)-Eu_tabel_g[[#This Row],[x base]],0,1,TRUE)+1-_xlfn.NORM.DIST(_xlfn.NORM.INV(1-(1-Eu_g_konfidensniveau)/2,0,1)-Eu_tabel_g[[#This Row],[x base]],0,1,TRUE)</f>
        <v>0.81981840674074768</v>
      </c>
      <c r="CR19" s="32" t="e" cm="1">
        <f t="array" ref="CR19">IF($CR$3,INDEX(Eu_tabel_g[[#This Row],[Styrke venstre]:[Styrke tosidet]],CR$7),NA())</f>
        <v>#N/A</v>
      </c>
      <c r="CS19" s="52" t="e">
        <f>Eu_tabel_g[[#This Row],[Falsk positiv
Nulhypotese accepteres
Fejltype 1]]</f>
        <v>#N/A</v>
      </c>
      <c r="CT19" s="52" t="e">
        <f>IF(CHOOSE(CR$7,Eu_tabel_g[[#This Row],[x base]]&gt;0,Eu_tabel_g[[#This Row],[x base]]&lt;0,Eu_tabel_g[[#This Row],[x base]]=0),Eu_tabel_g[[#This Row],[Styrke, aktiv]],NA())</f>
        <v>#N/A</v>
      </c>
      <c r="CU19" s="52" t="e">
        <f>IFERROR(IF($CR$3,Eu_tabel_g[[#This Row],[Styrke, aktiv]],NA()),NA())</f>
        <v>#N/A</v>
      </c>
      <c r="CV19" s="52" t="e">
        <f>IF(ISNA(Eu_tabel_g[[#This Row],[Sand negativ
Nulhypotese afvises
Korrekt]]),NA(),IF($CR$3,1,NA()))</f>
        <v>#N/A</v>
      </c>
      <c r="CW19" s="34" t="str" cm="1">
        <f t="array" ref="CW19">_xlfn.SWITCH(BZ19,_xlfn.IFNA(CU$2,-99),CU$5,_xlfn.IFNA(CU$3,-99),CU$6,_xlfn.IFNA(CU$4,-99),CU$7,"")</f>
        <v/>
      </c>
      <c r="DA19" s="7">
        <f t="shared" si="50"/>
        <v>0.8</v>
      </c>
      <c r="DB19">
        <f>IF(ROW(Styrkeberegning_G[[#This Row],[X base venstre]])=ROW(Styrkeberegning_G[[#Headers],[X base venstre]])+1,DB$7/(DA$7/$B$67),DB18/(DA18/$B$67))</f>
        <v>-2.8015817870135784</v>
      </c>
      <c r="DC19">
        <f>Styrkeberegning_G[[#This Row],[X base venstre]]*-1</f>
        <v>2.8015817870135784</v>
      </c>
      <c r="DN19" s="32">
        <f t="shared" si="51"/>
        <v>9</v>
      </c>
      <c r="DO19" s="32">
        <f t="shared" si="52"/>
        <v>10</v>
      </c>
      <c r="DP19" s="32">
        <f t="shared" si="53"/>
        <v>2.8604903724066997</v>
      </c>
      <c r="DQ19" s="32" t="e">
        <f t="shared" si="54"/>
        <v>#N/A</v>
      </c>
      <c r="DR19" s="32" t="e">
        <f t="shared" si="55"/>
        <v>#N/A</v>
      </c>
      <c r="DS19" s="32">
        <f t="shared" si="56"/>
        <v>1.1437019773006292E-2</v>
      </c>
      <c r="DT19" s="32" t="e">
        <f t="shared" si="57"/>
        <v>#N/A</v>
      </c>
      <c r="DU19" s="32" t="b">
        <f t="shared" si="58"/>
        <v>1</v>
      </c>
      <c r="DV19" s="32" t="b">
        <f t="shared" si="59"/>
        <v>0</v>
      </c>
      <c r="DW19" s="32" t="b">
        <f t="shared" si="60"/>
        <v>1</v>
      </c>
      <c r="DX19" s="32" t="b">
        <f t="shared" si="61"/>
        <v>0</v>
      </c>
      <c r="DY19" s="32">
        <f t="shared" si="62"/>
        <v>1.1437019773006292E-2</v>
      </c>
      <c r="DZ19" s="32">
        <f t="shared" si="63"/>
        <v>1.1437019773006292E-2</v>
      </c>
      <c r="EA19" s="32" t="e">
        <f t="shared" si="64"/>
        <v>#N/A</v>
      </c>
      <c r="EB19" s="45" t="str">
        <f t="shared" si="65"/>
        <v/>
      </c>
      <c r="EG19" s="32">
        <f t="shared" si="66"/>
        <v>9</v>
      </c>
      <c r="EH19" s="32">
        <f t="shared" si="67"/>
        <v>10</v>
      </c>
      <c r="EI19" s="32">
        <f t="shared" si="68"/>
        <v>-2.8746347034119193</v>
      </c>
      <c r="EJ19" s="32">
        <f t="shared" si="69"/>
        <v>6.4048428962354522E-3</v>
      </c>
      <c r="EK19" s="32" t="e">
        <f t="shared" si="70"/>
        <v>#N/A</v>
      </c>
      <c r="EL19" s="32" t="e">
        <f t="shared" si="71"/>
        <v>#N/A</v>
      </c>
      <c r="EM19" s="32" t="e">
        <f t="shared" si="72"/>
        <v>#N/A</v>
      </c>
      <c r="EN19" s="32" t="b">
        <f t="shared" si="73"/>
        <v>1</v>
      </c>
      <c r="EO19" s="32" t="b">
        <f t="shared" si="74"/>
        <v>0</v>
      </c>
      <c r="EP19" s="32" t="b">
        <f t="shared" si="75"/>
        <v>1</v>
      </c>
      <c r="EQ19" s="32" t="b">
        <f t="shared" si="76"/>
        <v>0</v>
      </c>
      <c r="ER19" s="32">
        <f t="shared" si="77"/>
        <v>6.4048428962354522E-3</v>
      </c>
      <c r="ES19" s="32">
        <f t="shared" si="78"/>
        <v>6.4048428962354522E-3</v>
      </c>
      <c r="ET19" s="32" t="e">
        <f t="shared" si="79"/>
        <v>#N/A</v>
      </c>
      <c r="EU19" s="45" t="str">
        <f t="shared" si="80"/>
        <v/>
      </c>
      <c r="EV1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 s="32" t="e" cm="1">
        <f t="array" ref="EY19">IF($CR$3,INDEX(Eu_tabel_a[[#This Row],[Styrke venstre]:[Styrke tosidet]],EY$7),NA())</f>
        <v>#N/A</v>
      </c>
      <c r="EZ19" s="32" t="e">
        <f>IF(EY$3,IF(CHOOSE(EY$7,Eu_tabel_a[[#This Row],[x base]]&gt;0,Eu_tabel_a[[#This Row],[x base]]&lt;0,Eu_tabel_a[[#This Row],[x base]]=0),1,NA()),NA())</f>
        <v>#N/A</v>
      </c>
      <c r="FA19" s="32" t="e">
        <f>IF(CHOOSE(EY$7,Eu_tabel_a[[#This Row],[x base]]&gt;0,Eu_tabel_a[[#This Row],[x base]]&lt;0,Eu_tabel_a[[#This Row],[x base]]=0),Eu_tabel_a[[#This Row],[Styrke, aktiv]],NA())</f>
        <v>#N/A</v>
      </c>
      <c r="FB19" s="32" t="e">
        <f>IFERROR(IF($EY$3,Eu_tabel_a[[#This Row],[Styrke, aktiv]],NA()),NA())</f>
        <v>#N/A</v>
      </c>
      <c r="FC19" s="32" t="e">
        <f>IF(ISNA(Eu_tabel_a[[#This Row],[Sand negativ
Nulhypotese afvises
Korrekt]]),NA(),IF(EY$3,1,NA()))</f>
        <v>#N/A</v>
      </c>
      <c r="FD19" s="33" t="str" cm="1">
        <f t="array" ref="FD19">IFERROR(_xlfn.SWITCH(Eu_tabel_a[[#This Row],[Indeks]],_xlfn.IFNA(FB$2,-99),FB$5,_xlfn.IFNA(FB$3,-99),FB$6,_xlfn.IFNA(FB$4,-99),FB$7,""),"")</f>
        <v/>
      </c>
      <c r="FE19" s="32">
        <f>Eu_tabel_a[[#This Row],[x base]]*SQRT(Eu_a_h0_x*(1-Eu_a_h0_x)/Eu_a_n_x)+Eu_a_h0_x</f>
        <v>0</v>
      </c>
      <c r="FJ19" s="74" t="e">
        <f t="shared" si="18"/>
        <v>#N/A</v>
      </c>
      <c r="FK19" s="82" t="e">
        <f t="shared" si="31"/>
        <v>#DIV/0!</v>
      </c>
      <c r="FL19" s="7" t="e">
        <f t="shared" si="12"/>
        <v>#DIV/0!</v>
      </c>
      <c r="FM19" t="e">
        <f t="shared" si="32"/>
        <v>#DIV/0!</v>
      </c>
      <c r="FN19" s="8" t="e">
        <f t="shared" si="33"/>
        <v>#DIV/0!</v>
      </c>
      <c r="FO19" s="8" t="e">
        <f t="shared" si="34"/>
        <v>#DIV/0!</v>
      </c>
      <c r="FP19" s="81" t="e">
        <f t="shared" si="35"/>
        <v>#DIV/0!</v>
      </c>
      <c r="FQ19" s="74" t="e">
        <f t="shared" ca="1" si="13"/>
        <v>#N/A</v>
      </c>
      <c r="FR19" s="82" t="e" vm="3">
        <f t="shared" ca="1" si="19"/>
        <v>#VALUE!</v>
      </c>
      <c r="FS19" s="7" t="e" vm="3">
        <f t="shared" ca="1" si="14"/>
        <v>#VALUE!</v>
      </c>
      <c r="FT19" t="e" vm="3">
        <f t="shared" ca="1" si="8"/>
        <v>#VALUE!</v>
      </c>
      <c r="FU19" s="8" t="e" vm="3">
        <f t="shared" ca="1" si="9"/>
        <v>#VALUE!</v>
      </c>
      <c r="FV19" s="8" t="e" vm="3">
        <f t="shared" ca="1" si="10"/>
        <v>#VALUE!</v>
      </c>
      <c r="FW19" s="81" t="e" vm="3">
        <f t="shared" ca="1" si="11"/>
        <v>#VALUE!</v>
      </c>
      <c r="FX19" s="74" t="e">
        <f t="shared" si="15"/>
        <v>#N/A</v>
      </c>
      <c r="FY19" s="82" t="e">
        <f t="shared" si="20"/>
        <v>#N/A</v>
      </c>
      <c r="FZ19" s="7" t="e">
        <f t="shared" si="16"/>
        <v>#N/A</v>
      </c>
      <c r="GA19" t="e">
        <f t="shared" si="21"/>
        <v>#N/A</v>
      </c>
      <c r="GB19" s="8" t="e">
        <f t="shared" si="22"/>
        <v>#N/A</v>
      </c>
      <c r="GC19" s="8" t="e">
        <f t="shared" si="23"/>
        <v>#N/A</v>
      </c>
      <c r="GD19" s="81" t="e">
        <f t="shared" si="24"/>
        <v>#N/A</v>
      </c>
      <c r="GE19" s="74" t="e">
        <f t="shared" si="25"/>
        <v>#N/A</v>
      </c>
      <c r="GF19" s="82" t="e">
        <f t="shared" si="26"/>
        <v>#N/A</v>
      </c>
      <c r="GG19" s="7" t="e">
        <f t="shared" si="17"/>
        <v>#N/A</v>
      </c>
      <c r="GH19" t="e">
        <f t="shared" si="27"/>
        <v>#N/A</v>
      </c>
      <c r="GI19" s="8" t="e">
        <f t="shared" si="28"/>
        <v>#N/A</v>
      </c>
      <c r="GJ19" s="8" t="e">
        <f t="shared" si="29"/>
        <v>#N/A</v>
      </c>
      <c r="GK19" s="81" t="e">
        <f t="shared" si="30"/>
        <v>#N/A</v>
      </c>
      <c r="GL19" s="81"/>
      <c r="GM19" s="81"/>
      <c r="GP19" s="32">
        <f t="shared" si="81"/>
        <v>9</v>
      </c>
      <c r="GQ19" s="32">
        <f t="shared" si="82"/>
        <v>10</v>
      </c>
      <c r="GR19" s="32">
        <f t="shared" si="83"/>
        <v>-2.8746347034119193</v>
      </c>
      <c r="GS19" s="32">
        <f t="shared" si="84"/>
        <v>6.4048428962354522E-3</v>
      </c>
      <c r="GT19" s="32" t="e">
        <f t="shared" si="85"/>
        <v>#N/A</v>
      </c>
      <c r="GU19" s="32" t="e">
        <f t="shared" si="86"/>
        <v>#N/A</v>
      </c>
      <c r="GV19" s="32" t="e">
        <f t="shared" si="87"/>
        <v>#N/A</v>
      </c>
      <c r="GW19" s="32" t="b">
        <f t="shared" si="88"/>
        <v>1</v>
      </c>
      <c r="GX19" s="32" t="b">
        <f t="shared" si="89"/>
        <v>0</v>
      </c>
      <c r="GY19" s="32" t="b">
        <f t="shared" si="90"/>
        <v>1</v>
      </c>
      <c r="GZ19" s="32" t="b">
        <f t="shared" si="91"/>
        <v>0</v>
      </c>
      <c r="HA19" s="32">
        <f t="shared" si="92"/>
        <v>6.4048428962354522E-3</v>
      </c>
      <c r="HB19" s="32">
        <f t="shared" si="93"/>
        <v>6.4048428962354522E-3</v>
      </c>
      <c r="HC19" s="32" t="e">
        <f t="shared" si="94"/>
        <v>#N/A</v>
      </c>
      <c r="HD19" s="45" t="str">
        <f t="shared" si="95"/>
        <v/>
      </c>
      <c r="HJ19" s="32">
        <f t="shared" si="96"/>
        <v>9</v>
      </c>
      <c r="HK19" s="32">
        <f t="shared" si="97"/>
        <v>10</v>
      </c>
      <c r="HL19" s="32">
        <f t="shared" si="98"/>
        <v>-4.4514322126868215</v>
      </c>
      <c r="HM19" s="32" t="e">
        <f t="shared" si="99"/>
        <v>#N/A</v>
      </c>
      <c r="HN19" s="32">
        <f t="shared" si="100"/>
        <v>1.7877876216175568E-3</v>
      </c>
      <c r="HO19" s="32" t="e">
        <f t="shared" si="101"/>
        <v>#N/A</v>
      </c>
      <c r="HP19" s="32" t="e">
        <f t="shared" si="102"/>
        <v>#N/A</v>
      </c>
      <c r="HQ19" s="32" t="b">
        <f t="shared" si="103"/>
        <v>1</v>
      </c>
      <c r="HR19" s="32" t="b">
        <f t="shared" si="104"/>
        <v>0</v>
      </c>
      <c r="HS19" s="32" t="b">
        <f t="shared" si="105"/>
        <v>1</v>
      </c>
      <c r="HT19" s="32" t="b">
        <f t="shared" si="106"/>
        <v>0</v>
      </c>
      <c r="HU19" s="32">
        <f t="shared" si="107"/>
        <v>1.7877876216175568E-3</v>
      </c>
      <c r="HV19" s="32">
        <f t="shared" si="108"/>
        <v>1.7877876216175568E-3</v>
      </c>
      <c r="HW19" s="32" t="e">
        <f t="shared" si="109"/>
        <v>#N/A</v>
      </c>
      <c r="HX19" s="45" t="str">
        <f t="shared" si="110"/>
        <v/>
      </c>
    </row>
    <row r="20" spans="57:232" x14ac:dyDescent="0.2">
      <c r="BE20" s="35" t="s">
        <v>63</v>
      </c>
      <c r="BF20" s="37" t="b">
        <f>INDEX(E_g_valg[Kontrol af forudsætning 3],E_g_aktiv)</f>
        <v>0</v>
      </c>
      <c r="BG20" s="37">
        <f>INDEX(E_s_valg[Kontrol af forudsætning 3],E_s_aktiv)</f>
        <v>0</v>
      </c>
      <c r="BH20" s="37" t="b">
        <f>INDEX(E_a_valg[Kontrol af forudsætning 3],E_a_aktiv)</f>
        <v>0</v>
      </c>
      <c r="BI20" s="37" t="b">
        <f>INDEX(E_i_valg[Kontrol af forudsætning 3],E_i_aktiv)</f>
        <v>1</v>
      </c>
      <c r="BJ20" s="37">
        <f>INDEX(E_k_valg[Kontrol af forudsætning 3],E_k_aktiv)</f>
        <v>0</v>
      </c>
      <c r="BL20" s="53" t="s">
        <v>108</v>
      </c>
      <c r="BM20" s="86" t="str" cm="1">
        <f t="array" ref="BM20">INDEX(E_s_valg[Beregningsmetode],E_s_aktiv)</f>
        <v>Chi-i-anden-fordeling</v>
      </c>
      <c r="BZ20" s="32">
        <f t="shared" si="36"/>
        <v>10</v>
      </c>
      <c r="CA20" s="32">
        <f>Eu_tabel_g[[#This Row],[Indeks]]+1</f>
        <v>11</v>
      </c>
      <c r="CB20" s="32">
        <f t="shared" si="37"/>
        <v>-2.8506794142168199</v>
      </c>
      <c r="CC20" s="32">
        <f t="shared" si="38"/>
        <v>6.859470035530551E-3</v>
      </c>
      <c r="CD20" s="32" t="e">
        <f t="shared" si="39"/>
        <v>#N/A</v>
      </c>
      <c r="CE20" s="32" t="e">
        <f t="shared" si="40"/>
        <v>#N/A</v>
      </c>
      <c r="CF20" s="32" t="e">
        <f t="shared" si="41"/>
        <v>#N/A</v>
      </c>
      <c r="CG20" s="32" t="b">
        <f t="shared" si="42"/>
        <v>1</v>
      </c>
      <c r="CH20" s="32" t="b">
        <f t="shared" si="43"/>
        <v>0</v>
      </c>
      <c r="CI20" s="32" t="b">
        <f t="shared" si="44"/>
        <v>1</v>
      </c>
      <c r="CJ20" s="32" t="b">
        <f t="shared" si="45"/>
        <v>0</v>
      </c>
      <c r="CK20" s="32">
        <f t="shared" si="111"/>
        <v>6.859470035530551E-3</v>
      </c>
      <c r="CL20" s="32">
        <f t="shared" si="47"/>
        <v>6.859470035530551E-3</v>
      </c>
      <c r="CM20" s="32" t="e">
        <f t="shared" si="48"/>
        <v>#N/A</v>
      </c>
      <c r="CN20" s="45" t="str">
        <f t="shared" si="49"/>
        <v/>
      </c>
      <c r="CO20" s="32">
        <f>_xlfn.NORM.DIST(_xlfn.NORM.INV(1-Eu_g_konfidensniveau,0,1)-Eu_tabel_g[[#This Row],[x base]],0,1,TRUE)</f>
        <v>0.8860576648764078</v>
      </c>
      <c r="CP20" s="32">
        <f>1-_xlfn.NORM.DIST(_xlfn.NORM.INV(Eu_g_konfidensniveau,0,1)-Eu_tabel_g[[#This Row],[x base]],0,1,TRUE)</f>
        <v>3.4697940337613531E-6</v>
      </c>
      <c r="CQ20" s="32">
        <f>_xlfn.NORM.DIST(_xlfn.NORM.INV((1-Eu_g_konfidensniveau)/2,0,1)-Eu_tabel_g[[#This Row],[x base]],0,1,TRUE)+1-_xlfn.NORM.DIST(_xlfn.NORM.INV(1-(1-Eu_g_konfidensniveau)/2,0,1)-Eu_tabel_g[[#This Row],[x base]],0,1,TRUE)</f>
        <v>0.8134598247355912</v>
      </c>
      <c r="CR20" s="32" t="e" cm="1">
        <f t="array" ref="CR20">IF($CR$3,INDEX(Eu_tabel_g[[#This Row],[Styrke venstre]:[Styrke tosidet]],CR$7),NA())</f>
        <v>#N/A</v>
      </c>
      <c r="CS20" s="52" t="e">
        <f>Eu_tabel_g[[#This Row],[Falsk positiv
Nulhypotese accepteres
Fejltype 1]]</f>
        <v>#N/A</v>
      </c>
      <c r="CT20" s="52" t="e">
        <f>IF(CHOOSE(CR$7,Eu_tabel_g[[#This Row],[x base]]&gt;0,Eu_tabel_g[[#This Row],[x base]]&lt;0,Eu_tabel_g[[#This Row],[x base]]=0),Eu_tabel_g[[#This Row],[Styrke, aktiv]],NA())</f>
        <v>#N/A</v>
      </c>
      <c r="CU20" s="52" t="e">
        <f>IFERROR(IF($CR$3,Eu_tabel_g[[#This Row],[Styrke, aktiv]],NA()),NA())</f>
        <v>#N/A</v>
      </c>
      <c r="CV20" s="52" t="e">
        <f>IF(ISNA(Eu_tabel_g[[#This Row],[Sand negativ
Nulhypotese afvises
Korrekt]]),NA(),IF($CR$3,1,NA()))</f>
        <v>#N/A</v>
      </c>
      <c r="CW20" s="34" t="str" cm="1">
        <f t="array" ref="CW20">_xlfn.SWITCH(BZ20,_xlfn.IFNA(CU$2,-99),CU$5,_xlfn.IFNA(CU$3,-99),CU$6,_xlfn.IFNA(CU$4,-99),CU$7,"")</f>
        <v/>
      </c>
      <c r="DA20" s="7">
        <f t="shared" si="50"/>
        <v>0.8</v>
      </c>
      <c r="DB20">
        <f>IF(ROW(Styrkeberegning_G[[#This Row],[X base venstre]])=ROW(Styrkeberegning_G[[#Headers],[X base venstre]])+1,DB$7/(DA$7/$B$67),DB19/(DA19/$B$67))</f>
        <v>-2.8015817870135784</v>
      </c>
      <c r="DC20">
        <f>Styrkeberegning_G[[#This Row],[X base venstre]]*-1</f>
        <v>2.8015817870135784</v>
      </c>
      <c r="DN20" s="32">
        <f t="shared" si="51"/>
        <v>10</v>
      </c>
      <c r="DO20" s="32">
        <f t="shared" si="52"/>
        <v>11</v>
      </c>
      <c r="DP20" s="32">
        <f t="shared" si="53"/>
        <v>2.9745612288237004</v>
      </c>
      <c r="DQ20" s="32" t="e">
        <f t="shared" si="54"/>
        <v>#N/A</v>
      </c>
      <c r="DR20" s="32" t="e">
        <f t="shared" si="55"/>
        <v>#N/A</v>
      </c>
      <c r="DS20" s="32">
        <f t="shared" si="56"/>
        <v>1.2881415876320907E-2</v>
      </c>
      <c r="DT20" s="32" t="e">
        <f t="shared" si="57"/>
        <v>#N/A</v>
      </c>
      <c r="DU20" s="32" t="b">
        <f t="shared" si="58"/>
        <v>1</v>
      </c>
      <c r="DV20" s="32" t="b">
        <f t="shared" si="59"/>
        <v>0</v>
      </c>
      <c r="DW20" s="32" t="b">
        <f t="shared" si="60"/>
        <v>1</v>
      </c>
      <c r="DX20" s="32" t="b">
        <f t="shared" si="61"/>
        <v>0</v>
      </c>
      <c r="DY20" s="32">
        <f t="shared" si="62"/>
        <v>1.2881415876320907E-2</v>
      </c>
      <c r="DZ20" s="32">
        <f t="shared" si="63"/>
        <v>1.2881415876320907E-2</v>
      </c>
      <c r="EA20" s="32" t="e">
        <f t="shared" si="64"/>
        <v>#N/A</v>
      </c>
      <c r="EB20" s="45" t="str">
        <f t="shared" si="65"/>
        <v/>
      </c>
      <c r="EG20" s="32">
        <f t="shared" si="66"/>
        <v>10</v>
      </c>
      <c r="EH20" s="32">
        <f t="shared" si="67"/>
        <v>11</v>
      </c>
      <c r="EI20" s="32">
        <f t="shared" si="68"/>
        <v>-2.8506794142168199</v>
      </c>
      <c r="EJ20" s="32">
        <f t="shared" si="69"/>
        <v>6.859470035530551E-3</v>
      </c>
      <c r="EK20" s="32" t="e">
        <f t="shared" si="70"/>
        <v>#N/A</v>
      </c>
      <c r="EL20" s="32" t="e">
        <f t="shared" si="71"/>
        <v>#N/A</v>
      </c>
      <c r="EM20" s="32" t="e">
        <f t="shared" si="72"/>
        <v>#N/A</v>
      </c>
      <c r="EN20" s="32" t="b">
        <f t="shared" si="73"/>
        <v>1</v>
      </c>
      <c r="EO20" s="32" t="b">
        <f t="shared" si="74"/>
        <v>0</v>
      </c>
      <c r="EP20" s="32" t="b">
        <f t="shared" si="75"/>
        <v>1</v>
      </c>
      <c r="EQ20" s="32" t="b">
        <f t="shared" si="76"/>
        <v>0</v>
      </c>
      <c r="ER20" s="32">
        <f t="shared" si="77"/>
        <v>6.859470035530551E-3</v>
      </c>
      <c r="ES20" s="32">
        <f t="shared" si="78"/>
        <v>6.859470035530551E-3</v>
      </c>
      <c r="ET20" s="32" t="e">
        <f t="shared" si="79"/>
        <v>#N/A</v>
      </c>
      <c r="EU20" s="45" t="str">
        <f t="shared" si="80"/>
        <v/>
      </c>
      <c r="EV2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 s="32" t="e" cm="1">
        <f t="array" ref="EY20">IF($CR$3,INDEX(Eu_tabel_a[[#This Row],[Styrke venstre]:[Styrke tosidet]],EY$7),NA())</f>
        <v>#N/A</v>
      </c>
      <c r="EZ20" s="32" t="e">
        <f>IF(EY$3,IF(CHOOSE(EY$7,Eu_tabel_a[[#This Row],[x base]]&gt;0,Eu_tabel_a[[#This Row],[x base]]&lt;0,Eu_tabel_a[[#This Row],[x base]]=0),1,NA()),NA())</f>
        <v>#N/A</v>
      </c>
      <c r="FA20" s="32" t="e">
        <f>IF(CHOOSE(EY$7,Eu_tabel_a[[#This Row],[x base]]&gt;0,Eu_tabel_a[[#This Row],[x base]]&lt;0,Eu_tabel_a[[#This Row],[x base]]=0),Eu_tabel_a[[#This Row],[Styrke, aktiv]],NA())</f>
        <v>#N/A</v>
      </c>
      <c r="FB20" s="32" t="e">
        <f>IFERROR(IF($EY$3,Eu_tabel_a[[#This Row],[Styrke, aktiv]],NA()),NA())</f>
        <v>#N/A</v>
      </c>
      <c r="FC20" s="32" t="e">
        <f>IF(ISNA(Eu_tabel_a[[#This Row],[Sand negativ
Nulhypotese afvises
Korrekt]]),NA(),IF(EY$3,1,NA()))</f>
        <v>#N/A</v>
      </c>
      <c r="FD20" s="33" t="str" cm="1">
        <f t="array" ref="FD20">IFERROR(_xlfn.SWITCH(Eu_tabel_a[[#This Row],[Indeks]],_xlfn.IFNA(FB$2,-99),FB$5,_xlfn.IFNA(FB$3,-99),FB$6,_xlfn.IFNA(FB$4,-99),FB$7,""),"")</f>
        <v/>
      </c>
      <c r="FE20" s="32">
        <f>Eu_tabel_a[[#This Row],[x base]]*SQRT(Eu_a_h0_x*(1-Eu_a_h0_x)/Eu_a_n_x)+Eu_a_h0_x</f>
        <v>0</v>
      </c>
      <c r="FJ20" s="74" t="e">
        <f t="shared" si="18"/>
        <v>#N/A</v>
      </c>
      <c r="FK20" s="82" t="e">
        <f t="shared" si="31"/>
        <v>#DIV/0!</v>
      </c>
      <c r="FL20" s="7" t="e">
        <f t="shared" si="12"/>
        <v>#DIV/0!</v>
      </c>
      <c r="FM20" t="e">
        <f t="shared" si="32"/>
        <v>#DIV/0!</v>
      </c>
      <c r="FN20" s="8" t="e">
        <f t="shared" si="33"/>
        <v>#DIV/0!</v>
      </c>
      <c r="FO20" s="8" t="e">
        <f t="shared" si="34"/>
        <v>#DIV/0!</v>
      </c>
      <c r="FP20" s="81" t="e">
        <f t="shared" si="35"/>
        <v>#DIV/0!</v>
      </c>
      <c r="FQ20" s="74" t="e">
        <f t="shared" ca="1" si="13"/>
        <v>#N/A</v>
      </c>
      <c r="FR20" s="82" t="e" vm="3">
        <f t="shared" ca="1" si="19"/>
        <v>#VALUE!</v>
      </c>
      <c r="FS20" s="7" t="e" vm="3">
        <f t="shared" ca="1" si="14"/>
        <v>#VALUE!</v>
      </c>
      <c r="FT20" t="e" vm="3">
        <f t="shared" ca="1" si="8"/>
        <v>#VALUE!</v>
      </c>
      <c r="FU20" s="8" t="e" vm="3">
        <f t="shared" ca="1" si="9"/>
        <v>#VALUE!</v>
      </c>
      <c r="FV20" s="8" t="e" vm="3">
        <f t="shared" ca="1" si="10"/>
        <v>#VALUE!</v>
      </c>
      <c r="FW20" s="81" t="e" vm="3">
        <f t="shared" ca="1" si="11"/>
        <v>#VALUE!</v>
      </c>
      <c r="FX20" s="74" t="e">
        <f t="shared" si="15"/>
        <v>#N/A</v>
      </c>
      <c r="FY20" s="82" t="e">
        <f t="shared" si="20"/>
        <v>#N/A</v>
      </c>
      <c r="FZ20" s="7" t="e">
        <f t="shared" si="16"/>
        <v>#N/A</v>
      </c>
      <c r="GA20" t="e">
        <f t="shared" si="21"/>
        <v>#N/A</v>
      </c>
      <c r="GB20" s="8" t="e">
        <f t="shared" si="22"/>
        <v>#N/A</v>
      </c>
      <c r="GC20" s="8" t="e">
        <f t="shared" si="23"/>
        <v>#N/A</v>
      </c>
      <c r="GD20" s="81" t="e">
        <f t="shared" si="24"/>
        <v>#N/A</v>
      </c>
      <c r="GE20" s="74" t="e">
        <f t="shared" si="25"/>
        <v>#N/A</v>
      </c>
      <c r="GF20" s="82" t="e">
        <f t="shared" si="26"/>
        <v>#N/A</v>
      </c>
      <c r="GG20" s="7" t="e">
        <f t="shared" si="17"/>
        <v>#N/A</v>
      </c>
      <c r="GH20" t="e">
        <f t="shared" si="27"/>
        <v>#N/A</v>
      </c>
      <c r="GI20" s="8" t="e">
        <f t="shared" si="28"/>
        <v>#N/A</v>
      </c>
      <c r="GJ20" s="8" t="e">
        <f t="shared" si="29"/>
        <v>#N/A</v>
      </c>
      <c r="GK20" s="81" t="e">
        <f t="shared" si="30"/>
        <v>#N/A</v>
      </c>
      <c r="GL20" s="81"/>
      <c r="GM20" s="81"/>
      <c r="GP20" s="32">
        <f t="shared" si="81"/>
        <v>10</v>
      </c>
      <c r="GQ20" s="32">
        <f t="shared" si="82"/>
        <v>11</v>
      </c>
      <c r="GR20" s="32">
        <f t="shared" si="83"/>
        <v>-2.8506794142168199</v>
      </c>
      <c r="GS20" s="32">
        <f t="shared" si="84"/>
        <v>6.859470035530551E-3</v>
      </c>
      <c r="GT20" s="32" t="e">
        <f t="shared" si="85"/>
        <v>#N/A</v>
      </c>
      <c r="GU20" s="32" t="e">
        <f t="shared" si="86"/>
        <v>#N/A</v>
      </c>
      <c r="GV20" s="32" t="e">
        <f t="shared" si="87"/>
        <v>#N/A</v>
      </c>
      <c r="GW20" s="32" t="b">
        <f t="shared" si="88"/>
        <v>1</v>
      </c>
      <c r="GX20" s="32" t="b">
        <f t="shared" si="89"/>
        <v>0</v>
      </c>
      <c r="GY20" s="32" t="b">
        <f t="shared" si="90"/>
        <v>1</v>
      </c>
      <c r="GZ20" s="32" t="b">
        <f t="shared" si="91"/>
        <v>0</v>
      </c>
      <c r="HA20" s="32">
        <f t="shared" si="92"/>
        <v>6.859470035530551E-3</v>
      </c>
      <c r="HB20" s="32">
        <f t="shared" si="93"/>
        <v>6.859470035530551E-3</v>
      </c>
      <c r="HC20" s="32" t="e">
        <f t="shared" si="94"/>
        <v>#N/A</v>
      </c>
      <c r="HD20" s="45" t="str">
        <f t="shared" si="95"/>
        <v/>
      </c>
      <c r="HJ20" s="32">
        <f t="shared" si="96"/>
        <v>10</v>
      </c>
      <c r="HK20" s="32">
        <f t="shared" si="97"/>
        <v>11</v>
      </c>
      <c r="HL20" s="32">
        <f t="shared" si="98"/>
        <v>-4.4143369442477649</v>
      </c>
      <c r="HM20" s="32" t="e">
        <f t="shared" si="99"/>
        <v>#N/A</v>
      </c>
      <c r="HN20" s="32">
        <f t="shared" si="100"/>
        <v>1.8782501669481135E-3</v>
      </c>
      <c r="HO20" s="32" t="e">
        <f t="shared" si="101"/>
        <v>#N/A</v>
      </c>
      <c r="HP20" s="32" t="e">
        <f t="shared" si="102"/>
        <v>#N/A</v>
      </c>
      <c r="HQ20" s="32" t="b">
        <f t="shared" si="103"/>
        <v>1</v>
      </c>
      <c r="HR20" s="32" t="b">
        <f t="shared" si="104"/>
        <v>0</v>
      </c>
      <c r="HS20" s="32" t="b">
        <f t="shared" si="105"/>
        <v>1</v>
      </c>
      <c r="HT20" s="32" t="b">
        <f t="shared" si="106"/>
        <v>0</v>
      </c>
      <c r="HU20" s="32">
        <f t="shared" si="107"/>
        <v>1.8782501669481135E-3</v>
      </c>
      <c r="HV20" s="32">
        <f t="shared" si="108"/>
        <v>1.8782501669481135E-3</v>
      </c>
      <c r="HW20" s="32" t="e">
        <f t="shared" si="109"/>
        <v>#N/A</v>
      </c>
      <c r="HX20" s="45" t="str">
        <f t="shared" si="110"/>
        <v/>
      </c>
    </row>
    <row r="21" spans="57:232" x14ac:dyDescent="0.2">
      <c r="BE21" s="35" t="s">
        <v>68</v>
      </c>
      <c r="BF21" s="37" t="str">
        <f>INDEX(E_g_valg[Kontrol af forudsætning 4],E_g_aktiv)</f>
        <v>Skal vurderes</v>
      </c>
      <c r="BG21" s="37" t="str">
        <f>INDEX(E_s_valg[Kontrol af forudsætning 4],E_s_aktiv)</f>
        <v>Skal vurderes</v>
      </c>
      <c r="BH21" s="37">
        <f>INDEX(E_a_valg[Kontrol af forudsætning 4],E_a_aktiv)</f>
        <v>0</v>
      </c>
      <c r="BI21" s="37">
        <f>INDEX(E_i_valg[Kontrol af forudsætning 4],E_i_aktiv)</f>
        <v>0</v>
      </c>
      <c r="BJ21" s="37">
        <f>INDEX(E_k_valg[Kontrol af forudsætning 4],E_k_aktiv)</f>
        <v>0</v>
      </c>
      <c r="BL21" s="53" t="s">
        <v>4</v>
      </c>
      <c r="BM21" s="87">
        <f>Eu_s_konfidensniveau</f>
        <v>0.95</v>
      </c>
      <c r="BZ21" s="32">
        <f t="shared" si="36"/>
        <v>11</v>
      </c>
      <c r="CA21" s="32">
        <f>Eu_tabel_g[[#This Row],[Indeks]]+1</f>
        <v>12</v>
      </c>
      <c r="CB21" s="32">
        <f t="shared" si="37"/>
        <v>-2.8267241250217205</v>
      </c>
      <c r="CC21" s="32">
        <f t="shared" si="38"/>
        <v>7.3421528709367023E-3</v>
      </c>
      <c r="CD21" s="32" t="e">
        <f t="shared" si="39"/>
        <v>#N/A</v>
      </c>
      <c r="CE21" s="32" t="e">
        <f t="shared" si="40"/>
        <v>#N/A</v>
      </c>
      <c r="CF21" s="32" t="e">
        <f t="shared" si="41"/>
        <v>#N/A</v>
      </c>
      <c r="CG21" s="32" t="b">
        <f t="shared" si="42"/>
        <v>1</v>
      </c>
      <c r="CH21" s="32" t="b">
        <f t="shared" si="43"/>
        <v>0</v>
      </c>
      <c r="CI21" s="32" t="b">
        <f t="shared" si="44"/>
        <v>1</v>
      </c>
      <c r="CJ21" s="32" t="b">
        <f t="shared" si="45"/>
        <v>0</v>
      </c>
      <c r="CK21" s="32">
        <f t="shared" si="111"/>
        <v>7.3421528709367023E-3</v>
      </c>
      <c r="CL21" s="32">
        <f t="shared" si="47"/>
        <v>7.3421528709367023E-3</v>
      </c>
      <c r="CM21" s="32" t="e">
        <f t="shared" si="48"/>
        <v>#N/A</v>
      </c>
      <c r="CN21" s="45" t="str">
        <f t="shared" si="49"/>
        <v/>
      </c>
      <c r="CO21" s="32">
        <f>_xlfn.NORM.DIST(_xlfn.NORM.INV(1-Eu_g_konfidensniveau,0,1)-Eu_tabel_g[[#This Row],[x base]],0,1,TRUE)</f>
        <v>0.88137145520395488</v>
      </c>
      <c r="CP21" s="32">
        <f>1-_xlfn.NORM.DIST(_xlfn.NORM.INV(Eu_g_konfidensniveau,0,1)-Eu_tabel_g[[#This Row],[x base]],0,1,TRUE)</f>
        <v>3.882230990903679E-6</v>
      </c>
      <c r="CQ21" s="32">
        <f>_xlfn.NORM.DIST(_xlfn.NORM.INV((1-Eu_g_konfidensniveau)/2,0,1)-Eu_tabel_g[[#This Row],[x base]],0,1,TRUE)+1-_xlfn.NORM.DIST(_xlfn.NORM.INV(1-(1-Eu_g_konfidensniveau)/2,0,1)-Eu_tabel_g[[#This Row],[x base]],0,1,TRUE)</f>
        <v>0.80696412483467084</v>
      </c>
      <c r="CR21" s="32" t="e" cm="1">
        <f t="array" ref="CR21">IF($CR$3,INDEX(Eu_tabel_g[[#This Row],[Styrke venstre]:[Styrke tosidet]],CR$7),NA())</f>
        <v>#N/A</v>
      </c>
      <c r="CS21" s="52" t="e">
        <f>Eu_tabel_g[[#This Row],[Falsk positiv
Nulhypotese accepteres
Fejltype 1]]</f>
        <v>#N/A</v>
      </c>
      <c r="CT21" s="52" t="e">
        <f>IF(CHOOSE(CR$7,Eu_tabel_g[[#This Row],[x base]]&gt;0,Eu_tabel_g[[#This Row],[x base]]&lt;0,Eu_tabel_g[[#This Row],[x base]]=0),Eu_tabel_g[[#This Row],[Styrke, aktiv]],NA())</f>
        <v>#N/A</v>
      </c>
      <c r="CU21" s="52" t="e">
        <f>IFERROR(IF($CR$3,Eu_tabel_g[[#This Row],[Styrke, aktiv]],NA()),NA())</f>
        <v>#N/A</v>
      </c>
      <c r="CV21" s="52" t="e">
        <f>IF(ISNA(Eu_tabel_g[[#This Row],[Sand negativ
Nulhypotese afvises
Korrekt]]),NA(),IF($CR$3,1,NA()))</f>
        <v>#N/A</v>
      </c>
      <c r="CW21" s="34" t="str" cm="1">
        <f t="array" ref="CW21">_xlfn.SWITCH(BZ21,_xlfn.IFNA(CU$2,-99),CU$5,_xlfn.IFNA(CU$3,-99),CU$6,_xlfn.IFNA(CU$4,-99),CU$7,"")</f>
        <v/>
      </c>
      <c r="DA21" s="7">
        <f t="shared" si="50"/>
        <v>0.8</v>
      </c>
      <c r="DB21">
        <f>IF(ROW(Styrkeberegning_G[[#This Row],[X base venstre]])=ROW(Styrkeberegning_G[[#Headers],[X base venstre]])+1,DB$7/(DA$7/$B$67),DB20/(DA20/$B$67))</f>
        <v>-2.8015817870135784</v>
      </c>
      <c r="DC21">
        <f>Styrkeberegning_G[[#This Row],[X base venstre]]*-1</f>
        <v>2.8015817870135784</v>
      </c>
      <c r="DN21" s="32">
        <f t="shared" si="51"/>
        <v>11</v>
      </c>
      <c r="DO21" s="32">
        <f t="shared" si="52"/>
        <v>12</v>
      </c>
      <c r="DP21" s="32">
        <f t="shared" si="53"/>
        <v>3.0886320852407012</v>
      </c>
      <c r="DQ21" s="32" t="e">
        <f t="shared" si="54"/>
        <v>#N/A</v>
      </c>
      <c r="DR21" s="32" t="e">
        <f t="shared" si="55"/>
        <v>#N/A</v>
      </c>
      <c r="DS21" s="32">
        <f t="shared" si="56"/>
        <v>1.4412460354358489E-2</v>
      </c>
      <c r="DT21" s="32" t="e">
        <f t="shared" si="57"/>
        <v>#N/A</v>
      </c>
      <c r="DU21" s="32" t="b">
        <f t="shared" si="58"/>
        <v>1</v>
      </c>
      <c r="DV21" s="32" t="b">
        <f t="shared" si="59"/>
        <v>0</v>
      </c>
      <c r="DW21" s="32" t="b">
        <f t="shared" si="60"/>
        <v>1</v>
      </c>
      <c r="DX21" s="32" t="b">
        <f t="shared" si="61"/>
        <v>0</v>
      </c>
      <c r="DY21" s="32">
        <f t="shared" si="62"/>
        <v>1.4412460354358489E-2</v>
      </c>
      <c r="DZ21" s="32">
        <f t="shared" si="63"/>
        <v>1.4412460354358489E-2</v>
      </c>
      <c r="EA21" s="32" t="e">
        <f t="shared" si="64"/>
        <v>#N/A</v>
      </c>
      <c r="EB21" s="45" t="str">
        <f t="shared" si="65"/>
        <v/>
      </c>
      <c r="EG21" s="32">
        <f t="shared" si="66"/>
        <v>11</v>
      </c>
      <c r="EH21" s="32">
        <f t="shared" si="67"/>
        <v>12</v>
      </c>
      <c r="EI21" s="32">
        <f t="shared" si="68"/>
        <v>-2.8267241250217205</v>
      </c>
      <c r="EJ21" s="32">
        <f t="shared" si="69"/>
        <v>7.3421528709367023E-3</v>
      </c>
      <c r="EK21" s="32" t="e">
        <f t="shared" si="70"/>
        <v>#N/A</v>
      </c>
      <c r="EL21" s="32" t="e">
        <f t="shared" si="71"/>
        <v>#N/A</v>
      </c>
      <c r="EM21" s="32" t="e">
        <f t="shared" si="72"/>
        <v>#N/A</v>
      </c>
      <c r="EN21" s="32" t="b">
        <f t="shared" si="73"/>
        <v>1</v>
      </c>
      <c r="EO21" s="32" t="b">
        <f t="shared" si="74"/>
        <v>0</v>
      </c>
      <c r="EP21" s="32" t="b">
        <f t="shared" si="75"/>
        <v>1</v>
      </c>
      <c r="EQ21" s="32" t="b">
        <f t="shared" si="76"/>
        <v>0</v>
      </c>
      <c r="ER21" s="32">
        <f t="shared" si="77"/>
        <v>7.3421528709367023E-3</v>
      </c>
      <c r="ES21" s="32">
        <f t="shared" si="78"/>
        <v>7.3421528709367023E-3</v>
      </c>
      <c r="ET21" s="32" t="e">
        <f t="shared" si="79"/>
        <v>#N/A</v>
      </c>
      <c r="EU21" s="45" t="str">
        <f t="shared" si="80"/>
        <v/>
      </c>
      <c r="EV2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 s="32" t="e" cm="1">
        <f t="array" ref="EY21">IF($CR$3,INDEX(Eu_tabel_a[[#This Row],[Styrke venstre]:[Styrke tosidet]],EY$7),NA())</f>
        <v>#N/A</v>
      </c>
      <c r="EZ21" s="32" t="e">
        <f>IF(EY$3,IF(CHOOSE(EY$7,Eu_tabel_a[[#This Row],[x base]]&gt;0,Eu_tabel_a[[#This Row],[x base]]&lt;0,Eu_tabel_a[[#This Row],[x base]]=0),1,NA()),NA())</f>
        <v>#N/A</v>
      </c>
      <c r="FA21" s="32" t="e">
        <f>IF(CHOOSE(EY$7,Eu_tabel_a[[#This Row],[x base]]&gt;0,Eu_tabel_a[[#This Row],[x base]]&lt;0,Eu_tabel_a[[#This Row],[x base]]=0),Eu_tabel_a[[#This Row],[Styrke, aktiv]],NA())</f>
        <v>#N/A</v>
      </c>
      <c r="FB21" s="32" t="e">
        <f>IFERROR(IF($EY$3,Eu_tabel_a[[#This Row],[Styrke, aktiv]],NA()),NA())</f>
        <v>#N/A</v>
      </c>
      <c r="FC21" s="32" t="e">
        <f>IF(ISNA(Eu_tabel_a[[#This Row],[Sand negativ
Nulhypotese afvises
Korrekt]]),NA(),IF(EY$3,1,NA()))</f>
        <v>#N/A</v>
      </c>
      <c r="FD21" s="33" t="str" cm="1">
        <f t="array" ref="FD21">IFERROR(_xlfn.SWITCH(Eu_tabel_a[[#This Row],[Indeks]],_xlfn.IFNA(FB$2,-99),FB$5,_xlfn.IFNA(FB$3,-99),FB$6,_xlfn.IFNA(FB$4,-99),FB$7,""),"")</f>
        <v/>
      </c>
      <c r="FE21" s="32">
        <f>Eu_tabel_a[[#This Row],[x base]]*SQRT(Eu_a_h0_x*(1-Eu_a_h0_x)/Eu_a_n_x)+Eu_a_h0_x</f>
        <v>0</v>
      </c>
      <c r="FJ21" s="74" t="e">
        <f t="shared" si="18"/>
        <v>#N/A</v>
      </c>
      <c r="FK21" s="82" t="e">
        <f t="shared" si="31"/>
        <v>#DIV/0!</v>
      </c>
      <c r="FL21" s="7" t="e">
        <f t="shared" si="12"/>
        <v>#DIV/0!</v>
      </c>
      <c r="FM21" t="e">
        <f t="shared" si="32"/>
        <v>#DIV/0!</v>
      </c>
      <c r="FN21" s="8" t="e">
        <f t="shared" si="33"/>
        <v>#DIV/0!</v>
      </c>
      <c r="FO21" s="8" t="e">
        <f t="shared" si="34"/>
        <v>#DIV/0!</v>
      </c>
      <c r="FP21" s="81" t="e">
        <f t="shared" si="35"/>
        <v>#DIV/0!</v>
      </c>
      <c r="FQ21" s="74" t="e">
        <f t="shared" ca="1" si="13"/>
        <v>#N/A</v>
      </c>
      <c r="FR21" s="82" t="e" vm="3">
        <f t="shared" ca="1" si="19"/>
        <v>#VALUE!</v>
      </c>
      <c r="FS21" s="7" t="e" vm="3">
        <f t="shared" ca="1" si="14"/>
        <v>#VALUE!</v>
      </c>
      <c r="FT21" t="e" vm="3">
        <f t="shared" ca="1" si="8"/>
        <v>#VALUE!</v>
      </c>
      <c r="FU21" s="8" t="e" vm="3">
        <f t="shared" ca="1" si="9"/>
        <v>#VALUE!</v>
      </c>
      <c r="FV21" s="8" t="e" vm="3">
        <f t="shared" ca="1" si="10"/>
        <v>#VALUE!</v>
      </c>
      <c r="FW21" s="81" t="e" vm="3">
        <f t="shared" ca="1" si="11"/>
        <v>#VALUE!</v>
      </c>
      <c r="FX21" s="74" t="e">
        <f t="shared" si="15"/>
        <v>#N/A</v>
      </c>
      <c r="FY21" s="82" t="e">
        <f t="shared" si="20"/>
        <v>#N/A</v>
      </c>
      <c r="FZ21" s="7" t="e">
        <f t="shared" si="16"/>
        <v>#N/A</v>
      </c>
      <c r="GA21" t="e">
        <f t="shared" si="21"/>
        <v>#N/A</v>
      </c>
      <c r="GB21" s="8" t="e">
        <f t="shared" si="22"/>
        <v>#N/A</v>
      </c>
      <c r="GC21" s="8" t="e">
        <f t="shared" si="23"/>
        <v>#N/A</v>
      </c>
      <c r="GD21" s="81" t="e">
        <f t="shared" si="24"/>
        <v>#N/A</v>
      </c>
      <c r="GE21" s="74" t="e">
        <f t="shared" si="25"/>
        <v>#N/A</v>
      </c>
      <c r="GF21" s="82" t="e">
        <f t="shared" si="26"/>
        <v>#N/A</v>
      </c>
      <c r="GG21" s="7" t="e">
        <f t="shared" si="17"/>
        <v>#N/A</v>
      </c>
      <c r="GH21" t="e">
        <f t="shared" si="27"/>
        <v>#N/A</v>
      </c>
      <c r="GI21" s="8" t="e">
        <f t="shared" si="28"/>
        <v>#N/A</v>
      </c>
      <c r="GJ21" s="8" t="e">
        <f t="shared" si="29"/>
        <v>#N/A</v>
      </c>
      <c r="GK21" s="81" t="e">
        <f t="shared" si="30"/>
        <v>#N/A</v>
      </c>
      <c r="GL21" s="81"/>
      <c r="GM21" s="81"/>
      <c r="GP21" s="32">
        <f t="shared" si="81"/>
        <v>11</v>
      </c>
      <c r="GQ21" s="32">
        <f t="shared" si="82"/>
        <v>12</v>
      </c>
      <c r="GR21" s="32">
        <f t="shared" si="83"/>
        <v>-2.8267241250217205</v>
      </c>
      <c r="GS21" s="32">
        <f t="shared" si="84"/>
        <v>7.3421528709367023E-3</v>
      </c>
      <c r="GT21" s="32" t="e">
        <f t="shared" si="85"/>
        <v>#N/A</v>
      </c>
      <c r="GU21" s="32" t="e">
        <f t="shared" si="86"/>
        <v>#N/A</v>
      </c>
      <c r="GV21" s="32" t="e">
        <f t="shared" si="87"/>
        <v>#N/A</v>
      </c>
      <c r="GW21" s="32" t="b">
        <f t="shared" si="88"/>
        <v>1</v>
      </c>
      <c r="GX21" s="32" t="b">
        <f t="shared" si="89"/>
        <v>0</v>
      </c>
      <c r="GY21" s="32" t="b">
        <f t="shared" si="90"/>
        <v>1</v>
      </c>
      <c r="GZ21" s="32" t="b">
        <f t="shared" si="91"/>
        <v>0</v>
      </c>
      <c r="HA21" s="32">
        <f t="shared" si="92"/>
        <v>7.3421528709367023E-3</v>
      </c>
      <c r="HB21" s="32">
        <f t="shared" si="93"/>
        <v>7.3421528709367023E-3</v>
      </c>
      <c r="HC21" s="32" t="e">
        <f t="shared" si="94"/>
        <v>#N/A</v>
      </c>
      <c r="HD21" s="45" t="str">
        <f t="shared" si="95"/>
        <v/>
      </c>
      <c r="HJ21" s="32">
        <f t="shared" si="96"/>
        <v>11</v>
      </c>
      <c r="HK21" s="32">
        <f t="shared" si="97"/>
        <v>12</v>
      </c>
      <c r="HL21" s="32">
        <f t="shared" si="98"/>
        <v>-4.3772416758087074</v>
      </c>
      <c r="HM21" s="32" t="e">
        <f t="shared" si="99"/>
        <v>#N/A</v>
      </c>
      <c r="HN21" s="32">
        <f t="shared" si="100"/>
        <v>1.973676810225125E-3</v>
      </c>
      <c r="HO21" s="32" t="e">
        <f t="shared" si="101"/>
        <v>#N/A</v>
      </c>
      <c r="HP21" s="32" t="e">
        <f t="shared" si="102"/>
        <v>#N/A</v>
      </c>
      <c r="HQ21" s="32" t="b">
        <f t="shared" si="103"/>
        <v>1</v>
      </c>
      <c r="HR21" s="32" t="b">
        <f t="shared" si="104"/>
        <v>0</v>
      </c>
      <c r="HS21" s="32" t="b">
        <f t="shared" si="105"/>
        <v>1</v>
      </c>
      <c r="HT21" s="32" t="b">
        <f t="shared" si="106"/>
        <v>0</v>
      </c>
      <c r="HU21" s="32">
        <f t="shared" si="107"/>
        <v>1.973676810225125E-3</v>
      </c>
      <c r="HV21" s="32">
        <f t="shared" si="108"/>
        <v>1.973676810225125E-3</v>
      </c>
      <c r="HW21" s="32" t="e">
        <f t="shared" si="109"/>
        <v>#N/A</v>
      </c>
      <c r="HX21" s="45" t="str">
        <f t="shared" si="110"/>
        <v/>
      </c>
    </row>
    <row r="22" spans="57:232" x14ac:dyDescent="0.2">
      <c r="BE22" s="53" t="s">
        <v>226</v>
      </c>
      <c r="BF22" s="35" t="s">
        <v>220</v>
      </c>
      <c r="BG22" s="35" t="s">
        <v>220</v>
      </c>
      <c r="BH22" s="35" t="s">
        <v>220</v>
      </c>
      <c r="BI22" s="35" t="s">
        <v>220</v>
      </c>
      <c r="BJ22" s="35" t="s">
        <v>220</v>
      </c>
      <c r="BL22" s="53" t="s">
        <v>246</v>
      </c>
      <c r="BM22" s="86" cm="1">
        <f t="array" ref="BM22">IF($BG$2,INDEX(E_s_valg[Venstre label base],E_s_aktiv),NA())</f>
        <v>3.0509630363038913</v>
      </c>
      <c r="BZ22" s="32">
        <f t="shared" si="36"/>
        <v>12</v>
      </c>
      <c r="CA22" s="32">
        <f>Eu_tabel_g[[#This Row],[Indeks]]+1</f>
        <v>13</v>
      </c>
      <c r="CB22" s="32">
        <f t="shared" si="37"/>
        <v>-2.8027688358266212</v>
      </c>
      <c r="CC22" s="32">
        <f t="shared" si="38"/>
        <v>7.8542923005407734E-3</v>
      </c>
      <c r="CD22" s="32" t="e">
        <f t="shared" si="39"/>
        <v>#N/A</v>
      </c>
      <c r="CE22" s="32" t="e">
        <f t="shared" si="40"/>
        <v>#N/A</v>
      </c>
      <c r="CF22" s="32" t="e">
        <f t="shared" si="41"/>
        <v>#N/A</v>
      </c>
      <c r="CG22" s="32" t="b">
        <f t="shared" si="42"/>
        <v>1</v>
      </c>
      <c r="CH22" s="32" t="b">
        <f t="shared" si="43"/>
        <v>0</v>
      </c>
      <c r="CI22" s="32" t="b">
        <f t="shared" si="44"/>
        <v>1</v>
      </c>
      <c r="CJ22" s="32" t="b">
        <f t="shared" si="45"/>
        <v>0</v>
      </c>
      <c r="CK22" s="32">
        <f t="shared" si="111"/>
        <v>7.8542923005407734E-3</v>
      </c>
      <c r="CL22" s="32">
        <f t="shared" si="47"/>
        <v>7.8542923005407734E-3</v>
      </c>
      <c r="CM22" s="32" t="e">
        <f t="shared" si="48"/>
        <v>#N/A</v>
      </c>
      <c r="CN22" s="45" t="str">
        <f t="shared" si="49"/>
        <v/>
      </c>
      <c r="CO22" s="32">
        <f>_xlfn.NORM.DIST(_xlfn.NORM.INV(1-Eu_g_konfidensniveau,0,1)-Eu_tabel_g[[#This Row],[x base]],0,1,TRUE)</f>
        <v>0.87655067983900448</v>
      </c>
      <c r="CP22" s="32">
        <f>1-_xlfn.NORM.DIST(_xlfn.NORM.INV(Eu_g_konfidensniveau,0,1)-Eu_tabel_g[[#This Row],[x base]],0,1,TRUE)</f>
        <v>4.3412979959800424E-6</v>
      </c>
      <c r="CQ22" s="32">
        <f>_xlfn.NORM.DIST(_xlfn.NORM.INV((1-Eu_g_konfidensniveau)/2,0,1)-Eu_tabel_g[[#This Row],[x base]],0,1,TRUE)+1-_xlfn.NORM.DIST(_xlfn.NORM.INV(1-(1-Eu_g_konfidensniveau)/2,0,1)-Eu_tabel_g[[#This Row],[x base]],0,1,TRUE)</f>
        <v>0.80033215776148381</v>
      </c>
      <c r="CR22" s="32" t="e" cm="1">
        <f t="array" ref="CR22">IF($CR$3,INDEX(Eu_tabel_g[[#This Row],[Styrke venstre]:[Styrke tosidet]],CR$7),NA())</f>
        <v>#N/A</v>
      </c>
      <c r="CS22" s="52" t="e">
        <f>Eu_tabel_g[[#This Row],[Falsk positiv
Nulhypotese accepteres
Fejltype 1]]</f>
        <v>#N/A</v>
      </c>
      <c r="CT22" s="52" t="e">
        <f>IF(CHOOSE(CR$7,Eu_tabel_g[[#This Row],[x base]]&gt;0,Eu_tabel_g[[#This Row],[x base]]&lt;0,Eu_tabel_g[[#This Row],[x base]]=0),Eu_tabel_g[[#This Row],[Styrke, aktiv]],NA())</f>
        <v>#N/A</v>
      </c>
      <c r="CU22" s="52" t="e">
        <f>IFERROR(IF($CR$3,Eu_tabel_g[[#This Row],[Styrke, aktiv]],NA()),NA())</f>
        <v>#N/A</v>
      </c>
      <c r="CV22" s="52" t="e">
        <f>IF(ISNA(Eu_tabel_g[[#This Row],[Sand negativ
Nulhypotese afvises
Korrekt]]),NA(),IF($CR$3,1,NA()))</f>
        <v>#N/A</v>
      </c>
      <c r="CW22" s="34" t="str" cm="1">
        <f t="array" ref="CW22">_xlfn.SWITCH(BZ22,_xlfn.IFNA(CU$2,-99),CU$5,_xlfn.IFNA(CU$3,-99),CU$6,_xlfn.IFNA(CU$4,-99),CU$7,"")</f>
        <v/>
      </c>
      <c r="DA22" s="7">
        <f t="shared" si="50"/>
        <v>0.8</v>
      </c>
      <c r="DB22">
        <f>IF(ROW(Styrkeberegning_G[[#This Row],[X base venstre]])=ROW(Styrkeberegning_G[[#Headers],[X base venstre]])+1,DB$7/(DA$7/$B$67),DB21/(DA21/$B$67))</f>
        <v>-2.8015817870135784</v>
      </c>
      <c r="DC22">
        <f>Styrkeberegning_G[[#This Row],[X base venstre]]*-1</f>
        <v>2.8015817870135784</v>
      </c>
      <c r="DN22" s="32">
        <f t="shared" si="51"/>
        <v>12</v>
      </c>
      <c r="DO22" s="32">
        <f t="shared" si="52"/>
        <v>13</v>
      </c>
      <c r="DP22" s="32">
        <f t="shared" si="53"/>
        <v>3.2027029416577024</v>
      </c>
      <c r="DQ22" s="32" t="e">
        <f t="shared" si="54"/>
        <v>#N/A</v>
      </c>
      <c r="DR22" s="32" t="e">
        <f t="shared" si="55"/>
        <v>#N/A</v>
      </c>
      <c r="DS22" s="32">
        <f t="shared" si="56"/>
        <v>1.6026737141399662E-2</v>
      </c>
      <c r="DT22" s="32" t="e">
        <f t="shared" si="57"/>
        <v>#N/A</v>
      </c>
      <c r="DU22" s="32" t="b">
        <f t="shared" si="58"/>
        <v>1</v>
      </c>
      <c r="DV22" s="32" t="b">
        <f t="shared" si="59"/>
        <v>0</v>
      </c>
      <c r="DW22" s="32" t="b">
        <f t="shared" si="60"/>
        <v>1</v>
      </c>
      <c r="DX22" s="32" t="b">
        <f t="shared" si="61"/>
        <v>0</v>
      </c>
      <c r="DY22" s="32">
        <f t="shared" si="62"/>
        <v>1.6026737141399662E-2</v>
      </c>
      <c r="DZ22" s="32">
        <f t="shared" si="63"/>
        <v>1.6026737141399662E-2</v>
      </c>
      <c r="EA22" s="32" t="e">
        <f t="shared" si="64"/>
        <v>#N/A</v>
      </c>
      <c r="EB22" s="45" t="str">
        <f t="shared" si="65"/>
        <v/>
      </c>
      <c r="EG22" s="32">
        <f t="shared" si="66"/>
        <v>12</v>
      </c>
      <c r="EH22" s="32">
        <f t="shared" si="67"/>
        <v>13</v>
      </c>
      <c r="EI22" s="32">
        <f t="shared" si="68"/>
        <v>-2.8027688358266212</v>
      </c>
      <c r="EJ22" s="32">
        <f t="shared" si="69"/>
        <v>7.8542923005407734E-3</v>
      </c>
      <c r="EK22" s="32" t="e">
        <f t="shared" si="70"/>
        <v>#N/A</v>
      </c>
      <c r="EL22" s="32" t="e">
        <f t="shared" si="71"/>
        <v>#N/A</v>
      </c>
      <c r="EM22" s="32" t="e">
        <f t="shared" si="72"/>
        <v>#N/A</v>
      </c>
      <c r="EN22" s="32" t="b">
        <f t="shared" si="73"/>
        <v>1</v>
      </c>
      <c r="EO22" s="32" t="b">
        <f t="shared" si="74"/>
        <v>0</v>
      </c>
      <c r="EP22" s="32" t="b">
        <f t="shared" si="75"/>
        <v>1</v>
      </c>
      <c r="EQ22" s="32" t="b">
        <f t="shared" si="76"/>
        <v>0</v>
      </c>
      <c r="ER22" s="32">
        <f t="shared" si="77"/>
        <v>7.8542923005407734E-3</v>
      </c>
      <c r="ES22" s="32">
        <f t="shared" si="78"/>
        <v>7.8542923005407734E-3</v>
      </c>
      <c r="ET22" s="32" t="e">
        <f t="shared" si="79"/>
        <v>#N/A</v>
      </c>
      <c r="EU22" s="45" t="str">
        <f t="shared" si="80"/>
        <v/>
      </c>
      <c r="EV2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 s="32" t="e" cm="1">
        <f t="array" ref="EY22">IF($CR$3,INDEX(Eu_tabel_a[[#This Row],[Styrke venstre]:[Styrke tosidet]],EY$7),NA())</f>
        <v>#N/A</v>
      </c>
      <c r="EZ22" s="32" t="e">
        <f>IF(EY$3,IF(CHOOSE(EY$7,Eu_tabel_a[[#This Row],[x base]]&gt;0,Eu_tabel_a[[#This Row],[x base]]&lt;0,Eu_tabel_a[[#This Row],[x base]]=0),1,NA()),NA())</f>
        <v>#N/A</v>
      </c>
      <c r="FA22" s="32" t="e">
        <f>IF(CHOOSE(EY$7,Eu_tabel_a[[#This Row],[x base]]&gt;0,Eu_tabel_a[[#This Row],[x base]]&lt;0,Eu_tabel_a[[#This Row],[x base]]=0),Eu_tabel_a[[#This Row],[Styrke, aktiv]],NA())</f>
        <v>#N/A</v>
      </c>
      <c r="FB22" s="32" t="e">
        <f>IFERROR(IF($EY$3,Eu_tabel_a[[#This Row],[Styrke, aktiv]],NA()),NA())</f>
        <v>#N/A</v>
      </c>
      <c r="FC22" s="32" t="e">
        <f>IF(ISNA(Eu_tabel_a[[#This Row],[Sand negativ
Nulhypotese afvises
Korrekt]]),NA(),IF(EY$3,1,NA()))</f>
        <v>#N/A</v>
      </c>
      <c r="FD22" s="33" t="str" cm="1">
        <f t="array" ref="FD22">IFERROR(_xlfn.SWITCH(Eu_tabel_a[[#This Row],[Indeks]],_xlfn.IFNA(FB$2,-99),FB$5,_xlfn.IFNA(FB$3,-99),FB$6,_xlfn.IFNA(FB$4,-99),FB$7,""),"")</f>
        <v/>
      </c>
      <c r="FE22" s="32">
        <f>Eu_tabel_a[[#This Row],[x base]]*SQRT(Eu_a_h0_x*(1-Eu_a_h0_x)/Eu_a_n_x)+Eu_a_h0_x</f>
        <v>0</v>
      </c>
      <c r="FJ22" s="74" t="e">
        <f t="shared" si="18"/>
        <v>#N/A</v>
      </c>
      <c r="FK22" s="82" t="e">
        <f t="shared" si="31"/>
        <v>#DIV/0!</v>
      </c>
      <c r="FL22" s="7" t="e">
        <f t="shared" si="12"/>
        <v>#DIV/0!</v>
      </c>
      <c r="FM22" t="e">
        <f t="shared" si="32"/>
        <v>#DIV/0!</v>
      </c>
      <c r="FN22" s="8" t="e">
        <f t="shared" si="33"/>
        <v>#DIV/0!</v>
      </c>
      <c r="FO22" s="8" t="e">
        <f t="shared" si="34"/>
        <v>#DIV/0!</v>
      </c>
      <c r="FP22" s="81" t="e">
        <f t="shared" si="35"/>
        <v>#DIV/0!</v>
      </c>
      <c r="FQ22" s="74" t="e">
        <f t="shared" ca="1" si="13"/>
        <v>#N/A</v>
      </c>
      <c r="FR22" s="82" t="e" vm="3">
        <f t="shared" ca="1" si="19"/>
        <v>#VALUE!</v>
      </c>
      <c r="FS22" s="7" t="e" vm="3">
        <f t="shared" ca="1" si="14"/>
        <v>#VALUE!</v>
      </c>
      <c r="FT22" t="e" vm="3">
        <f t="shared" ca="1" si="8"/>
        <v>#VALUE!</v>
      </c>
      <c r="FU22" s="8" t="e" vm="3">
        <f t="shared" ca="1" si="9"/>
        <v>#VALUE!</v>
      </c>
      <c r="FV22" s="8" t="e" vm="3">
        <f t="shared" ca="1" si="10"/>
        <v>#VALUE!</v>
      </c>
      <c r="FW22" s="81" t="e" vm="3">
        <f t="shared" ca="1" si="11"/>
        <v>#VALUE!</v>
      </c>
      <c r="FX22" s="74" t="e">
        <f t="shared" si="15"/>
        <v>#N/A</v>
      </c>
      <c r="FY22" s="82" t="e">
        <f t="shared" si="20"/>
        <v>#N/A</v>
      </c>
      <c r="FZ22" s="7" t="e">
        <f t="shared" si="16"/>
        <v>#N/A</v>
      </c>
      <c r="GA22" t="e">
        <f t="shared" si="21"/>
        <v>#N/A</v>
      </c>
      <c r="GB22" s="8" t="e">
        <f t="shared" si="22"/>
        <v>#N/A</v>
      </c>
      <c r="GC22" s="8" t="e">
        <f t="shared" si="23"/>
        <v>#N/A</v>
      </c>
      <c r="GD22" s="81" t="e">
        <f t="shared" si="24"/>
        <v>#N/A</v>
      </c>
      <c r="GE22" s="74" t="e">
        <f t="shared" si="25"/>
        <v>#N/A</v>
      </c>
      <c r="GF22" s="82" t="e">
        <f t="shared" si="26"/>
        <v>#N/A</v>
      </c>
      <c r="GG22" s="7" t="e">
        <f t="shared" si="17"/>
        <v>#N/A</v>
      </c>
      <c r="GH22" t="e">
        <f t="shared" si="27"/>
        <v>#N/A</v>
      </c>
      <c r="GI22" s="8" t="e">
        <f t="shared" si="28"/>
        <v>#N/A</v>
      </c>
      <c r="GJ22" s="8" t="e">
        <f t="shared" si="29"/>
        <v>#N/A</v>
      </c>
      <c r="GK22" s="81" t="e">
        <f t="shared" si="30"/>
        <v>#N/A</v>
      </c>
      <c r="GL22" s="81"/>
      <c r="GM22" s="81"/>
      <c r="GP22" s="32">
        <f t="shared" si="81"/>
        <v>12</v>
      </c>
      <c r="GQ22" s="32">
        <f t="shared" si="82"/>
        <v>13</v>
      </c>
      <c r="GR22" s="32">
        <f t="shared" si="83"/>
        <v>-2.8027688358266212</v>
      </c>
      <c r="GS22" s="32">
        <f t="shared" si="84"/>
        <v>7.8542923005407734E-3</v>
      </c>
      <c r="GT22" s="32" t="e">
        <f t="shared" si="85"/>
        <v>#N/A</v>
      </c>
      <c r="GU22" s="32" t="e">
        <f t="shared" si="86"/>
        <v>#N/A</v>
      </c>
      <c r="GV22" s="32" t="e">
        <f t="shared" si="87"/>
        <v>#N/A</v>
      </c>
      <c r="GW22" s="32" t="b">
        <f t="shared" si="88"/>
        <v>1</v>
      </c>
      <c r="GX22" s="32" t="b">
        <f t="shared" si="89"/>
        <v>0</v>
      </c>
      <c r="GY22" s="32" t="b">
        <f t="shared" si="90"/>
        <v>1</v>
      </c>
      <c r="GZ22" s="32" t="b">
        <f t="shared" si="91"/>
        <v>0</v>
      </c>
      <c r="HA22" s="32">
        <f t="shared" si="92"/>
        <v>7.8542923005407734E-3</v>
      </c>
      <c r="HB22" s="32">
        <f t="shared" si="93"/>
        <v>7.8542923005407734E-3</v>
      </c>
      <c r="HC22" s="32" t="e">
        <f t="shared" si="94"/>
        <v>#N/A</v>
      </c>
      <c r="HD22" s="45" t="str">
        <f t="shared" si="95"/>
        <v/>
      </c>
      <c r="HJ22" s="32">
        <f t="shared" si="96"/>
        <v>12</v>
      </c>
      <c r="HK22" s="32">
        <f t="shared" si="97"/>
        <v>13</v>
      </c>
      <c r="HL22" s="32">
        <f t="shared" si="98"/>
        <v>-4.3401464073696507</v>
      </c>
      <c r="HM22" s="32" t="e">
        <f t="shared" si="99"/>
        <v>#N/A</v>
      </c>
      <c r="HN22" s="32">
        <f t="shared" si="100"/>
        <v>2.0743574203867876E-3</v>
      </c>
      <c r="HO22" s="32" t="e">
        <f t="shared" si="101"/>
        <v>#N/A</v>
      </c>
      <c r="HP22" s="32" t="e">
        <f t="shared" si="102"/>
        <v>#N/A</v>
      </c>
      <c r="HQ22" s="32" t="b">
        <f t="shared" si="103"/>
        <v>1</v>
      </c>
      <c r="HR22" s="32" t="b">
        <f t="shared" si="104"/>
        <v>0</v>
      </c>
      <c r="HS22" s="32" t="b">
        <f t="shared" si="105"/>
        <v>1</v>
      </c>
      <c r="HT22" s="32" t="b">
        <f t="shared" si="106"/>
        <v>0</v>
      </c>
      <c r="HU22" s="32">
        <f t="shared" si="107"/>
        <v>2.0743574203867876E-3</v>
      </c>
      <c r="HV22" s="32">
        <f t="shared" si="108"/>
        <v>2.0743574203867876E-3</v>
      </c>
      <c r="HW22" s="32" t="e">
        <f t="shared" si="109"/>
        <v>#N/A</v>
      </c>
      <c r="HX22" s="45" t="str">
        <f t="shared" si="110"/>
        <v/>
      </c>
    </row>
    <row r="23" spans="57:232" x14ac:dyDescent="0.2">
      <c r="BE23" s="35" t="s">
        <v>58</v>
      </c>
      <c r="BF23" s="37" cm="1">
        <f t="array" ref="BF23">MATCH(LARGE((BF18:BF21&lt;&gt;0)*{4;3;2;1},ROWS(BF18:BF18)),{4;3;2;1},0)</f>
        <v>1</v>
      </c>
      <c r="BG23" s="37" cm="1">
        <f t="array" ref="BG23">MATCH(LARGE((BG18:BG21&lt;&gt;0)*{4;3;2;1},ROWS(BG18:BG18)),{4;3;2;1},0)</f>
        <v>1</v>
      </c>
      <c r="BH23" s="37" cm="1">
        <f t="array" ref="BH23">MATCH(LARGE((BH18:BH21&lt;&gt;0)*{4;3;2;1},ROWS(BH18:BH18)),{4;3;2;1},0)</f>
        <v>1</v>
      </c>
      <c r="BI23" s="37" cm="1">
        <f t="array" ref="BI23">MATCH(LARGE((BI18:BI21&lt;&gt;0)*{4;3;2;1},ROWS(BI18:BI18)),{4;3;2;1},0)</f>
        <v>1</v>
      </c>
      <c r="BJ23" s="37" cm="1">
        <f t="array" ref="BJ23">MATCH(LARGE((BJ18:BJ21&lt;&gt;0)*{4;3;2;1},ROWS(BJ18:BJ18)),{4;3;2;1},0)</f>
        <v>1</v>
      </c>
      <c r="BL23" s="53" t="s">
        <v>247</v>
      </c>
      <c r="BM23" s="86" cm="1">
        <f t="array" ref="BM23">IF($BG$2,INDEX(E_s_valg[Højre label base],E_s_aktiv),NA())</f>
        <v>7.3125332181107092</v>
      </c>
      <c r="BZ23" s="32">
        <f t="shared" si="36"/>
        <v>13</v>
      </c>
      <c r="CA23" s="32">
        <f>Eu_tabel_g[[#This Row],[Indeks]]+1</f>
        <v>14</v>
      </c>
      <c r="CB23" s="32">
        <f t="shared" si="37"/>
        <v>-2.7788135466315218</v>
      </c>
      <c r="CC23" s="32">
        <f t="shared" si="38"/>
        <v>8.3973349051078925E-3</v>
      </c>
      <c r="CD23" s="32" t="e">
        <f t="shared" si="39"/>
        <v>#N/A</v>
      </c>
      <c r="CE23" s="32" t="e">
        <f t="shared" si="40"/>
        <v>#N/A</v>
      </c>
      <c r="CF23" s="32" t="e">
        <f t="shared" si="41"/>
        <v>#N/A</v>
      </c>
      <c r="CG23" s="32" t="b">
        <f t="shared" si="42"/>
        <v>1</v>
      </c>
      <c r="CH23" s="32" t="b">
        <f t="shared" si="43"/>
        <v>0</v>
      </c>
      <c r="CI23" s="32" t="b">
        <f t="shared" si="44"/>
        <v>1</v>
      </c>
      <c r="CJ23" s="32" t="b">
        <f t="shared" si="45"/>
        <v>0</v>
      </c>
      <c r="CK23" s="32">
        <f t="shared" si="111"/>
        <v>8.3973349051078925E-3</v>
      </c>
      <c r="CL23" s="32">
        <f t="shared" si="47"/>
        <v>8.3973349051078925E-3</v>
      </c>
      <c r="CM23" s="32" t="e">
        <f t="shared" si="48"/>
        <v>#N/A</v>
      </c>
      <c r="CN23" s="45" t="str">
        <f t="shared" si="49"/>
        <v/>
      </c>
      <c r="CO23" s="32">
        <f>_xlfn.NORM.DIST(_xlfn.NORM.INV(1-Eu_g_konfidensniveau,0,1)-Eu_tabel_g[[#This Row],[x base]],0,1,TRUE)</f>
        <v>0.87159431961038669</v>
      </c>
      <c r="CP23" s="32">
        <f>1-_xlfn.NORM.DIST(_xlfn.NORM.INV(Eu_g_konfidensniveau,0,1)-Eu_tabel_g[[#This Row],[x base]],0,1,TRUE)</f>
        <v>4.8519739090924219E-6</v>
      </c>
      <c r="CQ23" s="32">
        <f>_xlfn.NORM.DIST(_xlfn.NORM.INV((1-Eu_g_konfidensniveau)/2,0,1)-Eu_tabel_g[[#This Row],[x base]],0,1,TRUE)+1-_xlfn.NORM.DIST(_xlfn.NORM.INV(1-(1-Eu_g_konfidensniveau)/2,0,1)-Eu_tabel_g[[#This Row],[x base]],0,1,TRUE)</f>
        <v>0.79356495019123918</v>
      </c>
      <c r="CR23" s="32" t="e" cm="1">
        <f t="array" ref="CR23">IF($CR$3,INDEX(Eu_tabel_g[[#This Row],[Styrke venstre]:[Styrke tosidet]],CR$7),NA())</f>
        <v>#N/A</v>
      </c>
      <c r="CS23" s="52" t="e">
        <f>Eu_tabel_g[[#This Row],[Falsk positiv
Nulhypotese accepteres
Fejltype 1]]</f>
        <v>#N/A</v>
      </c>
      <c r="CT23" s="52" t="e">
        <f>IF(CHOOSE(CR$7,Eu_tabel_g[[#This Row],[x base]]&gt;0,Eu_tabel_g[[#This Row],[x base]]&lt;0,Eu_tabel_g[[#This Row],[x base]]=0),Eu_tabel_g[[#This Row],[Styrke, aktiv]],NA())</f>
        <v>#N/A</v>
      </c>
      <c r="CU23" s="52" t="e">
        <f>IFERROR(IF($CR$3,Eu_tabel_g[[#This Row],[Styrke, aktiv]],NA()),NA())</f>
        <v>#N/A</v>
      </c>
      <c r="CV23" s="52" t="e">
        <f>IF(ISNA(Eu_tabel_g[[#This Row],[Sand negativ
Nulhypotese afvises
Korrekt]]),NA(),IF($CR$3,1,NA()))</f>
        <v>#N/A</v>
      </c>
      <c r="CW23" s="34" t="str" cm="1">
        <f t="array" ref="CW23">_xlfn.SWITCH(BZ23,_xlfn.IFNA(CU$2,-99),CU$5,_xlfn.IFNA(CU$3,-99),CU$6,_xlfn.IFNA(CU$4,-99),CU$7,"")</f>
        <v/>
      </c>
      <c r="DA23" s="7">
        <f t="shared" si="50"/>
        <v>0.8</v>
      </c>
      <c r="DB23">
        <f>IF(ROW(Styrkeberegning_G[[#This Row],[X base venstre]])=ROW(Styrkeberegning_G[[#Headers],[X base venstre]])+1,DB$7/(DA$7/$B$67),DB22/(DA22/$B$67))</f>
        <v>-2.8015817870135784</v>
      </c>
      <c r="DC23">
        <f>Styrkeberegning_G[[#This Row],[X base venstre]]*-1</f>
        <v>2.8015817870135784</v>
      </c>
      <c r="DN23" s="32">
        <f t="shared" si="51"/>
        <v>13</v>
      </c>
      <c r="DO23" s="32">
        <f t="shared" si="52"/>
        <v>14</v>
      </c>
      <c r="DP23" s="32">
        <f t="shared" si="53"/>
        <v>3.3167737980747036</v>
      </c>
      <c r="DQ23" s="32" t="e">
        <f t="shared" si="54"/>
        <v>#N/A</v>
      </c>
      <c r="DR23" s="32" t="e">
        <f t="shared" si="55"/>
        <v>#N/A</v>
      </c>
      <c r="DS23" s="32">
        <f t="shared" si="56"/>
        <v>1.7720310229491915E-2</v>
      </c>
      <c r="DT23" s="32" t="e">
        <f t="shared" si="57"/>
        <v>#N/A</v>
      </c>
      <c r="DU23" s="32" t="b">
        <f t="shared" si="58"/>
        <v>1</v>
      </c>
      <c r="DV23" s="32" t="b">
        <f t="shared" si="59"/>
        <v>0</v>
      </c>
      <c r="DW23" s="32" t="b">
        <f t="shared" si="60"/>
        <v>1</v>
      </c>
      <c r="DX23" s="32" t="b">
        <f t="shared" si="61"/>
        <v>0</v>
      </c>
      <c r="DY23" s="32">
        <f t="shared" si="62"/>
        <v>1.7720310229491915E-2</v>
      </c>
      <c r="DZ23" s="32">
        <f t="shared" si="63"/>
        <v>1.7720310229491915E-2</v>
      </c>
      <c r="EA23" s="32" t="e">
        <f t="shared" si="64"/>
        <v>#N/A</v>
      </c>
      <c r="EB23" s="45" t="str">
        <f t="shared" si="65"/>
        <v/>
      </c>
      <c r="EG23" s="32">
        <f t="shared" si="66"/>
        <v>13</v>
      </c>
      <c r="EH23" s="32">
        <f t="shared" si="67"/>
        <v>14</v>
      </c>
      <c r="EI23" s="32">
        <f t="shared" si="68"/>
        <v>-2.7788135466315218</v>
      </c>
      <c r="EJ23" s="32">
        <f t="shared" si="69"/>
        <v>8.3973349051078925E-3</v>
      </c>
      <c r="EK23" s="32" t="e">
        <f t="shared" si="70"/>
        <v>#N/A</v>
      </c>
      <c r="EL23" s="32" t="e">
        <f t="shared" si="71"/>
        <v>#N/A</v>
      </c>
      <c r="EM23" s="32" t="e">
        <f t="shared" si="72"/>
        <v>#N/A</v>
      </c>
      <c r="EN23" s="32" t="b">
        <f t="shared" si="73"/>
        <v>1</v>
      </c>
      <c r="EO23" s="32" t="b">
        <f t="shared" si="74"/>
        <v>0</v>
      </c>
      <c r="EP23" s="32" t="b">
        <f t="shared" si="75"/>
        <v>1</v>
      </c>
      <c r="EQ23" s="32" t="b">
        <f t="shared" si="76"/>
        <v>0</v>
      </c>
      <c r="ER23" s="32">
        <f t="shared" si="77"/>
        <v>8.3973349051078925E-3</v>
      </c>
      <c r="ES23" s="32">
        <f t="shared" si="78"/>
        <v>8.3973349051078925E-3</v>
      </c>
      <c r="ET23" s="32" t="e">
        <f t="shared" si="79"/>
        <v>#N/A</v>
      </c>
      <c r="EU23" s="45" t="str">
        <f t="shared" si="80"/>
        <v/>
      </c>
      <c r="EV2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 s="32" t="e" cm="1">
        <f t="array" ref="EY23">IF($CR$3,INDEX(Eu_tabel_a[[#This Row],[Styrke venstre]:[Styrke tosidet]],EY$7),NA())</f>
        <v>#N/A</v>
      </c>
      <c r="EZ23" s="32" t="e">
        <f>IF(EY$3,IF(CHOOSE(EY$7,Eu_tabel_a[[#This Row],[x base]]&gt;0,Eu_tabel_a[[#This Row],[x base]]&lt;0,Eu_tabel_a[[#This Row],[x base]]=0),1,NA()),NA())</f>
        <v>#N/A</v>
      </c>
      <c r="FA23" s="32" t="e">
        <f>IF(CHOOSE(EY$7,Eu_tabel_a[[#This Row],[x base]]&gt;0,Eu_tabel_a[[#This Row],[x base]]&lt;0,Eu_tabel_a[[#This Row],[x base]]=0),Eu_tabel_a[[#This Row],[Styrke, aktiv]],NA())</f>
        <v>#N/A</v>
      </c>
      <c r="FB23" s="32" t="e">
        <f>IFERROR(IF($EY$3,Eu_tabel_a[[#This Row],[Styrke, aktiv]],NA()),NA())</f>
        <v>#N/A</v>
      </c>
      <c r="FC23" s="32" t="e">
        <f>IF(ISNA(Eu_tabel_a[[#This Row],[Sand negativ
Nulhypotese afvises
Korrekt]]),NA(),IF(EY$3,1,NA()))</f>
        <v>#N/A</v>
      </c>
      <c r="FD23" s="33" t="str" cm="1">
        <f t="array" ref="FD23">IFERROR(_xlfn.SWITCH(Eu_tabel_a[[#This Row],[Indeks]],_xlfn.IFNA(FB$2,-99),FB$5,_xlfn.IFNA(FB$3,-99),FB$6,_xlfn.IFNA(FB$4,-99),FB$7,""),"")</f>
        <v/>
      </c>
      <c r="FE23" s="32">
        <f>Eu_tabel_a[[#This Row],[x base]]*SQRT(Eu_a_h0_x*(1-Eu_a_h0_x)/Eu_a_n_x)+Eu_a_h0_x</f>
        <v>0</v>
      </c>
      <c r="FJ23" s="74" t="e">
        <f t="shared" si="18"/>
        <v>#N/A</v>
      </c>
      <c r="FK23" s="82" t="e">
        <f t="shared" si="31"/>
        <v>#DIV/0!</v>
      </c>
      <c r="FL23" s="7" t="e">
        <f t="shared" si="12"/>
        <v>#DIV/0!</v>
      </c>
      <c r="FM23" t="e">
        <f t="shared" si="32"/>
        <v>#DIV/0!</v>
      </c>
      <c r="FN23" s="8" t="e">
        <f t="shared" si="33"/>
        <v>#DIV/0!</v>
      </c>
      <c r="FO23" s="8" t="e">
        <f t="shared" si="34"/>
        <v>#DIV/0!</v>
      </c>
      <c r="FP23" s="81" t="e">
        <f t="shared" si="35"/>
        <v>#DIV/0!</v>
      </c>
      <c r="FQ23" s="74" t="e">
        <f t="shared" ca="1" si="13"/>
        <v>#N/A</v>
      </c>
      <c r="FR23" s="82" t="e" vm="3">
        <f t="shared" ca="1" si="19"/>
        <v>#VALUE!</v>
      </c>
      <c r="FS23" s="7" t="e" vm="3">
        <f t="shared" ca="1" si="14"/>
        <v>#VALUE!</v>
      </c>
      <c r="FT23" t="e" vm="3">
        <f t="shared" ca="1" si="8"/>
        <v>#VALUE!</v>
      </c>
      <c r="FU23" s="8" t="e" vm="3">
        <f t="shared" ca="1" si="9"/>
        <v>#VALUE!</v>
      </c>
      <c r="FV23" s="8" t="e" vm="3">
        <f t="shared" ca="1" si="10"/>
        <v>#VALUE!</v>
      </c>
      <c r="FW23" s="81" t="e" vm="3">
        <f t="shared" ca="1" si="11"/>
        <v>#VALUE!</v>
      </c>
      <c r="FX23" s="74" t="e">
        <f t="shared" si="15"/>
        <v>#N/A</v>
      </c>
      <c r="FY23" s="82" t="e">
        <f t="shared" si="20"/>
        <v>#N/A</v>
      </c>
      <c r="FZ23" s="7" t="e">
        <f t="shared" si="16"/>
        <v>#N/A</v>
      </c>
      <c r="GA23" t="e">
        <f t="shared" si="21"/>
        <v>#N/A</v>
      </c>
      <c r="GB23" s="8" t="e">
        <f t="shared" si="22"/>
        <v>#N/A</v>
      </c>
      <c r="GC23" s="8" t="e">
        <f t="shared" si="23"/>
        <v>#N/A</v>
      </c>
      <c r="GD23" s="81" t="e">
        <f t="shared" si="24"/>
        <v>#N/A</v>
      </c>
      <c r="GE23" s="74" t="e">
        <f t="shared" si="25"/>
        <v>#N/A</v>
      </c>
      <c r="GF23" s="82" t="e">
        <f t="shared" si="26"/>
        <v>#N/A</v>
      </c>
      <c r="GG23" s="7" t="e">
        <f t="shared" si="17"/>
        <v>#N/A</v>
      </c>
      <c r="GH23" t="e">
        <f t="shared" si="27"/>
        <v>#N/A</v>
      </c>
      <c r="GI23" s="8" t="e">
        <f t="shared" si="28"/>
        <v>#N/A</v>
      </c>
      <c r="GJ23" s="8" t="e">
        <f t="shared" si="29"/>
        <v>#N/A</v>
      </c>
      <c r="GK23" s="81" t="e">
        <f t="shared" si="30"/>
        <v>#N/A</v>
      </c>
      <c r="GL23" s="81"/>
      <c r="GM23" s="81"/>
      <c r="GP23" s="32">
        <f t="shared" si="81"/>
        <v>13</v>
      </c>
      <c r="GQ23" s="32">
        <f t="shared" si="82"/>
        <v>14</v>
      </c>
      <c r="GR23" s="32">
        <f t="shared" si="83"/>
        <v>-2.7788135466315218</v>
      </c>
      <c r="GS23" s="32">
        <f t="shared" si="84"/>
        <v>8.3973349051078925E-3</v>
      </c>
      <c r="GT23" s="32" t="e">
        <f t="shared" si="85"/>
        <v>#N/A</v>
      </c>
      <c r="GU23" s="32" t="e">
        <f t="shared" si="86"/>
        <v>#N/A</v>
      </c>
      <c r="GV23" s="32" t="e">
        <f t="shared" si="87"/>
        <v>#N/A</v>
      </c>
      <c r="GW23" s="32" t="b">
        <f t="shared" si="88"/>
        <v>1</v>
      </c>
      <c r="GX23" s="32" t="b">
        <f t="shared" si="89"/>
        <v>0</v>
      </c>
      <c r="GY23" s="32" t="b">
        <f t="shared" si="90"/>
        <v>1</v>
      </c>
      <c r="GZ23" s="32" t="b">
        <f t="shared" si="91"/>
        <v>0</v>
      </c>
      <c r="HA23" s="32">
        <f t="shared" si="92"/>
        <v>8.3973349051078925E-3</v>
      </c>
      <c r="HB23" s="32">
        <f t="shared" si="93"/>
        <v>8.3973349051078925E-3</v>
      </c>
      <c r="HC23" s="32" t="e">
        <f t="shared" si="94"/>
        <v>#N/A</v>
      </c>
      <c r="HD23" s="45" t="str">
        <f t="shared" si="95"/>
        <v/>
      </c>
      <c r="HJ23" s="32">
        <f t="shared" si="96"/>
        <v>13</v>
      </c>
      <c r="HK23" s="32">
        <f t="shared" si="97"/>
        <v>14</v>
      </c>
      <c r="HL23" s="32">
        <f t="shared" si="98"/>
        <v>-4.3030511389305941</v>
      </c>
      <c r="HM23" s="32" t="e">
        <f t="shared" si="99"/>
        <v>#N/A</v>
      </c>
      <c r="HN23" s="32">
        <f t="shared" si="100"/>
        <v>2.1805995210078645E-3</v>
      </c>
      <c r="HO23" s="32" t="e">
        <f t="shared" si="101"/>
        <v>#N/A</v>
      </c>
      <c r="HP23" s="32" t="e">
        <f t="shared" si="102"/>
        <v>#N/A</v>
      </c>
      <c r="HQ23" s="32" t="b">
        <f t="shared" si="103"/>
        <v>1</v>
      </c>
      <c r="HR23" s="32" t="b">
        <f t="shared" si="104"/>
        <v>0</v>
      </c>
      <c r="HS23" s="32" t="b">
        <f t="shared" si="105"/>
        <v>1</v>
      </c>
      <c r="HT23" s="32" t="b">
        <f t="shared" si="106"/>
        <v>0</v>
      </c>
      <c r="HU23" s="32">
        <f t="shared" si="107"/>
        <v>2.1805995210078645E-3</v>
      </c>
      <c r="HV23" s="32">
        <f t="shared" si="108"/>
        <v>2.1805995210078645E-3</v>
      </c>
      <c r="HW23" s="32" t="e">
        <f t="shared" si="109"/>
        <v>#N/A</v>
      </c>
      <c r="HX23" s="45" t="str">
        <f t="shared" si="110"/>
        <v/>
      </c>
    </row>
    <row r="24" spans="57:232" x14ac:dyDescent="0.2">
      <c r="BE24" s="35" t="s">
        <v>59</v>
      </c>
      <c r="BF24" s="37" cm="1">
        <f t="array" ref="BF24">MATCH(LARGE((BF18:BF21&lt;&gt;0)*{4;3;2;1},ROWS(BF18:BF19)),{4;3;2;1},0)</f>
        <v>3</v>
      </c>
      <c r="BG24" s="37" cm="1">
        <f t="array" ref="BG24">MATCH(LARGE((BG18:BG21&lt;&gt;0)*{4;3;2;1},ROWS(BG18:BG19)),{4;3;2;1},0)</f>
        <v>4</v>
      </c>
      <c r="BH24" s="37" cm="1">
        <f t="array" ref="BH24">MATCH(LARGE((BH18:BH21&lt;&gt;0)*{4;3;2;1},ROWS(BH18:BH19)),{4;3;2;1},0)</f>
        <v>3</v>
      </c>
      <c r="BI24" s="37" cm="1">
        <f t="array" ref="BI24">MATCH(LARGE((BI18:BI21&lt;&gt;0)*{4;3;2;1},ROWS(BI18:BI19)),{4;3;2;1},0)</f>
        <v>3</v>
      </c>
      <c r="BJ24" s="37" cm="1">
        <f t="array" ref="BJ24">MATCH(LARGE((BJ18:BJ21&lt;&gt;0)*{4;3;2;1},ROWS(BJ18:BJ19)),{4;3;2;1},0)</f>
        <v>2</v>
      </c>
      <c r="BL24" s="53" t="s">
        <v>249</v>
      </c>
      <c r="BM24" s="86" t="e" cm="1">
        <f t="array" ref="BM24">IF(NOT($BG$2),INDEX(E_s_valg[Fordeling],E_s_aktiv),NA())</f>
        <v>#N/A</v>
      </c>
      <c r="BZ24" s="32">
        <f t="shared" si="36"/>
        <v>14</v>
      </c>
      <c r="CA24" s="32">
        <f>Eu_tabel_g[[#This Row],[Indeks]]+1</f>
        <v>15</v>
      </c>
      <c r="CB24" s="32">
        <f t="shared" si="37"/>
        <v>-2.7548582574364224</v>
      </c>
      <c r="CC24" s="32">
        <f t="shared" si="38"/>
        <v>8.9727727004466455E-3</v>
      </c>
      <c r="CD24" s="32" t="e">
        <f t="shared" si="39"/>
        <v>#N/A</v>
      </c>
      <c r="CE24" s="32" t="e">
        <f t="shared" si="40"/>
        <v>#N/A</v>
      </c>
      <c r="CF24" s="32" t="e">
        <f t="shared" si="41"/>
        <v>#N/A</v>
      </c>
      <c r="CG24" s="32" t="b">
        <f t="shared" si="42"/>
        <v>1</v>
      </c>
      <c r="CH24" s="32" t="b">
        <f t="shared" si="43"/>
        <v>0</v>
      </c>
      <c r="CI24" s="32" t="b">
        <f t="shared" si="44"/>
        <v>1</v>
      </c>
      <c r="CJ24" s="32" t="b">
        <f t="shared" si="45"/>
        <v>0</v>
      </c>
      <c r="CK24" s="32">
        <f t="shared" si="111"/>
        <v>8.9727727004466455E-3</v>
      </c>
      <c r="CL24" s="32">
        <f t="shared" si="47"/>
        <v>8.9727727004466455E-3</v>
      </c>
      <c r="CM24" s="32" t="e">
        <f t="shared" si="48"/>
        <v>#N/A</v>
      </c>
      <c r="CN24" s="45" t="str">
        <f t="shared" si="49"/>
        <v/>
      </c>
      <c r="CO24" s="32">
        <f>_xlfn.NORM.DIST(_xlfn.NORM.INV(1-Eu_g_konfidensniveau,0,1)-Eu_tabel_g[[#This Row],[x base]],0,1,TRUE)</f>
        <v>0.86650148443046449</v>
      </c>
      <c r="CP24" s="32">
        <f>1-_xlfn.NORM.DIST(_xlfn.NORM.INV(Eu_g_konfidensniveau,0,1)-Eu_tabel_g[[#This Row],[x base]],0,1,TRUE)</f>
        <v>5.4197347799656015E-6</v>
      </c>
      <c r="CQ24" s="32">
        <f>_xlfn.NORM.DIST(_xlfn.NORM.INV((1-Eu_g_konfidensniveau)/2,0,1)-Eu_tabel_g[[#This Row],[x base]],0,1,TRUE)+1-_xlfn.NORM.DIST(_xlfn.NORM.INV(1-(1-Eu_g_konfidensniveau)/2,0,1)-Eu_tabel_g[[#This Row],[x base]],0,1,TRUE)</f>
        <v>0.78666370661837781</v>
      </c>
      <c r="CR24" s="32" t="e" cm="1">
        <f t="array" ref="CR24">IF($CR$3,INDEX(Eu_tabel_g[[#This Row],[Styrke venstre]:[Styrke tosidet]],CR$7),NA())</f>
        <v>#N/A</v>
      </c>
      <c r="CS24" s="52" t="e">
        <f>Eu_tabel_g[[#This Row],[Falsk positiv
Nulhypotese accepteres
Fejltype 1]]</f>
        <v>#N/A</v>
      </c>
      <c r="CT24" s="52" t="e">
        <f>IF(CHOOSE(CR$7,Eu_tabel_g[[#This Row],[x base]]&gt;0,Eu_tabel_g[[#This Row],[x base]]&lt;0,Eu_tabel_g[[#This Row],[x base]]=0),Eu_tabel_g[[#This Row],[Styrke, aktiv]],NA())</f>
        <v>#N/A</v>
      </c>
      <c r="CU24" s="52" t="e">
        <f>IFERROR(IF($CR$3,Eu_tabel_g[[#This Row],[Styrke, aktiv]],NA()),NA())</f>
        <v>#N/A</v>
      </c>
      <c r="CV24" s="52" t="e">
        <f>IF(ISNA(Eu_tabel_g[[#This Row],[Sand negativ
Nulhypotese afvises
Korrekt]]),NA(),IF($CR$3,1,NA()))</f>
        <v>#N/A</v>
      </c>
      <c r="CW24" s="34" t="str" cm="1">
        <f t="array" ref="CW24">_xlfn.SWITCH(BZ24,_xlfn.IFNA(CU$2,-99),CU$5,_xlfn.IFNA(CU$3,-99),CU$6,_xlfn.IFNA(CU$4,-99),CU$7,"")</f>
        <v/>
      </c>
      <c r="DA24" s="7">
        <f t="shared" si="50"/>
        <v>0.8</v>
      </c>
      <c r="DB24">
        <f>IF(ROW(Styrkeberegning_G[[#This Row],[X base venstre]])=ROW(Styrkeberegning_G[[#Headers],[X base venstre]])+1,DB$7/(DA$7/$B$67),DB23/(DA23/$B$67))</f>
        <v>-2.8015817870135784</v>
      </c>
      <c r="DC24">
        <f>Styrkeberegning_G[[#This Row],[X base venstre]]*-1</f>
        <v>2.8015817870135784</v>
      </c>
      <c r="DN24" s="32">
        <f t="shared" si="51"/>
        <v>14</v>
      </c>
      <c r="DO24" s="32">
        <f t="shared" si="52"/>
        <v>15</v>
      </c>
      <c r="DP24" s="32">
        <f t="shared" si="53"/>
        <v>3.4308446544917044</v>
      </c>
      <c r="DQ24" s="32" t="e">
        <f t="shared" si="54"/>
        <v>#N/A</v>
      </c>
      <c r="DR24" s="32" t="e">
        <f t="shared" si="55"/>
        <v>#N/A</v>
      </c>
      <c r="DS24" s="32">
        <f t="shared" si="56"/>
        <v>1.9488775358795587E-2</v>
      </c>
      <c r="DT24" s="32" t="e">
        <f t="shared" si="57"/>
        <v>#N/A</v>
      </c>
      <c r="DU24" s="32" t="b">
        <f t="shared" si="58"/>
        <v>1</v>
      </c>
      <c r="DV24" s="32" t="b">
        <f t="shared" si="59"/>
        <v>0</v>
      </c>
      <c r="DW24" s="32" t="b">
        <f t="shared" si="60"/>
        <v>1</v>
      </c>
      <c r="DX24" s="32" t="b">
        <f t="shared" si="61"/>
        <v>0</v>
      </c>
      <c r="DY24" s="32">
        <f t="shared" si="62"/>
        <v>1.9488775358795587E-2</v>
      </c>
      <c r="DZ24" s="32">
        <f t="shared" si="63"/>
        <v>1.9488775358795587E-2</v>
      </c>
      <c r="EA24" s="32" t="e">
        <f t="shared" si="64"/>
        <v>#N/A</v>
      </c>
      <c r="EB24" s="45" t="str">
        <f t="shared" si="65"/>
        <v/>
      </c>
      <c r="EG24" s="32">
        <f t="shared" si="66"/>
        <v>14</v>
      </c>
      <c r="EH24" s="32">
        <f t="shared" si="67"/>
        <v>15</v>
      </c>
      <c r="EI24" s="32">
        <f t="shared" si="68"/>
        <v>-2.7548582574364224</v>
      </c>
      <c r="EJ24" s="32">
        <f t="shared" si="69"/>
        <v>8.9727727004466455E-3</v>
      </c>
      <c r="EK24" s="32" t="e">
        <f t="shared" si="70"/>
        <v>#N/A</v>
      </c>
      <c r="EL24" s="32" t="e">
        <f t="shared" si="71"/>
        <v>#N/A</v>
      </c>
      <c r="EM24" s="32" t="e">
        <f t="shared" si="72"/>
        <v>#N/A</v>
      </c>
      <c r="EN24" s="32" t="b">
        <f t="shared" si="73"/>
        <v>1</v>
      </c>
      <c r="EO24" s="32" t="b">
        <f t="shared" si="74"/>
        <v>0</v>
      </c>
      <c r="EP24" s="32" t="b">
        <f t="shared" si="75"/>
        <v>1</v>
      </c>
      <c r="EQ24" s="32" t="b">
        <f t="shared" si="76"/>
        <v>0</v>
      </c>
      <c r="ER24" s="32">
        <f t="shared" si="77"/>
        <v>8.9727727004466455E-3</v>
      </c>
      <c r="ES24" s="32">
        <f t="shared" si="78"/>
        <v>8.9727727004466455E-3</v>
      </c>
      <c r="ET24" s="32" t="e">
        <f t="shared" si="79"/>
        <v>#N/A</v>
      </c>
      <c r="EU24" s="45" t="str">
        <f t="shared" si="80"/>
        <v/>
      </c>
      <c r="EV2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 s="32" t="e" cm="1">
        <f t="array" ref="EY24">IF($CR$3,INDEX(Eu_tabel_a[[#This Row],[Styrke venstre]:[Styrke tosidet]],EY$7),NA())</f>
        <v>#N/A</v>
      </c>
      <c r="EZ24" s="32" t="e">
        <f>IF(EY$3,IF(CHOOSE(EY$7,Eu_tabel_a[[#This Row],[x base]]&gt;0,Eu_tabel_a[[#This Row],[x base]]&lt;0,Eu_tabel_a[[#This Row],[x base]]=0),1,NA()),NA())</f>
        <v>#N/A</v>
      </c>
      <c r="FA24" s="32" t="e">
        <f>IF(CHOOSE(EY$7,Eu_tabel_a[[#This Row],[x base]]&gt;0,Eu_tabel_a[[#This Row],[x base]]&lt;0,Eu_tabel_a[[#This Row],[x base]]=0),Eu_tabel_a[[#This Row],[Styrke, aktiv]],NA())</f>
        <v>#N/A</v>
      </c>
      <c r="FB24" s="32" t="e">
        <f>IFERROR(IF($EY$3,Eu_tabel_a[[#This Row],[Styrke, aktiv]],NA()),NA())</f>
        <v>#N/A</v>
      </c>
      <c r="FC24" s="32" t="e">
        <f>IF(ISNA(Eu_tabel_a[[#This Row],[Sand negativ
Nulhypotese afvises
Korrekt]]),NA(),IF(EY$3,1,NA()))</f>
        <v>#N/A</v>
      </c>
      <c r="FD24" s="33" t="str" cm="1">
        <f t="array" ref="FD24">IFERROR(_xlfn.SWITCH(Eu_tabel_a[[#This Row],[Indeks]],_xlfn.IFNA(FB$2,-99),FB$5,_xlfn.IFNA(FB$3,-99),FB$6,_xlfn.IFNA(FB$4,-99),FB$7,""),"")</f>
        <v/>
      </c>
      <c r="FE24" s="32">
        <f>Eu_tabel_a[[#This Row],[x base]]*SQRT(Eu_a_h0_x*(1-Eu_a_h0_x)/Eu_a_n_x)+Eu_a_h0_x</f>
        <v>0</v>
      </c>
      <c r="FJ24" s="74" t="e">
        <f t="shared" si="18"/>
        <v>#N/A</v>
      </c>
      <c r="FK24" s="82" t="e">
        <f t="shared" si="31"/>
        <v>#DIV/0!</v>
      </c>
      <c r="FL24" s="7" t="e">
        <f t="shared" si="12"/>
        <v>#DIV/0!</v>
      </c>
      <c r="FM24" t="e">
        <f t="shared" si="32"/>
        <v>#DIV/0!</v>
      </c>
      <c r="FN24" s="8" t="e">
        <f t="shared" si="33"/>
        <v>#DIV/0!</v>
      </c>
      <c r="FO24" s="8" t="e">
        <f t="shared" si="34"/>
        <v>#DIV/0!</v>
      </c>
      <c r="FP24" s="81" t="e">
        <f t="shared" si="35"/>
        <v>#DIV/0!</v>
      </c>
      <c r="FQ24" s="74" t="e">
        <f t="shared" ca="1" si="13"/>
        <v>#N/A</v>
      </c>
      <c r="FR24" s="82" t="e" vm="3">
        <f t="shared" ca="1" si="19"/>
        <v>#VALUE!</v>
      </c>
      <c r="FS24" s="7" t="e" vm="3">
        <f t="shared" ca="1" si="14"/>
        <v>#VALUE!</v>
      </c>
      <c r="FT24" t="e" vm="3">
        <f t="shared" ca="1" si="8"/>
        <v>#VALUE!</v>
      </c>
      <c r="FU24" s="8" t="e" vm="3">
        <f t="shared" ca="1" si="9"/>
        <v>#VALUE!</v>
      </c>
      <c r="FV24" s="8" t="e" vm="3">
        <f t="shared" ca="1" si="10"/>
        <v>#VALUE!</v>
      </c>
      <c r="FW24" s="81" t="e" vm="3">
        <f t="shared" ca="1" si="11"/>
        <v>#VALUE!</v>
      </c>
      <c r="FX24" s="74" t="e">
        <f t="shared" si="15"/>
        <v>#N/A</v>
      </c>
      <c r="FY24" s="82" t="e">
        <f t="shared" si="20"/>
        <v>#N/A</v>
      </c>
      <c r="FZ24" s="7" t="e">
        <f t="shared" si="16"/>
        <v>#N/A</v>
      </c>
      <c r="GA24" t="e">
        <f t="shared" si="21"/>
        <v>#N/A</v>
      </c>
      <c r="GB24" s="8" t="e">
        <f t="shared" si="22"/>
        <v>#N/A</v>
      </c>
      <c r="GC24" s="8" t="e">
        <f t="shared" si="23"/>
        <v>#N/A</v>
      </c>
      <c r="GD24" s="81" t="e">
        <f t="shared" si="24"/>
        <v>#N/A</v>
      </c>
      <c r="GE24" s="74" t="e">
        <f t="shared" si="25"/>
        <v>#N/A</v>
      </c>
      <c r="GF24" s="82" t="e">
        <f t="shared" si="26"/>
        <v>#N/A</v>
      </c>
      <c r="GG24" s="7" t="e">
        <f t="shared" si="17"/>
        <v>#N/A</v>
      </c>
      <c r="GH24" t="e">
        <f t="shared" si="27"/>
        <v>#N/A</v>
      </c>
      <c r="GI24" s="8" t="e">
        <f t="shared" si="28"/>
        <v>#N/A</v>
      </c>
      <c r="GJ24" s="8" t="e">
        <f t="shared" si="29"/>
        <v>#N/A</v>
      </c>
      <c r="GK24" s="81" t="e">
        <f t="shared" si="30"/>
        <v>#N/A</v>
      </c>
      <c r="GL24" s="81"/>
      <c r="GM24" s="81"/>
      <c r="GP24" s="32">
        <f t="shared" si="81"/>
        <v>14</v>
      </c>
      <c r="GQ24" s="32">
        <f t="shared" si="82"/>
        <v>15</v>
      </c>
      <c r="GR24" s="32">
        <f t="shared" si="83"/>
        <v>-2.7548582574364224</v>
      </c>
      <c r="GS24" s="32">
        <f t="shared" si="84"/>
        <v>8.9727727004466455E-3</v>
      </c>
      <c r="GT24" s="32" t="e">
        <f t="shared" si="85"/>
        <v>#N/A</v>
      </c>
      <c r="GU24" s="32" t="e">
        <f t="shared" si="86"/>
        <v>#N/A</v>
      </c>
      <c r="GV24" s="32" t="e">
        <f t="shared" si="87"/>
        <v>#N/A</v>
      </c>
      <c r="GW24" s="32" t="b">
        <f t="shared" si="88"/>
        <v>1</v>
      </c>
      <c r="GX24" s="32" t="b">
        <f t="shared" si="89"/>
        <v>0</v>
      </c>
      <c r="GY24" s="32" t="b">
        <f t="shared" si="90"/>
        <v>1</v>
      </c>
      <c r="GZ24" s="32" t="b">
        <f t="shared" si="91"/>
        <v>0</v>
      </c>
      <c r="HA24" s="32">
        <f t="shared" si="92"/>
        <v>8.9727727004466455E-3</v>
      </c>
      <c r="HB24" s="32">
        <f t="shared" si="93"/>
        <v>8.9727727004466455E-3</v>
      </c>
      <c r="HC24" s="32" t="e">
        <f t="shared" si="94"/>
        <v>#N/A</v>
      </c>
      <c r="HD24" s="45" t="str">
        <f t="shared" si="95"/>
        <v/>
      </c>
      <c r="HJ24" s="32">
        <f t="shared" si="96"/>
        <v>14</v>
      </c>
      <c r="HK24" s="32">
        <f t="shared" si="97"/>
        <v>15</v>
      </c>
      <c r="HL24" s="32">
        <f t="shared" si="98"/>
        <v>-4.2659558704915375</v>
      </c>
      <c r="HM24" s="32" t="e">
        <f t="shared" si="99"/>
        <v>#N/A</v>
      </c>
      <c r="HN24" s="32">
        <f t="shared" si="100"/>
        <v>2.292729384481872E-3</v>
      </c>
      <c r="HO24" s="32" t="e">
        <f t="shared" si="101"/>
        <v>#N/A</v>
      </c>
      <c r="HP24" s="32" t="e">
        <f t="shared" si="102"/>
        <v>#N/A</v>
      </c>
      <c r="HQ24" s="32" t="b">
        <f t="shared" si="103"/>
        <v>1</v>
      </c>
      <c r="HR24" s="32" t="b">
        <f t="shared" si="104"/>
        <v>0</v>
      </c>
      <c r="HS24" s="32" t="b">
        <f t="shared" si="105"/>
        <v>1</v>
      </c>
      <c r="HT24" s="32" t="b">
        <f t="shared" si="106"/>
        <v>0</v>
      </c>
      <c r="HU24" s="32">
        <f t="shared" si="107"/>
        <v>2.292729384481872E-3</v>
      </c>
      <c r="HV24" s="32">
        <f t="shared" si="108"/>
        <v>2.292729384481872E-3</v>
      </c>
      <c r="HW24" s="32" t="e">
        <f t="shared" si="109"/>
        <v>#N/A</v>
      </c>
      <c r="HX24" s="45" t="str">
        <f t="shared" si="110"/>
        <v/>
      </c>
    </row>
    <row r="25" spans="57:232" x14ac:dyDescent="0.2">
      <c r="BE25" s="35" t="s">
        <v>63</v>
      </c>
      <c r="BF25" s="37" cm="1">
        <f t="array" ref="BF25">MATCH(LARGE((BF18:BF21&lt;&gt;0)*{4;3;2;1},ROWS(BF18:BF20)),{4;3;2;1},0)</f>
        <v>4</v>
      </c>
      <c r="BG25" s="37" t="e" cm="1">
        <f t="array" ref="BG25">MATCH(LARGE((BG18:BG21&lt;&gt;0)*{4;3;2;1},ROWS(BG18:BG20)),{4;3;2;1},0)</f>
        <v>#N/A</v>
      </c>
      <c r="BH25" s="37" t="e" cm="1">
        <f t="array" ref="BH25">MATCH(LARGE((BH18:BH21&lt;&gt;0)*{4;3;2;1},ROWS(BH18:BH20)),{4;3;2;1},0)</f>
        <v>#N/A</v>
      </c>
      <c r="BI25" s="37" t="e" cm="1">
        <f t="array" ref="BI25">MATCH(LARGE((BI18:BI21&lt;&gt;0)*{4;3;2;1},ROWS(BI18:BI20)),{4;3;2;1},0)</f>
        <v>#N/A</v>
      </c>
      <c r="BJ25" s="37" t="e" cm="1">
        <f t="array" ref="BJ25">MATCH(LARGE((BJ18:BJ21&lt;&gt;0)*{4;3;2;1},ROWS(BJ18:BJ20)),{4;3;2;1},0)</f>
        <v>#N/A</v>
      </c>
      <c r="BL25" s="53" t="s">
        <v>250</v>
      </c>
      <c r="BM25" s="86" t="e" cm="1">
        <f t="array" ref="BM25">IF(NOT($BG$2),INDEX(E_s_valg[Parameter 1],E_s_aktiv),NA())</f>
        <v>#N/A</v>
      </c>
      <c r="BZ25" s="32">
        <f t="shared" si="36"/>
        <v>15</v>
      </c>
      <c r="CA25" s="32">
        <f>Eu_tabel_g[[#This Row],[Indeks]]+1</f>
        <v>16</v>
      </c>
      <c r="CB25" s="32">
        <f t="shared" si="37"/>
        <v>-2.7309029682413231</v>
      </c>
      <c r="CC25" s="32">
        <f t="shared" si="38"/>
        <v>9.582142737811215E-3</v>
      </c>
      <c r="CD25" s="32" t="e">
        <f t="shared" si="39"/>
        <v>#N/A</v>
      </c>
      <c r="CE25" s="32" t="e">
        <f t="shared" si="40"/>
        <v>#N/A</v>
      </c>
      <c r="CF25" s="32" t="e">
        <f t="shared" si="41"/>
        <v>#N/A</v>
      </c>
      <c r="CG25" s="32" t="b">
        <f t="shared" si="42"/>
        <v>1</v>
      </c>
      <c r="CH25" s="32" t="b">
        <f t="shared" si="43"/>
        <v>0</v>
      </c>
      <c r="CI25" s="32" t="b">
        <f t="shared" si="44"/>
        <v>1</v>
      </c>
      <c r="CJ25" s="32" t="b">
        <f t="shared" si="45"/>
        <v>0</v>
      </c>
      <c r="CK25" s="32">
        <f t="shared" si="111"/>
        <v>9.582142737811215E-3</v>
      </c>
      <c r="CL25" s="32">
        <f t="shared" si="47"/>
        <v>9.582142737811215E-3</v>
      </c>
      <c r="CM25" s="32" t="e">
        <f t="shared" si="48"/>
        <v>#N/A</v>
      </c>
      <c r="CN25" s="45" t="str">
        <f t="shared" si="49"/>
        <v/>
      </c>
      <c r="CO25" s="32">
        <f>_xlfn.NORM.DIST(_xlfn.NORM.INV(1-Eu_g_konfidensniveau,0,1)-Eu_tabel_g[[#This Row],[x base]],0,1,TRUE)</f>
        <v>0.86127141844000243</v>
      </c>
      <c r="CP25" s="32">
        <f>1-_xlfn.NORM.DIST(_xlfn.NORM.INV(Eu_g_konfidensniveau,0,1)-Eu_tabel_g[[#This Row],[x base]],0,1,TRUE)</f>
        <v>6.0505996323234612E-6</v>
      </c>
      <c r="CQ25" s="32">
        <f>_xlfn.NORM.DIST(_xlfn.NORM.INV((1-Eu_g_konfidensniveau)/2,0,1)-Eu_tabel_g[[#This Row],[x base]],0,1,TRUE)+1-_xlfn.NORM.DIST(_xlfn.NORM.INV(1-(1-Eu_g_konfidensniveau)/2,0,1)-Eu_tabel_g[[#This Row],[x base]],0,1,TRUE)</f>
        <v>0.7796298108514037</v>
      </c>
      <c r="CR25" s="32" t="e" cm="1">
        <f t="array" ref="CR25">IF($CR$3,INDEX(Eu_tabel_g[[#This Row],[Styrke venstre]:[Styrke tosidet]],CR$7),NA())</f>
        <v>#N/A</v>
      </c>
      <c r="CS25" s="52" t="e">
        <f>Eu_tabel_g[[#This Row],[Falsk positiv
Nulhypotese accepteres
Fejltype 1]]</f>
        <v>#N/A</v>
      </c>
      <c r="CT25" s="52" t="e">
        <f>IF(CHOOSE(CR$7,Eu_tabel_g[[#This Row],[x base]]&gt;0,Eu_tabel_g[[#This Row],[x base]]&lt;0,Eu_tabel_g[[#This Row],[x base]]=0),Eu_tabel_g[[#This Row],[Styrke, aktiv]],NA())</f>
        <v>#N/A</v>
      </c>
      <c r="CU25" s="52" t="e">
        <f>IFERROR(IF($CR$3,Eu_tabel_g[[#This Row],[Styrke, aktiv]],NA()),NA())</f>
        <v>#N/A</v>
      </c>
      <c r="CV25" s="52" t="e">
        <f>IF(ISNA(Eu_tabel_g[[#This Row],[Sand negativ
Nulhypotese afvises
Korrekt]]),NA(),IF($CR$3,1,NA()))</f>
        <v>#N/A</v>
      </c>
      <c r="CW25" s="34" t="str" cm="1">
        <f t="array" ref="CW25">_xlfn.SWITCH(BZ25,_xlfn.IFNA(CU$2,-99),CU$5,_xlfn.IFNA(CU$3,-99),CU$6,_xlfn.IFNA(CU$4,-99),CU$7,"")</f>
        <v/>
      </c>
      <c r="DA25" s="7">
        <f t="shared" si="50"/>
        <v>0.8</v>
      </c>
      <c r="DB25">
        <f>IF(ROW(Styrkeberegning_G[[#This Row],[X base venstre]])=ROW(Styrkeberegning_G[[#Headers],[X base venstre]])+1,DB$7/(DA$7/$B$67),DB24/(DA24/$B$67))</f>
        <v>-2.8015817870135784</v>
      </c>
      <c r="DC25">
        <f>Styrkeberegning_G[[#This Row],[X base venstre]]*-1</f>
        <v>2.8015817870135784</v>
      </c>
      <c r="DN25" s="32">
        <f t="shared" si="51"/>
        <v>15</v>
      </c>
      <c r="DO25" s="32">
        <f t="shared" si="52"/>
        <v>16</v>
      </c>
      <c r="DP25" s="32">
        <f t="shared" si="53"/>
        <v>3.5449155109087052</v>
      </c>
      <c r="DQ25" s="32" t="e">
        <f t="shared" si="54"/>
        <v>#N/A</v>
      </c>
      <c r="DR25" s="32" t="e">
        <f t="shared" si="55"/>
        <v>#N/A</v>
      </c>
      <c r="DS25" s="32">
        <f t="shared" si="56"/>
        <v>2.1327312569947666E-2</v>
      </c>
      <c r="DT25" s="32" t="e">
        <f t="shared" si="57"/>
        <v>#N/A</v>
      </c>
      <c r="DU25" s="32" t="b">
        <f t="shared" si="58"/>
        <v>1</v>
      </c>
      <c r="DV25" s="32" t="b">
        <f t="shared" si="59"/>
        <v>0</v>
      </c>
      <c r="DW25" s="32" t="b">
        <f t="shared" si="60"/>
        <v>1</v>
      </c>
      <c r="DX25" s="32" t="b">
        <f t="shared" si="61"/>
        <v>0</v>
      </c>
      <c r="DY25" s="32">
        <f t="shared" si="62"/>
        <v>2.1327312569947666E-2</v>
      </c>
      <c r="DZ25" s="32">
        <f t="shared" si="63"/>
        <v>2.1327312569947666E-2</v>
      </c>
      <c r="EA25" s="32" t="e">
        <f t="shared" si="64"/>
        <v>#N/A</v>
      </c>
      <c r="EB25" s="45" t="str">
        <f t="shared" si="65"/>
        <v/>
      </c>
      <c r="EG25" s="32">
        <f t="shared" si="66"/>
        <v>15</v>
      </c>
      <c r="EH25" s="32">
        <f t="shared" si="67"/>
        <v>16</v>
      </c>
      <c r="EI25" s="32">
        <f t="shared" si="68"/>
        <v>-2.7309029682413231</v>
      </c>
      <c r="EJ25" s="32">
        <f t="shared" si="69"/>
        <v>9.582142737811215E-3</v>
      </c>
      <c r="EK25" s="32" t="e">
        <f t="shared" si="70"/>
        <v>#N/A</v>
      </c>
      <c r="EL25" s="32" t="e">
        <f t="shared" si="71"/>
        <v>#N/A</v>
      </c>
      <c r="EM25" s="32" t="e">
        <f t="shared" si="72"/>
        <v>#N/A</v>
      </c>
      <c r="EN25" s="32" t="b">
        <f t="shared" si="73"/>
        <v>1</v>
      </c>
      <c r="EO25" s="32" t="b">
        <f t="shared" si="74"/>
        <v>0</v>
      </c>
      <c r="EP25" s="32" t="b">
        <f t="shared" si="75"/>
        <v>1</v>
      </c>
      <c r="EQ25" s="32" t="b">
        <f t="shared" si="76"/>
        <v>0</v>
      </c>
      <c r="ER25" s="32">
        <f t="shared" si="77"/>
        <v>9.582142737811215E-3</v>
      </c>
      <c r="ES25" s="32">
        <f t="shared" si="78"/>
        <v>9.582142737811215E-3</v>
      </c>
      <c r="ET25" s="32" t="e">
        <f t="shared" si="79"/>
        <v>#N/A</v>
      </c>
      <c r="EU25" s="45" t="str">
        <f t="shared" si="80"/>
        <v/>
      </c>
      <c r="EV2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 s="32" t="e" cm="1">
        <f t="array" ref="EY25">IF($CR$3,INDEX(Eu_tabel_a[[#This Row],[Styrke venstre]:[Styrke tosidet]],EY$7),NA())</f>
        <v>#N/A</v>
      </c>
      <c r="EZ25" s="32" t="e">
        <f>IF(EY$3,IF(CHOOSE(EY$7,Eu_tabel_a[[#This Row],[x base]]&gt;0,Eu_tabel_a[[#This Row],[x base]]&lt;0,Eu_tabel_a[[#This Row],[x base]]=0),1,NA()),NA())</f>
        <v>#N/A</v>
      </c>
      <c r="FA25" s="32" t="e">
        <f>IF(CHOOSE(EY$7,Eu_tabel_a[[#This Row],[x base]]&gt;0,Eu_tabel_a[[#This Row],[x base]]&lt;0,Eu_tabel_a[[#This Row],[x base]]=0),Eu_tabel_a[[#This Row],[Styrke, aktiv]],NA())</f>
        <v>#N/A</v>
      </c>
      <c r="FB25" s="32" t="e">
        <f>IFERROR(IF($EY$3,Eu_tabel_a[[#This Row],[Styrke, aktiv]],NA()),NA())</f>
        <v>#N/A</v>
      </c>
      <c r="FC25" s="32" t="e">
        <f>IF(ISNA(Eu_tabel_a[[#This Row],[Sand negativ
Nulhypotese afvises
Korrekt]]),NA(),IF(EY$3,1,NA()))</f>
        <v>#N/A</v>
      </c>
      <c r="FD25" s="33" t="str" cm="1">
        <f t="array" ref="FD25">IFERROR(_xlfn.SWITCH(Eu_tabel_a[[#This Row],[Indeks]],_xlfn.IFNA(FB$2,-99),FB$5,_xlfn.IFNA(FB$3,-99),FB$6,_xlfn.IFNA(FB$4,-99),FB$7,""),"")</f>
        <v/>
      </c>
      <c r="FE25" s="32">
        <f>Eu_tabel_a[[#This Row],[x base]]*SQRT(Eu_a_h0_x*(1-Eu_a_h0_x)/Eu_a_n_x)+Eu_a_h0_x</f>
        <v>0</v>
      </c>
      <c r="FJ25" s="74" t="e">
        <f t="shared" si="18"/>
        <v>#N/A</v>
      </c>
      <c r="FK25" s="82" t="e">
        <f t="shared" si="31"/>
        <v>#DIV/0!</v>
      </c>
      <c r="FL25" s="7" t="e">
        <f t="shared" si="12"/>
        <v>#DIV/0!</v>
      </c>
      <c r="FM25" t="e">
        <f t="shared" si="32"/>
        <v>#DIV/0!</v>
      </c>
      <c r="FN25" s="8" t="e">
        <f t="shared" si="33"/>
        <v>#DIV/0!</v>
      </c>
      <c r="FO25" s="8" t="e">
        <f t="shared" si="34"/>
        <v>#DIV/0!</v>
      </c>
      <c r="FP25" s="81" t="e">
        <f t="shared" si="35"/>
        <v>#DIV/0!</v>
      </c>
      <c r="FQ25" s="74" t="e">
        <f t="shared" ca="1" si="13"/>
        <v>#N/A</v>
      </c>
      <c r="FR25" s="82" t="e" vm="3">
        <f t="shared" ca="1" si="19"/>
        <v>#VALUE!</v>
      </c>
      <c r="FS25" s="7" t="e" vm="3">
        <f t="shared" ca="1" si="14"/>
        <v>#VALUE!</v>
      </c>
      <c r="FT25" t="e" vm="3">
        <f t="shared" ca="1" si="8"/>
        <v>#VALUE!</v>
      </c>
      <c r="FU25" s="8" t="e" vm="3">
        <f t="shared" ca="1" si="9"/>
        <v>#VALUE!</v>
      </c>
      <c r="FV25" s="8" t="e" vm="3">
        <f t="shared" ca="1" si="10"/>
        <v>#VALUE!</v>
      </c>
      <c r="FW25" s="81" t="e" vm="3">
        <f t="shared" ca="1" si="11"/>
        <v>#VALUE!</v>
      </c>
      <c r="FX25" s="74" t="e">
        <f t="shared" si="15"/>
        <v>#N/A</v>
      </c>
      <c r="FY25" s="82" t="e">
        <f t="shared" si="20"/>
        <v>#N/A</v>
      </c>
      <c r="FZ25" s="7" t="e">
        <f t="shared" si="16"/>
        <v>#N/A</v>
      </c>
      <c r="GA25" t="e">
        <f t="shared" si="21"/>
        <v>#N/A</v>
      </c>
      <c r="GB25" s="8" t="e">
        <f t="shared" si="22"/>
        <v>#N/A</v>
      </c>
      <c r="GC25" s="8" t="e">
        <f t="shared" si="23"/>
        <v>#N/A</v>
      </c>
      <c r="GD25" s="81" t="e">
        <f t="shared" si="24"/>
        <v>#N/A</v>
      </c>
      <c r="GE25" s="74" t="e">
        <f t="shared" si="25"/>
        <v>#N/A</v>
      </c>
      <c r="GF25" s="82" t="e">
        <f t="shared" si="26"/>
        <v>#N/A</v>
      </c>
      <c r="GG25" s="7" t="e">
        <f t="shared" si="17"/>
        <v>#N/A</v>
      </c>
      <c r="GH25" t="e">
        <f t="shared" si="27"/>
        <v>#N/A</v>
      </c>
      <c r="GI25" s="8" t="e">
        <f t="shared" si="28"/>
        <v>#N/A</v>
      </c>
      <c r="GJ25" s="8" t="e">
        <f t="shared" si="29"/>
        <v>#N/A</v>
      </c>
      <c r="GK25" s="81" t="e">
        <f t="shared" si="30"/>
        <v>#N/A</v>
      </c>
      <c r="GL25" s="81"/>
      <c r="GM25" s="81"/>
      <c r="GP25" s="32">
        <f t="shared" si="81"/>
        <v>15</v>
      </c>
      <c r="GQ25" s="32">
        <f t="shared" si="82"/>
        <v>16</v>
      </c>
      <c r="GR25" s="32">
        <f t="shared" si="83"/>
        <v>-2.7309029682413231</v>
      </c>
      <c r="GS25" s="32">
        <f t="shared" si="84"/>
        <v>9.582142737811215E-3</v>
      </c>
      <c r="GT25" s="32" t="e">
        <f t="shared" si="85"/>
        <v>#N/A</v>
      </c>
      <c r="GU25" s="32" t="e">
        <f t="shared" si="86"/>
        <v>#N/A</v>
      </c>
      <c r="GV25" s="32" t="e">
        <f t="shared" si="87"/>
        <v>#N/A</v>
      </c>
      <c r="GW25" s="32" t="b">
        <f t="shared" si="88"/>
        <v>1</v>
      </c>
      <c r="GX25" s="32" t="b">
        <f t="shared" si="89"/>
        <v>0</v>
      </c>
      <c r="GY25" s="32" t="b">
        <f t="shared" si="90"/>
        <v>1</v>
      </c>
      <c r="GZ25" s="32" t="b">
        <f t="shared" si="91"/>
        <v>0</v>
      </c>
      <c r="HA25" s="32">
        <f t="shared" si="92"/>
        <v>9.582142737811215E-3</v>
      </c>
      <c r="HB25" s="32">
        <f t="shared" si="93"/>
        <v>9.582142737811215E-3</v>
      </c>
      <c r="HC25" s="32" t="e">
        <f t="shared" si="94"/>
        <v>#N/A</v>
      </c>
      <c r="HD25" s="45" t="str">
        <f t="shared" si="95"/>
        <v/>
      </c>
      <c r="HJ25" s="32">
        <f t="shared" si="96"/>
        <v>15</v>
      </c>
      <c r="HK25" s="32">
        <f t="shared" si="97"/>
        <v>16</v>
      </c>
      <c r="HL25" s="32">
        <f t="shared" si="98"/>
        <v>-4.2288606020524799</v>
      </c>
      <c r="HM25" s="32" t="e">
        <f t="shared" si="99"/>
        <v>#N/A</v>
      </c>
      <c r="HN25" s="32">
        <f t="shared" si="100"/>
        <v>2.4110931926843594E-3</v>
      </c>
      <c r="HO25" s="32" t="e">
        <f t="shared" si="101"/>
        <v>#N/A</v>
      </c>
      <c r="HP25" s="32" t="e">
        <f t="shared" si="102"/>
        <v>#N/A</v>
      </c>
      <c r="HQ25" s="32" t="b">
        <f t="shared" si="103"/>
        <v>1</v>
      </c>
      <c r="HR25" s="32" t="b">
        <f t="shared" si="104"/>
        <v>0</v>
      </c>
      <c r="HS25" s="32" t="b">
        <f t="shared" si="105"/>
        <v>1</v>
      </c>
      <c r="HT25" s="32" t="b">
        <f t="shared" si="106"/>
        <v>0</v>
      </c>
      <c r="HU25" s="32">
        <f t="shared" si="107"/>
        <v>2.4110931926843594E-3</v>
      </c>
      <c r="HV25" s="32">
        <f t="shared" si="108"/>
        <v>2.4110931926843594E-3</v>
      </c>
      <c r="HW25" s="32" t="e">
        <f t="shared" si="109"/>
        <v>#N/A</v>
      </c>
      <c r="HX25" s="45" t="str">
        <f t="shared" si="110"/>
        <v/>
      </c>
    </row>
    <row r="26" spans="57:232" x14ac:dyDescent="0.2">
      <c r="BE26" s="35" t="s">
        <v>68</v>
      </c>
      <c r="BF26" s="37" t="e" cm="1">
        <f t="array" ref="BF26">MATCH(LARGE((BF18:BF21&lt;&gt;0)*{4;3;2;1},ROWS(BF18:BF21)),{4;3;2;1},0)</f>
        <v>#N/A</v>
      </c>
      <c r="BG26" s="37" t="e" cm="1">
        <f t="array" ref="BG26">MATCH(LARGE((BG18:BG21&lt;&gt;0)*{4;3;2;1},ROWS(BG18:BG21)),{4;3;2;1},0)</f>
        <v>#N/A</v>
      </c>
      <c r="BH26" s="37" t="e" cm="1">
        <f t="array" ref="BH26">MATCH(LARGE((BH18:BH21&lt;&gt;0)*{4;3;2;1},ROWS(BH18:BH21)),{4;3;2;1},0)</f>
        <v>#N/A</v>
      </c>
      <c r="BI26" s="37" t="e" cm="1">
        <f t="array" ref="BI26">MATCH(LARGE((BI18:BI21&lt;&gt;0)*{4;3;2;1},ROWS(BI18:BI21)),{4;3;2;1},0)</f>
        <v>#N/A</v>
      </c>
      <c r="BJ26" s="37" t="e" cm="1">
        <f t="array" ref="BJ26">MATCH(LARGE((BJ18:BJ21&lt;&gt;0)*{4;3;2;1},ROWS(BJ18:BJ21)),{4;3;2;1},0)</f>
        <v>#N/A</v>
      </c>
      <c r="BL26" s="53" t="s">
        <v>251</v>
      </c>
      <c r="BM26" s="86" t="e" cm="1">
        <f t="array" ref="BM26">IF(NOT($BG$2),IF(NOT(ISBLANK(INDEX(E_s_valg[Parameter 2],E_s_aktiv))),INDEX(E_s_valg[Parameter 2],E_s_aktiv),NA()),NA())</f>
        <v>#N/A</v>
      </c>
      <c r="BZ26" s="32">
        <f t="shared" si="36"/>
        <v>16</v>
      </c>
      <c r="CA26" s="32">
        <f>Eu_tabel_g[[#This Row],[Indeks]]+1</f>
        <v>17</v>
      </c>
      <c r="CB26" s="32">
        <f t="shared" si="37"/>
        <v>-2.7069476790462241</v>
      </c>
      <c r="CC26" s="32">
        <f t="shared" si="38"/>
        <v>1.0227026543258957E-2</v>
      </c>
      <c r="CD26" s="32" t="e">
        <f t="shared" si="39"/>
        <v>#N/A</v>
      </c>
      <c r="CE26" s="32" t="e">
        <f t="shared" si="40"/>
        <v>#N/A</v>
      </c>
      <c r="CF26" s="32" t="e">
        <f t="shared" si="41"/>
        <v>#N/A</v>
      </c>
      <c r="CG26" s="32" t="b">
        <f t="shared" si="42"/>
        <v>1</v>
      </c>
      <c r="CH26" s="32" t="b">
        <f t="shared" si="43"/>
        <v>0</v>
      </c>
      <c r="CI26" s="32" t="b">
        <f t="shared" si="44"/>
        <v>1</v>
      </c>
      <c r="CJ26" s="32" t="b">
        <f t="shared" si="45"/>
        <v>0</v>
      </c>
      <c r="CK26" s="32">
        <f t="shared" si="111"/>
        <v>1.0227026543258957E-2</v>
      </c>
      <c r="CL26" s="32">
        <f t="shared" si="47"/>
        <v>1.0227026543258957E-2</v>
      </c>
      <c r="CM26" s="32" t="e">
        <f t="shared" si="48"/>
        <v>#N/A</v>
      </c>
      <c r="CN26" s="45" t="str">
        <f t="shared" si="49"/>
        <v/>
      </c>
      <c r="CO26" s="32">
        <f>_xlfn.NORM.DIST(_xlfn.NORM.INV(1-Eu_g_konfidensniveau,0,1)-Eu_tabel_g[[#This Row],[x base]],0,1,TRUE)</f>
        <v>0.85590350498249024</v>
      </c>
      <c r="CP26" s="32">
        <f>1-_xlfn.NORM.DIST(_xlfn.NORM.INV(Eu_g_konfidensniveau,0,1)-Eu_tabel_g[[#This Row],[x base]],0,1,TRUE)</f>
        <v>6.7511800520003717E-6</v>
      </c>
      <c r="CQ26" s="32">
        <f>_xlfn.NORM.DIST(_xlfn.NORM.INV((1-Eu_g_konfidensniveau)/2,0,1)-Eu_tabel_g[[#This Row],[x base]],0,1,TRUE)+1-_xlfn.NORM.DIST(_xlfn.NORM.INV(1-(1-Eu_g_konfidensniveau)/2,0,1)-Eu_tabel_g[[#This Row],[x base]],0,1,TRUE)</f>
        <v>0.77246482712333409</v>
      </c>
      <c r="CR26" s="32" t="e" cm="1">
        <f t="array" ref="CR26">IF($CR$3,INDEX(Eu_tabel_g[[#This Row],[Styrke venstre]:[Styrke tosidet]],CR$7),NA())</f>
        <v>#N/A</v>
      </c>
      <c r="CS26" s="52" t="e">
        <f>Eu_tabel_g[[#This Row],[Falsk positiv
Nulhypotese accepteres
Fejltype 1]]</f>
        <v>#N/A</v>
      </c>
      <c r="CT26" s="52" t="e">
        <f>IF(CHOOSE(CR$7,Eu_tabel_g[[#This Row],[x base]]&gt;0,Eu_tabel_g[[#This Row],[x base]]&lt;0,Eu_tabel_g[[#This Row],[x base]]=0),Eu_tabel_g[[#This Row],[Styrke, aktiv]],NA())</f>
        <v>#N/A</v>
      </c>
      <c r="CU26" s="52" t="e">
        <f>IFERROR(IF($CR$3,Eu_tabel_g[[#This Row],[Styrke, aktiv]],NA()),NA())</f>
        <v>#N/A</v>
      </c>
      <c r="CV26" s="52" t="e">
        <f>IF(ISNA(Eu_tabel_g[[#This Row],[Sand negativ
Nulhypotese afvises
Korrekt]]),NA(),IF($CR$3,1,NA()))</f>
        <v>#N/A</v>
      </c>
      <c r="CW26" s="34" t="str" cm="1">
        <f t="array" ref="CW26">_xlfn.SWITCH(BZ26,_xlfn.IFNA(CU$2,-99),CU$5,_xlfn.IFNA(CU$3,-99),CU$6,_xlfn.IFNA(CU$4,-99),CU$7,"")</f>
        <v/>
      </c>
      <c r="DA26" s="7">
        <f t="shared" si="50"/>
        <v>0.8</v>
      </c>
      <c r="DB26">
        <f>IF(ROW(Styrkeberegning_G[[#This Row],[X base venstre]])=ROW(Styrkeberegning_G[[#Headers],[X base venstre]])+1,DB$7/(DA$7/$B$67),DB25/(DA25/$B$67))</f>
        <v>-2.8015817870135784</v>
      </c>
      <c r="DC26">
        <f>Styrkeberegning_G[[#This Row],[X base venstre]]*-1</f>
        <v>2.8015817870135784</v>
      </c>
      <c r="DN26" s="32">
        <f t="shared" si="51"/>
        <v>16</v>
      </c>
      <c r="DO26" s="32">
        <f t="shared" si="52"/>
        <v>17</v>
      </c>
      <c r="DP26" s="32">
        <f t="shared" si="53"/>
        <v>3.6589863673257064</v>
      </c>
      <c r="DQ26" s="32" t="e">
        <f t="shared" si="54"/>
        <v>#N/A</v>
      </c>
      <c r="DR26" s="32" t="e">
        <f t="shared" si="55"/>
        <v>#N/A</v>
      </c>
      <c r="DS26" s="32">
        <f t="shared" si="56"/>
        <v>2.3230738932695595E-2</v>
      </c>
      <c r="DT26" s="32" t="e">
        <f t="shared" si="57"/>
        <v>#N/A</v>
      </c>
      <c r="DU26" s="32" t="b">
        <f t="shared" si="58"/>
        <v>1</v>
      </c>
      <c r="DV26" s="32" t="b">
        <f t="shared" si="59"/>
        <v>0</v>
      </c>
      <c r="DW26" s="32" t="b">
        <f t="shared" si="60"/>
        <v>1</v>
      </c>
      <c r="DX26" s="32" t="b">
        <f t="shared" si="61"/>
        <v>0</v>
      </c>
      <c r="DY26" s="32">
        <f t="shared" si="62"/>
        <v>2.3230738932695595E-2</v>
      </c>
      <c r="DZ26" s="32">
        <f t="shared" si="63"/>
        <v>2.3230738932695595E-2</v>
      </c>
      <c r="EA26" s="32" t="e">
        <f t="shared" si="64"/>
        <v>#N/A</v>
      </c>
      <c r="EB26" s="45" t="str">
        <f t="shared" si="65"/>
        <v/>
      </c>
      <c r="EG26" s="32">
        <f t="shared" si="66"/>
        <v>16</v>
      </c>
      <c r="EH26" s="32">
        <f t="shared" si="67"/>
        <v>17</v>
      </c>
      <c r="EI26" s="32">
        <f t="shared" si="68"/>
        <v>-2.7069476790462241</v>
      </c>
      <c r="EJ26" s="32">
        <f t="shared" si="69"/>
        <v>1.0227026543258957E-2</v>
      </c>
      <c r="EK26" s="32" t="e">
        <f t="shared" si="70"/>
        <v>#N/A</v>
      </c>
      <c r="EL26" s="32" t="e">
        <f t="shared" si="71"/>
        <v>#N/A</v>
      </c>
      <c r="EM26" s="32" t="e">
        <f t="shared" si="72"/>
        <v>#N/A</v>
      </c>
      <c r="EN26" s="32" t="b">
        <f t="shared" si="73"/>
        <v>1</v>
      </c>
      <c r="EO26" s="32" t="b">
        <f t="shared" si="74"/>
        <v>0</v>
      </c>
      <c r="EP26" s="32" t="b">
        <f t="shared" si="75"/>
        <v>1</v>
      </c>
      <c r="EQ26" s="32" t="b">
        <f t="shared" si="76"/>
        <v>0</v>
      </c>
      <c r="ER26" s="32">
        <f t="shared" si="77"/>
        <v>1.0227026543258957E-2</v>
      </c>
      <c r="ES26" s="32">
        <f t="shared" si="78"/>
        <v>1.0227026543258957E-2</v>
      </c>
      <c r="ET26" s="32" t="e">
        <f t="shared" si="79"/>
        <v>#N/A</v>
      </c>
      <c r="EU26" s="45" t="str">
        <f t="shared" si="80"/>
        <v/>
      </c>
      <c r="EV2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 s="32" t="e" cm="1">
        <f t="array" ref="EY26">IF($CR$3,INDEX(Eu_tabel_a[[#This Row],[Styrke venstre]:[Styrke tosidet]],EY$7),NA())</f>
        <v>#N/A</v>
      </c>
      <c r="EZ26" s="32" t="e">
        <f>IF(EY$3,IF(CHOOSE(EY$7,Eu_tabel_a[[#This Row],[x base]]&gt;0,Eu_tabel_a[[#This Row],[x base]]&lt;0,Eu_tabel_a[[#This Row],[x base]]=0),1,NA()),NA())</f>
        <v>#N/A</v>
      </c>
      <c r="FA26" s="32" t="e">
        <f>IF(CHOOSE(EY$7,Eu_tabel_a[[#This Row],[x base]]&gt;0,Eu_tabel_a[[#This Row],[x base]]&lt;0,Eu_tabel_a[[#This Row],[x base]]=0),Eu_tabel_a[[#This Row],[Styrke, aktiv]],NA())</f>
        <v>#N/A</v>
      </c>
      <c r="FB26" s="32" t="e">
        <f>IFERROR(IF($EY$3,Eu_tabel_a[[#This Row],[Styrke, aktiv]],NA()),NA())</f>
        <v>#N/A</v>
      </c>
      <c r="FC26" s="32" t="e">
        <f>IF(ISNA(Eu_tabel_a[[#This Row],[Sand negativ
Nulhypotese afvises
Korrekt]]),NA(),IF(EY$3,1,NA()))</f>
        <v>#N/A</v>
      </c>
      <c r="FD26" s="33" t="str" cm="1">
        <f t="array" ref="FD26">IFERROR(_xlfn.SWITCH(Eu_tabel_a[[#This Row],[Indeks]],_xlfn.IFNA(FB$2,-99),FB$5,_xlfn.IFNA(FB$3,-99),FB$6,_xlfn.IFNA(FB$4,-99),FB$7,""),"")</f>
        <v/>
      </c>
      <c r="FE26" s="32">
        <f>Eu_tabel_a[[#This Row],[x base]]*SQRT(Eu_a_h0_x*(1-Eu_a_h0_x)/Eu_a_n_x)+Eu_a_h0_x</f>
        <v>0</v>
      </c>
      <c r="FJ26" s="74" t="e">
        <f t="shared" si="18"/>
        <v>#N/A</v>
      </c>
      <c r="FK26" s="82" t="e">
        <f t="shared" si="31"/>
        <v>#DIV/0!</v>
      </c>
      <c r="FL26" s="7" t="e">
        <f t="shared" si="12"/>
        <v>#DIV/0!</v>
      </c>
      <c r="FM26" t="e">
        <f t="shared" si="32"/>
        <v>#DIV/0!</v>
      </c>
      <c r="FN26" s="8" t="e">
        <f t="shared" si="33"/>
        <v>#DIV/0!</v>
      </c>
      <c r="FO26" s="8" t="e">
        <f t="shared" si="34"/>
        <v>#DIV/0!</v>
      </c>
      <c r="FP26" s="81" t="e">
        <f t="shared" si="35"/>
        <v>#DIV/0!</v>
      </c>
      <c r="FQ26" s="74" t="e">
        <f t="shared" ca="1" si="13"/>
        <v>#N/A</v>
      </c>
      <c r="FR26" s="82" t="e" vm="3">
        <f t="shared" ca="1" si="19"/>
        <v>#VALUE!</v>
      </c>
      <c r="FS26" s="7" t="e" vm="3">
        <f t="shared" ca="1" si="14"/>
        <v>#VALUE!</v>
      </c>
      <c r="FT26" t="e" vm="3">
        <f t="shared" ca="1" si="8"/>
        <v>#VALUE!</v>
      </c>
      <c r="FU26" s="8" t="e" vm="3">
        <f t="shared" ca="1" si="9"/>
        <v>#VALUE!</v>
      </c>
      <c r="FV26" s="8" t="e" vm="3">
        <f t="shared" ca="1" si="10"/>
        <v>#VALUE!</v>
      </c>
      <c r="FW26" s="81" t="e" vm="3">
        <f t="shared" ca="1" si="11"/>
        <v>#VALUE!</v>
      </c>
      <c r="FX26" s="74" t="e">
        <f t="shared" si="15"/>
        <v>#N/A</v>
      </c>
      <c r="FY26" s="82" t="e">
        <f t="shared" si="20"/>
        <v>#N/A</v>
      </c>
      <c r="FZ26" s="7" t="e">
        <f t="shared" si="16"/>
        <v>#N/A</v>
      </c>
      <c r="GA26" t="e">
        <f t="shared" si="21"/>
        <v>#N/A</v>
      </c>
      <c r="GB26" s="8" t="e">
        <f t="shared" si="22"/>
        <v>#N/A</v>
      </c>
      <c r="GC26" s="8" t="e">
        <f t="shared" si="23"/>
        <v>#N/A</v>
      </c>
      <c r="GD26" s="81" t="e">
        <f t="shared" si="24"/>
        <v>#N/A</v>
      </c>
      <c r="GE26" s="74" t="e">
        <f t="shared" si="25"/>
        <v>#N/A</v>
      </c>
      <c r="GF26" s="82" t="e">
        <f t="shared" si="26"/>
        <v>#N/A</v>
      </c>
      <c r="GG26" s="7" t="e">
        <f t="shared" si="17"/>
        <v>#N/A</v>
      </c>
      <c r="GH26" t="e">
        <f t="shared" si="27"/>
        <v>#N/A</v>
      </c>
      <c r="GI26" s="8" t="e">
        <f t="shared" si="28"/>
        <v>#N/A</v>
      </c>
      <c r="GJ26" s="8" t="e">
        <f t="shared" si="29"/>
        <v>#N/A</v>
      </c>
      <c r="GK26" s="81" t="e">
        <f t="shared" si="30"/>
        <v>#N/A</v>
      </c>
      <c r="GL26" s="81"/>
      <c r="GM26" s="81"/>
      <c r="GP26" s="32">
        <f t="shared" si="81"/>
        <v>16</v>
      </c>
      <c r="GQ26" s="32">
        <f t="shared" si="82"/>
        <v>17</v>
      </c>
      <c r="GR26" s="32">
        <f t="shared" si="83"/>
        <v>-2.7069476790462241</v>
      </c>
      <c r="GS26" s="32">
        <f t="shared" si="84"/>
        <v>1.0227026543258957E-2</v>
      </c>
      <c r="GT26" s="32" t="e">
        <f t="shared" si="85"/>
        <v>#N/A</v>
      </c>
      <c r="GU26" s="32" t="e">
        <f t="shared" si="86"/>
        <v>#N/A</v>
      </c>
      <c r="GV26" s="32" t="e">
        <f t="shared" si="87"/>
        <v>#N/A</v>
      </c>
      <c r="GW26" s="32" t="b">
        <f t="shared" si="88"/>
        <v>1</v>
      </c>
      <c r="GX26" s="32" t="b">
        <f t="shared" si="89"/>
        <v>0</v>
      </c>
      <c r="GY26" s="32" t="b">
        <f t="shared" si="90"/>
        <v>1</v>
      </c>
      <c r="GZ26" s="32" t="b">
        <f t="shared" si="91"/>
        <v>0</v>
      </c>
      <c r="HA26" s="32">
        <f t="shared" si="92"/>
        <v>1.0227026543258957E-2</v>
      </c>
      <c r="HB26" s="32">
        <f t="shared" si="93"/>
        <v>1.0227026543258957E-2</v>
      </c>
      <c r="HC26" s="32" t="e">
        <f t="shared" si="94"/>
        <v>#N/A</v>
      </c>
      <c r="HD26" s="45" t="str">
        <f t="shared" si="95"/>
        <v/>
      </c>
      <c r="HJ26" s="32">
        <f t="shared" si="96"/>
        <v>16</v>
      </c>
      <c r="HK26" s="32">
        <f t="shared" si="97"/>
        <v>17</v>
      </c>
      <c r="HL26" s="32">
        <f t="shared" si="98"/>
        <v>-4.1917653336134233</v>
      </c>
      <c r="HM26" s="32" t="e">
        <f t="shared" si="99"/>
        <v>#N/A</v>
      </c>
      <c r="HN26" s="32">
        <f t="shared" si="100"/>
        <v>2.5360582677923203E-3</v>
      </c>
      <c r="HO26" s="32" t="e">
        <f t="shared" si="101"/>
        <v>#N/A</v>
      </c>
      <c r="HP26" s="32" t="e">
        <f t="shared" si="102"/>
        <v>#N/A</v>
      </c>
      <c r="HQ26" s="32" t="b">
        <f t="shared" si="103"/>
        <v>1</v>
      </c>
      <c r="HR26" s="32" t="b">
        <f t="shared" si="104"/>
        <v>0</v>
      </c>
      <c r="HS26" s="32" t="b">
        <f t="shared" si="105"/>
        <v>1</v>
      </c>
      <c r="HT26" s="32" t="b">
        <f t="shared" si="106"/>
        <v>0</v>
      </c>
      <c r="HU26" s="32">
        <f t="shared" si="107"/>
        <v>2.5360582677923203E-3</v>
      </c>
      <c r="HV26" s="32">
        <f t="shared" si="108"/>
        <v>2.5360582677923203E-3</v>
      </c>
      <c r="HW26" s="32" t="e">
        <f t="shared" si="109"/>
        <v>#N/A</v>
      </c>
      <c r="HX26" s="45" t="str">
        <f t="shared" si="110"/>
        <v/>
      </c>
    </row>
    <row r="27" spans="57:232" x14ac:dyDescent="0.2">
      <c r="BE27" s="53" t="s">
        <v>225</v>
      </c>
      <c r="BF27" s="35" t="s">
        <v>219</v>
      </c>
      <c r="BG27" s="35" t="s">
        <v>219</v>
      </c>
      <c r="BH27" s="35" t="s">
        <v>219</v>
      </c>
      <c r="BI27" s="35" t="s">
        <v>219</v>
      </c>
      <c r="BJ27" s="35" t="s">
        <v>219</v>
      </c>
      <c r="BL27" s="53" t="s">
        <v>29</v>
      </c>
      <c r="BM27" s="86" t="e" cm="1">
        <f t="array" ref="BM27">IF(NOT($BG$2),INDEX(E_s_valg[Teststørrelse],E_s_aktiv),NA())</f>
        <v>#N/A</v>
      </c>
      <c r="BZ27" s="32">
        <f t="shared" si="36"/>
        <v>17</v>
      </c>
      <c r="CA27" s="32">
        <f>Eu_tabel_g[[#This Row],[Indeks]]+1</f>
        <v>18</v>
      </c>
      <c r="CB27" s="32">
        <f t="shared" si="37"/>
        <v>-2.6829923898511248</v>
      </c>
      <c r="CC27" s="32">
        <f t="shared" si="38"/>
        <v>1.0909049386925537E-2</v>
      </c>
      <c r="CD27" s="32" t="e">
        <f t="shared" si="39"/>
        <v>#N/A</v>
      </c>
      <c r="CE27" s="32" t="e">
        <f t="shared" si="40"/>
        <v>#N/A</v>
      </c>
      <c r="CF27" s="32" t="e">
        <f t="shared" si="41"/>
        <v>#N/A</v>
      </c>
      <c r="CG27" s="32" t="b">
        <f t="shared" si="42"/>
        <v>1</v>
      </c>
      <c r="CH27" s="32" t="b">
        <f t="shared" si="43"/>
        <v>0</v>
      </c>
      <c r="CI27" s="32" t="b">
        <f t="shared" si="44"/>
        <v>1</v>
      </c>
      <c r="CJ27" s="32" t="b">
        <f t="shared" si="45"/>
        <v>0</v>
      </c>
      <c r="CK27" s="32">
        <f t="shared" si="111"/>
        <v>1.0909049386925537E-2</v>
      </c>
      <c r="CL27" s="32">
        <f t="shared" si="47"/>
        <v>1.0909049386925537E-2</v>
      </c>
      <c r="CM27" s="32" t="e">
        <f t="shared" si="48"/>
        <v>#N/A</v>
      </c>
      <c r="CN27" s="45" t="str">
        <f t="shared" si="49"/>
        <v/>
      </c>
      <c r="CO27" s="32">
        <f>_xlfn.NORM.DIST(_xlfn.NORM.INV(1-Eu_g_konfidensniveau,0,1)-Eu_tabel_g[[#This Row],[x base]],0,1,TRUE)</f>
        <v>0.85039727138881704</v>
      </c>
      <c r="CP27" s="32">
        <f>1-_xlfn.NORM.DIST(_xlfn.NORM.INV(Eu_g_konfidensniveau,0,1)-Eu_tabel_g[[#This Row],[x base]],0,1,TRUE)</f>
        <v>7.5287338512364244E-6</v>
      </c>
      <c r="CQ27" s="32">
        <f>_xlfn.NORM.DIST(_xlfn.NORM.INV((1-Eu_g_konfidensniveau)/2,0,1)-Eu_tabel_g[[#This Row],[x base]],0,1,TRUE)+1-_xlfn.NORM.DIST(_xlfn.NORM.INV(1-(1-Eu_g_konfidensniveau)/2,0,1)-Eu_tabel_g[[#This Row],[x base]],0,1,TRUE)</f>
        <v>0.76517050080719218</v>
      </c>
      <c r="CR27" s="32" t="e" cm="1">
        <f t="array" ref="CR27">IF($CR$3,INDEX(Eu_tabel_g[[#This Row],[Styrke venstre]:[Styrke tosidet]],CR$7),NA())</f>
        <v>#N/A</v>
      </c>
      <c r="CS27" s="52" t="e">
        <f>Eu_tabel_g[[#This Row],[Falsk positiv
Nulhypotese accepteres
Fejltype 1]]</f>
        <v>#N/A</v>
      </c>
      <c r="CT27" s="52" t="e">
        <f>IF(CHOOSE(CR$7,Eu_tabel_g[[#This Row],[x base]]&gt;0,Eu_tabel_g[[#This Row],[x base]]&lt;0,Eu_tabel_g[[#This Row],[x base]]=0),Eu_tabel_g[[#This Row],[Styrke, aktiv]],NA())</f>
        <v>#N/A</v>
      </c>
      <c r="CU27" s="52" t="e">
        <f>IFERROR(IF($CR$3,Eu_tabel_g[[#This Row],[Styrke, aktiv]],NA()),NA())</f>
        <v>#N/A</v>
      </c>
      <c r="CV27" s="52" t="e">
        <f>IF(ISNA(Eu_tabel_g[[#This Row],[Sand negativ
Nulhypotese afvises
Korrekt]]),NA(),IF($CR$3,1,NA()))</f>
        <v>#N/A</v>
      </c>
      <c r="CW27" s="34" t="str" cm="1">
        <f t="array" ref="CW27">_xlfn.SWITCH(BZ27,_xlfn.IFNA(CU$2,-99),CU$5,_xlfn.IFNA(CU$3,-99),CU$6,_xlfn.IFNA(CU$4,-99),CU$7,"")</f>
        <v/>
      </c>
      <c r="DA27" s="7">
        <f t="shared" si="50"/>
        <v>0.8</v>
      </c>
      <c r="DB27">
        <f>IF(ROW(Styrkeberegning_G[[#This Row],[X base venstre]])=ROW(Styrkeberegning_G[[#Headers],[X base venstre]])+1,DB$7/(DA$7/$B$67),DB26/(DA26/$B$67))</f>
        <v>-2.8015817870135784</v>
      </c>
      <c r="DC27">
        <f>Styrkeberegning_G[[#This Row],[X base venstre]]*-1</f>
        <v>2.8015817870135784</v>
      </c>
      <c r="DN27" s="32">
        <f t="shared" si="51"/>
        <v>17</v>
      </c>
      <c r="DO27" s="32">
        <f t="shared" si="52"/>
        <v>18</v>
      </c>
      <c r="DP27" s="32">
        <f t="shared" si="53"/>
        <v>3.7730572237427076</v>
      </c>
      <c r="DQ27" s="32" t="e">
        <f t="shared" si="54"/>
        <v>#N/A</v>
      </c>
      <c r="DR27" s="32" t="e">
        <f t="shared" si="55"/>
        <v>#N/A</v>
      </c>
      <c r="DS27" s="32">
        <f t="shared" si="56"/>
        <v>2.5193560854176802E-2</v>
      </c>
      <c r="DT27" s="32" t="e">
        <f t="shared" si="57"/>
        <v>#N/A</v>
      </c>
      <c r="DU27" s="32" t="b">
        <f t="shared" si="58"/>
        <v>1</v>
      </c>
      <c r="DV27" s="32" t="b">
        <f t="shared" si="59"/>
        <v>0</v>
      </c>
      <c r="DW27" s="32" t="b">
        <f t="shared" si="60"/>
        <v>1</v>
      </c>
      <c r="DX27" s="32" t="b">
        <f t="shared" si="61"/>
        <v>0</v>
      </c>
      <c r="DY27" s="32">
        <f t="shared" si="62"/>
        <v>2.5193560854176802E-2</v>
      </c>
      <c r="DZ27" s="32">
        <f t="shared" si="63"/>
        <v>2.5193560854176802E-2</v>
      </c>
      <c r="EA27" s="32" t="e">
        <f t="shared" si="64"/>
        <v>#N/A</v>
      </c>
      <c r="EB27" s="45">
        <f t="shared" si="65"/>
        <v>3.0510000000000002</v>
      </c>
      <c r="EG27" s="32">
        <f t="shared" si="66"/>
        <v>17</v>
      </c>
      <c r="EH27" s="32">
        <f t="shared" si="67"/>
        <v>18</v>
      </c>
      <c r="EI27" s="32">
        <f t="shared" si="68"/>
        <v>-2.6829923898511248</v>
      </c>
      <c r="EJ27" s="32">
        <f t="shared" si="69"/>
        <v>1.0909049386925537E-2</v>
      </c>
      <c r="EK27" s="32" t="e">
        <f t="shared" si="70"/>
        <v>#N/A</v>
      </c>
      <c r="EL27" s="32" t="e">
        <f t="shared" si="71"/>
        <v>#N/A</v>
      </c>
      <c r="EM27" s="32" t="e">
        <f t="shared" si="72"/>
        <v>#N/A</v>
      </c>
      <c r="EN27" s="32" t="b">
        <f t="shared" si="73"/>
        <v>1</v>
      </c>
      <c r="EO27" s="32" t="b">
        <f t="shared" si="74"/>
        <v>0</v>
      </c>
      <c r="EP27" s="32" t="b">
        <f t="shared" si="75"/>
        <v>1</v>
      </c>
      <c r="EQ27" s="32" t="b">
        <f t="shared" si="76"/>
        <v>0</v>
      </c>
      <c r="ER27" s="32">
        <f t="shared" si="77"/>
        <v>1.0909049386925537E-2</v>
      </c>
      <c r="ES27" s="32">
        <f t="shared" si="78"/>
        <v>1.0909049386925537E-2</v>
      </c>
      <c r="ET27" s="32" t="e">
        <f t="shared" si="79"/>
        <v>#N/A</v>
      </c>
      <c r="EU27" s="45" t="str">
        <f t="shared" si="80"/>
        <v/>
      </c>
      <c r="EV2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7" s="32" t="e" cm="1">
        <f t="array" ref="EY27">IF($CR$3,INDEX(Eu_tabel_a[[#This Row],[Styrke venstre]:[Styrke tosidet]],EY$7),NA())</f>
        <v>#N/A</v>
      </c>
      <c r="EZ27" s="32" t="e">
        <f>IF(EY$3,IF(CHOOSE(EY$7,Eu_tabel_a[[#This Row],[x base]]&gt;0,Eu_tabel_a[[#This Row],[x base]]&lt;0,Eu_tabel_a[[#This Row],[x base]]=0),1,NA()),NA())</f>
        <v>#N/A</v>
      </c>
      <c r="FA27" s="32" t="e">
        <f>IF(CHOOSE(EY$7,Eu_tabel_a[[#This Row],[x base]]&gt;0,Eu_tabel_a[[#This Row],[x base]]&lt;0,Eu_tabel_a[[#This Row],[x base]]=0),Eu_tabel_a[[#This Row],[Styrke, aktiv]],NA())</f>
        <v>#N/A</v>
      </c>
      <c r="FB27" s="32" t="e">
        <f>IFERROR(IF($EY$3,Eu_tabel_a[[#This Row],[Styrke, aktiv]],NA()),NA())</f>
        <v>#N/A</v>
      </c>
      <c r="FC27" s="32" t="e">
        <f>IF(ISNA(Eu_tabel_a[[#This Row],[Sand negativ
Nulhypotese afvises
Korrekt]]),NA(),IF(EY$3,1,NA()))</f>
        <v>#N/A</v>
      </c>
      <c r="FD27" s="33" t="str" cm="1">
        <f t="array" ref="FD27">IFERROR(_xlfn.SWITCH(Eu_tabel_a[[#This Row],[Indeks]],_xlfn.IFNA(FB$2,-99),FB$5,_xlfn.IFNA(FB$3,-99),FB$6,_xlfn.IFNA(FB$4,-99),FB$7,""),"")</f>
        <v/>
      </c>
      <c r="FE27" s="32">
        <f>Eu_tabel_a[[#This Row],[x base]]*SQRT(Eu_a_h0_x*(1-Eu_a_h0_x)/Eu_a_n_x)+Eu_a_h0_x</f>
        <v>0</v>
      </c>
      <c r="FJ27" s="74" t="e">
        <f t="shared" si="18"/>
        <v>#N/A</v>
      </c>
      <c r="FK27" s="82" t="e">
        <f t="shared" si="31"/>
        <v>#DIV/0!</v>
      </c>
      <c r="FL27" s="7" t="e">
        <f t="shared" si="12"/>
        <v>#DIV/0!</v>
      </c>
      <c r="FM27" t="e">
        <f t="shared" si="32"/>
        <v>#DIV/0!</v>
      </c>
      <c r="FN27" s="8" t="e">
        <f t="shared" si="33"/>
        <v>#DIV/0!</v>
      </c>
      <c r="FO27" s="8" t="e">
        <f t="shared" si="34"/>
        <v>#DIV/0!</v>
      </c>
      <c r="FP27" s="81" t="e">
        <f t="shared" si="35"/>
        <v>#DIV/0!</v>
      </c>
      <c r="FQ27" s="74" t="e">
        <f t="shared" ca="1" si="13"/>
        <v>#N/A</v>
      </c>
      <c r="FR27" s="82" t="e" vm="3">
        <f t="shared" ca="1" si="19"/>
        <v>#VALUE!</v>
      </c>
      <c r="FS27" s="7" t="e" vm="3">
        <f t="shared" ca="1" si="14"/>
        <v>#VALUE!</v>
      </c>
      <c r="FT27" t="e" vm="3">
        <f t="shared" ca="1" si="8"/>
        <v>#VALUE!</v>
      </c>
      <c r="FU27" s="8" t="e" vm="3">
        <f t="shared" ca="1" si="9"/>
        <v>#VALUE!</v>
      </c>
      <c r="FV27" s="8" t="e" vm="3">
        <f t="shared" ca="1" si="10"/>
        <v>#VALUE!</v>
      </c>
      <c r="FW27" s="81" t="e" vm="3">
        <f t="shared" ca="1" si="11"/>
        <v>#VALUE!</v>
      </c>
      <c r="FX27" s="74" t="e">
        <f t="shared" si="15"/>
        <v>#N/A</v>
      </c>
      <c r="FY27" s="82" t="e">
        <f t="shared" si="20"/>
        <v>#N/A</v>
      </c>
      <c r="FZ27" s="7" t="e">
        <f t="shared" si="16"/>
        <v>#N/A</v>
      </c>
      <c r="GA27" t="e">
        <f t="shared" si="21"/>
        <v>#N/A</v>
      </c>
      <c r="GB27" s="8" t="e">
        <f t="shared" si="22"/>
        <v>#N/A</v>
      </c>
      <c r="GC27" s="8" t="e">
        <f t="shared" si="23"/>
        <v>#N/A</v>
      </c>
      <c r="GD27" s="81" t="e">
        <f t="shared" si="24"/>
        <v>#N/A</v>
      </c>
      <c r="GE27" s="74" t="e">
        <f t="shared" si="25"/>
        <v>#N/A</v>
      </c>
      <c r="GF27" s="82" t="e">
        <f t="shared" si="26"/>
        <v>#N/A</v>
      </c>
      <c r="GG27" s="7" t="e">
        <f t="shared" si="17"/>
        <v>#N/A</v>
      </c>
      <c r="GH27" t="e">
        <f t="shared" si="27"/>
        <v>#N/A</v>
      </c>
      <c r="GI27" s="8" t="e">
        <f t="shared" si="28"/>
        <v>#N/A</v>
      </c>
      <c r="GJ27" s="8" t="e">
        <f t="shared" si="29"/>
        <v>#N/A</v>
      </c>
      <c r="GK27" s="81" t="e">
        <f t="shared" si="30"/>
        <v>#N/A</v>
      </c>
      <c r="GL27" s="81"/>
      <c r="GM27" s="81"/>
      <c r="GP27" s="32">
        <f t="shared" si="81"/>
        <v>17</v>
      </c>
      <c r="GQ27" s="32">
        <f t="shared" si="82"/>
        <v>18</v>
      </c>
      <c r="GR27" s="32">
        <f t="shared" si="83"/>
        <v>-2.6829923898511248</v>
      </c>
      <c r="GS27" s="32">
        <f t="shared" si="84"/>
        <v>1.0909049386925537E-2</v>
      </c>
      <c r="GT27" s="32" t="e">
        <f t="shared" si="85"/>
        <v>#N/A</v>
      </c>
      <c r="GU27" s="32" t="e">
        <f t="shared" si="86"/>
        <v>#N/A</v>
      </c>
      <c r="GV27" s="32" t="e">
        <f t="shared" si="87"/>
        <v>#N/A</v>
      </c>
      <c r="GW27" s="32" t="b">
        <f t="shared" si="88"/>
        <v>1</v>
      </c>
      <c r="GX27" s="32" t="b">
        <f t="shared" si="89"/>
        <v>0</v>
      </c>
      <c r="GY27" s="32" t="b">
        <f t="shared" si="90"/>
        <v>1</v>
      </c>
      <c r="GZ27" s="32" t="b">
        <f t="shared" si="91"/>
        <v>0</v>
      </c>
      <c r="HA27" s="32">
        <f t="shared" si="92"/>
        <v>1.0909049386925537E-2</v>
      </c>
      <c r="HB27" s="32">
        <f t="shared" si="93"/>
        <v>1.0909049386925537E-2</v>
      </c>
      <c r="HC27" s="32" t="e">
        <f t="shared" si="94"/>
        <v>#N/A</v>
      </c>
      <c r="HD27" s="45" t="str">
        <f t="shared" si="95"/>
        <v/>
      </c>
      <c r="HJ27" s="32">
        <f t="shared" si="96"/>
        <v>17</v>
      </c>
      <c r="HK27" s="32">
        <f t="shared" si="97"/>
        <v>18</v>
      </c>
      <c r="HL27" s="32">
        <f t="shared" si="98"/>
        <v>-4.1546700651743667</v>
      </c>
      <c r="HM27" s="32" t="e">
        <f t="shared" si="99"/>
        <v>#N/A</v>
      </c>
      <c r="HN27" s="32">
        <f t="shared" si="100"/>
        <v>2.6680143770795384E-3</v>
      </c>
      <c r="HO27" s="32" t="e">
        <f t="shared" si="101"/>
        <v>#N/A</v>
      </c>
      <c r="HP27" s="32" t="e">
        <f t="shared" si="102"/>
        <v>#N/A</v>
      </c>
      <c r="HQ27" s="32" t="b">
        <f t="shared" si="103"/>
        <v>1</v>
      </c>
      <c r="HR27" s="32" t="b">
        <f t="shared" si="104"/>
        <v>0</v>
      </c>
      <c r="HS27" s="32" t="b">
        <f t="shared" si="105"/>
        <v>1</v>
      </c>
      <c r="HT27" s="32" t="b">
        <f t="shared" si="106"/>
        <v>0</v>
      </c>
      <c r="HU27" s="32">
        <f t="shared" si="107"/>
        <v>2.6680143770795384E-3</v>
      </c>
      <c r="HV27" s="32">
        <f t="shared" si="108"/>
        <v>2.6680143770795384E-3</v>
      </c>
      <c r="HW27" s="32" t="e">
        <f t="shared" si="109"/>
        <v>#N/A</v>
      </c>
      <c r="HX27" s="45" t="str">
        <f t="shared" si="110"/>
        <v/>
      </c>
    </row>
    <row r="28" spans="57:232" x14ac:dyDescent="0.2">
      <c r="BE28" s="35" t="s">
        <v>58</v>
      </c>
      <c r="BF28" s="37" t="str" cm="1">
        <f t="array" ref="BF28:BF30">_xlfn._xlws.FILTER(BF13:BF16,NOT((BF13:BF16)=0))</f>
        <v>Datatypen er interval</v>
      </c>
      <c r="BG28" s="37" t="str" cm="1">
        <f t="array" ref="BG28:BG29">_xlfn._xlws.FILTER(BG13:BG16,NOT((BG13:BG16)=0))</f>
        <v>Datatypen er interval</v>
      </c>
      <c r="BH28" s="37" t="str" cm="1">
        <f t="array" ref="BH28:BH29">_xlfn._xlws.FILTER(BH13:BH16,NOT((BH13:BH16)=0))</f>
        <v>Datatypen er nominal, hvor succes er TRUE og øvrige værdier er FALSE</v>
      </c>
      <c r="BI28" s="37" t="str" cm="1">
        <f t="array" ref="BI28:BI29">_xlfn._xlws.FILTER(BI13:BI16,NOT((BI13:BI16)=0))</f>
        <v>Observationerne består af antal successer fra lige store tidsintervaller</v>
      </c>
      <c r="BJ28" s="37" t="str" cm="1">
        <f t="array" ref="BJ28:BJ29">_xlfn._xlws.FILTER(BJ13:BJ16,NOT((BJ13:BJ16)=0))</f>
        <v>Datatypen er interval</v>
      </c>
      <c r="BL28" s="53" t="s">
        <v>209</v>
      </c>
      <c r="BM28" s="87" t="e" cm="1">
        <f t="array" ref="BM28">IF(NOT($BG$2),INDEX(E_s_valg[p-værdi],E_s_aktiv),NA())</f>
        <v>#N/A</v>
      </c>
      <c r="BZ28" s="32">
        <f t="shared" si="36"/>
        <v>18</v>
      </c>
      <c r="CA28" s="32">
        <f>Eu_tabel_g[[#This Row],[Indeks]]+1</f>
        <v>19</v>
      </c>
      <c r="CB28" s="32">
        <f t="shared" si="37"/>
        <v>-2.6590371006560254</v>
      </c>
      <c r="CC28" s="32">
        <f t="shared" si="38"/>
        <v>1.1629879373268774E-2</v>
      </c>
      <c r="CD28" s="32" t="e">
        <f t="shared" si="39"/>
        <v>#N/A</v>
      </c>
      <c r="CE28" s="32" t="e">
        <f t="shared" si="40"/>
        <v>#N/A</v>
      </c>
      <c r="CF28" s="32" t="e">
        <f t="shared" si="41"/>
        <v>#N/A</v>
      </c>
      <c r="CG28" s="32" t="b">
        <f t="shared" si="42"/>
        <v>1</v>
      </c>
      <c r="CH28" s="32" t="b">
        <f t="shared" si="43"/>
        <v>0</v>
      </c>
      <c r="CI28" s="32" t="b">
        <f t="shared" si="44"/>
        <v>1</v>
      </c>
      <c r="CJ28" s="32" t="b">
        <f t="shared" si="45"/>
        <v>0</v>
      </c>
      <c r="CK28" s="32">
        <f t="shared" si="111"/>
        <v>1.1629879373268774E-2</v>
      </c>
      <c r="CL28" s="32">
        <f t="shared" si="47"/>
        <v>1.1629879373268774E-2</v>
      </c>
      <c r="CM28" s="32" t="e">
        <f t="shared" si="48"/>
        <v>#N/A</v>
      </c>
      <c r="CN28" s="45" t="str">
        <f t="shared" si="49"/>
        <v/>
      </c>
      <c r="CO28" s="32">
        <f>_xlfn.NORM.DIST(_xlfn.NORM.INV(1-Eu_g_konfidensniveau,0,1)-Eu_tabel_g[[#This Row],[x base]],0,1,TRUE)</f>
        <v>0.84475239355334408</v>
      </c>
      <c r="CP28" s="32">
        <f>1-_xlfn.NORM.DIST(_xlfn.NORM.INV(Eu_g_konfidensniveau,0,1)-Eu_tabel_g[[#This Row],[x base]],0,1,TRUE)</f>
        <v>8.3912230994798165E-6</v>
      </c>
      <c r="CQ28" s="32">
        <f>_xlfn.NORM.DIST(_xlfn.NORM.INV((1-Eu_g_konfidensniveau)/2,0,1)-Eu_tabel_g[[#This Row],[x base]],0,1,TRUE)+1-_xlfn.NORM.DIST(_xlfn.NORM.INV(1-(1-Eu_g_konfidensniveau)/2,0,1)-Eu_tabel_g[[#This Row],[x base]],0,1,TRUE)</f>
        <v>0.7577487587271472</v>
      </c>
      <c r="CR28" s="32" t="e" cm="1">
        <f t="array" ref="CR28">IF($CR$3,INDEX(Eu_tabel_g[[#This Row],[Styrke venstre]:[Styrke tosidet]],CR$7),NA())</f>
        <v>#N/A</v>
      </c>
      <c r="CS28" s="52" t="e">
        <f>Eu_tabel_g[[#This Row],[Falsk positiv
Nulhypotese accepteres
Fejltype 1]]</f>
        <v>#N/A</v>
      </c>
      <c r="CT28" s="52" t="e">
        <f>IF(CHOOSE(CR$7,Eu_tabel_g[[#This Row],[x base]]&gt;0,Eu_tabel_g[[#This Row],[x base]]&lt;0,Eu_tabel_g[[#This Row],[x base]]=0),Eu_tabel_g[[#This Row],[Styrke, aktiv]],NA())</f>
        <v>#N/A</v>
      </c>
      <c r="CU28" s="52" t="e">
        <f>IFERROR(IF($CR$3,Eu_tabel_g[[#This Row],[Styrke, aktiv]],NA()),NA())</f>
        <v>#N/A</v>
      </c>
      <c r="CV28" s="52" t="e">
        <f>IF(ISNA(Eu_tabel_g[[#This Row],[Sand negativ
Nulhypotese afvises
Korrekt]]),NA(),IF($CR$3,1,NA()))</f>
        <v>#N/A</v>
      </c>
      <c r="CW28" s="34" t="str" cm="1">
        <f t="array" ref="CW28">_xlfn.SWITCH(BZ28,_xlfn.IFNA(CU$2,-99),CU$5,_xlfn.IFNA(CU$3,-99),CU$6,_xlfn.IFNA(CU$4,-99),CU$7,"")</f>
        <v/>
      </c>
      <c r="DA28" s="7">
        <f t="shared" si="50"/>
        <v>0.8</v>
      </c>
      <c r="DB28">
        <f>IF(ROW(Styrkeberegning_G[[#This Row],[X base venstre]])=ROW(Styrkeberegning_G[[#Headers],[X base venstre]])+1,DB$7/(DA$7/$B$67),DB27/(DA27/$B$67))</f>
        <v>-2.8015817870135784</v>
      </c>
      <c r="DC28">
        <f>Styrkeberegning_G[[#This Row],[X base venstre]]*-1</f>
        <v>2.8015817870135784</v>
      </c>
      <c r="DN28" s="32">
        <f t="shared" si="51"/>
        <v>18</v>
      </c>
      <c r="DO28" s="32">
        <f t="shared" si="52"/>
        <v>19</v>
      </c>
      <c r="DP28" s="32">
        <f t="shared" si="53"/>
        <v>3.8871280801597088</v>
      </c>
      <c r="DQ28" s="32" t="e">
        <f t="shared" si="54"/>
        <v>#N/A</v>
      </c>
      <c r="DR28" s="32" t="e">
        <f t="shared" si="55"/>
        <v>#N/A</v>
      </c>
      <c r="DS28" s="32">
        <f t="shared" si="56"/>
        <v>2.7210025453453968E-2</v>
      </c>
      <c r="DT28" s="32" t="e">
        <f t="shared" si="57"/>
        <v>#N/A</v>
      </c>
      <c r="DU28" s="32" t="b">
        <f t="shared" si="58"/>
        <v>0</v>
      </c>
      <c r="DV28" s="32" t="b">
        <f t="shared" si="59"/>
        <v>1</v>
      </c>
      <c r="DW28" s="32" t="b">
        <f t="shared" si="60"/>
        <v>0</v>
      </c>
      <c r="DX28" s="32" t="b">
        <f t="shared" si="61"/>
        <v>1</v>
      </c>
      <c r="DY28" s="32">
        <f t="shared" si="62"/>
        <v>2.7210025453453968E-2</v>
      </c>
      <c r="DZ28" s="32" t="e">
        <f t="shared" si="63"/>
        <v>#N/A</v>
      </c>
      <c r="EA28" s="32">
        <f t="shared" si="64"/>
        <v>2.7210025453453968E-2</v>
      </c>
      <c r="EB28" s="45" t="str">
        <f t="shared" si="65"/>
        <v/>
      </c>
      <c r="EG28" s="32">
        <f t="shared" si="66"/>
        <v>18</v>
      </c>
      <c r="EH28" s="32">
        <f t="shared" si="67"/>
        <v>19</v>
      </c>
      <c r="EI28" s="32">
        <f t="shared" si="68"/>
        <v>-2.6590371006560254</v>
      </c>
      <c r="EJ28" s="32">
        <f t="shared" si="69"/>
        <v>1.1629879373268774E-2</v>
      </c>
      <c r="EK28" s="32" t="e">
        <f t="shared" si="70"/>
        <v>#N/A</v>
      </c>
      <c r="EL28" s="32" t="e">
        <f t="shared" si="71"/>
        <v>#N/A</v>
      </c>
      <c r="EM28" s="32" t="e">
        <f t="shared" si="72"/>
        <v>#N/A</v>
      </c>
      <c r="EN28" s="32" t="b">
        <f t="shared" si="73"/>
        <v>1</v>
      </c>
      <c r="EO28" s="32" t="b">
        <f t="shared" si="74"/>
        <v>0</v>
      </c>
      <c r="EP28" s="32" t="b">
        <f t="shared" si="75"/>
        <v>1</v>
      </c>
      <c r="EQ28" s="32" t="b">
        <f t="shared" si="76"/>
        <v>0</v>
      </c>
      <c r="ER28" s="32">
        <f t="shared" si="77"/>
        <v>1.1629879373268774E-2</v>
      </c>
      <c r="ES28" s="32">
        <f t="shared" si="78"/>
        <v>1.1629879373268774E-2</v>
      </c>
      <c r="ET28" s="32" t="e">
        <f t="shared" si="79"/>
        <v>#N/A</v>
      </c>
      <c r="EU28" s="45" t="str">
        <f t="shared" si="80"/>
        <v/>
      </c>
      <c r="EV2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8" s="32" t="e" cm="1">
        <f t="array" ref="EY28">IF($CR$3,INDEX(Eu_tabel_a[[#This Row],[Styrke venstre]:[Styrke tosidet]],EY$7),NA())</f>
        <v>#N/A</v>
      </c>
      <c r="EZ28" s="32" t="e">
        <f>IF(EY$3,IF(CHOOSE(EY$7,Eu_tabel_a[[#This Row],[x base]]&gt;0,Eu_tabel_a[[#This Row],[x base]]&lt;0,Eu_tabel_a[[#This Row],[x base]]=0),1,NA()),NA())</f>
        <v>#N/A</v>
      </c>
      <c r="FA28" s="32" t="e">
        <f>IF(CHOOSE(EY$7,Eu_tabel_a[[#This Row],[x base]]&gt;0,Eu_tabel_a[[#This Row],[x base]]&lt;0,Eu_tabel_a[[#This Row],[x base]]=0),Eu_tabel_a[[#This Row],[Styrke, aktiv]],NA())</f>
        <v>#N/A</v>
      </c>
      <c r="FB28" s="32" t="e">
        <f>IFERROR(IF($EY$3,Eu_tabel_a[[#This Row],[Styrke, aktiv]],NA()),NA())</f>
        <v>#N/A</v>
      </c>
      <c r="FC28" s="32" t="e">
        <f>IF(ISNA(Eu_tabel_a[[#This Row],[Sand negativ
Nulhypotese afvises
Korrekt]]),NA(),IF(EY$3,1,NA()))</f>
        <v>#N/A</v>
      </c>
      <c r="FD28" s="33" t="str" cm="1">
        <f t="array" ref="FD28">IFERROR(_xlfn.SWITCH(Eu_tabel_a[[#This Row],[Indeks]],_xlfn.IFNA(FB$2,-99),FB$5,_xlfn.IFNA(FB$3,-99),FB$6,_xlfn.IFNA(FB$4,-99),FB$7,""),"")</f>
        <v/>
      </c>
      <c r="FE28" s="32">
        <f>Eu_tabel_a[[#This Row],[x base]]*SQRT(Eu_a_h0_x*(1-Eu_a_h0_x)/Eu_a_n_x)+Eu_a_h0_x</f>
        <v>0</v>
      </c>
      <c r="FJ28" s="74" t="e">
        <f t="shared" si="18"/>
        <v>#N/A</v>
      </c>
      <c r="FK28" s="82" t="e">
        <f t="shared" si="31"/>
        <v>#DIV/0!</v>
      </c>
      <c r="FL28" s="7" t="e">
        <f t="shared" si="12"/>
        <v>#DIV/0!</v>
      </c>
      <c r="FM28" t="e">
        <f t="shared" si="32"/>
        <v>#DIV/0!</v>
      </c>
      <c r="FN28" s="8" t="e">
        <f t="shared" si="33"/>
        <v>#DIV/0!</v>
      </c>
      <c r="FO28" s="8" t="e">
        <f t="shared" si="34"/>
        <v>#DIV/0!</v>
      </c>
      <c r="FP28" s="81" t="e">
        <f t="shared" si="35"/>
        <v>#DIV/0!</v>
      </c>
      <c r="FQ28" s="74" t="e">
        <f t="shared" ca="1" si="13"/>
        <v>#N/A</v>
      </c>
      <c r="FR28" s="82" t="e" vm="3">
        <f t="shared" ca="1" si="19"/>
        <v>#VALUE!</v>
      </c>
      <c r="FS28" s="7" t="e" vm="3">
        <f t="shared" ca="1" si="14"/>
        <v>#VALUE!</v>
      </c>
      <c r="FT28" t="e" vm="3">
        <f t="shared" ca="1" si="8"/>
        <v>#VALUE!</v>
      </c>
      <c r="FU28" s="8" t="e" vm="3">
        <f t="shared" ca="1" si="9"/>
        <v>#VALUE!</v>
      </c>
      <c r="FV28" s="8" t="e" vm="3">
        <f t="shared" ca="1" si="10"/>
        <v>#VALUE!</v>
      </c>
      <c r="FW28" s="81" t="e" vm="3">
        <f t="shared" ca="1" si="11"/>
        <v>#VALUE!</v>
      </c>
      <c r="FX28" s="74" t="e">
        <f t="shared" si="15"/>
        <v>#N/A</v>
      </c>
      <c r="FY28" s="82" t="e">
        <f t="shared" si="20"/>
        <v>#N/A</v>
      </c>
      <c r="FZ28" s="7" t="e">
        <f t="shared" si="16"/>
        <v>#N/A</v>
      </c>
      <c r="GA28" t="e">
        <f t="shared" si="21"/>
        <v>#N/A</v>
      </c>
      <c r="GB28" s="8" t="e">
        <f t="shared" si="22"/>
        <v>#N/A</v>
      </c>
      <c r="GC28" s="8" t="e">
        <f t="shared" si="23"/>
        <v>#N/A</v>
      </c>
      <c r="GD28" s="81" t="e">
        <f t="shared" si="24"/>
        <v>#N/A</v>
      </c>
      <c r="GE28" s="74" t="e">
        <f t="shared" si="25"/>
        <v>#N/A</v>
      </c>
      <c r="GF28" s="82" t="e">
        <f t="shared" si="26"/>
        <v>#N/A</v>
      </c>
      <c r="GG28" s="7" t="e">
        <f t="shared" si="17"/>
        <v>#N/A</v>
      </c>
      <c r="GH28" t="e">
        <f t="shared" si="27"/>
        <v>#N/A</v>
      </c>
      <c r="GI28" s="8" t="e">
        <f t="shared" si="28"/>
        <v>#N/A</v>
      </c>
      <c r="GJ28" s="8" t="e">
        <f t="shared" si="29"/>
        <v>#N/A</v>
      </c>
      <c r="GK28" s="81" t="e">
        <f t="shared" si="30"/>
        <v>#N/A</v>
      </c>
      <c r="GL28" s="81"/>
      <c r="GM28" s="81"/>
      <c r="GP28" s="32">
        <f t="shared" si="81"/>
        <v>18</v>
      </c>
      <c r="GQ28" s="32">
        <f t="shared" si="82"/>
        <v>19</v>
      </c>
      <c r="GR28" s="32">
        <f t="shared" si="83"/>
        <v>-2.6590371006560254</v>
      </c>
      <c r="GS28" s="32">
        <f t="shared" si="84"/>
        <v>1.1629879373268774E-2</v>
      </c>
      <c r="GT28" s="32" t="e">
        <f t="shared" si="85"/>
        <v>#N/A</v>
      </c>
      <c r="GU28" s="32" t="e">
        <f t="shared" si="86"/>
        <v>#N/A</v>
      </c>
      <c r="GV28" s="32" t="e">
        <f t="shared" si="87"/>
        <v>#N/A</v>
      </c>
      <c r="GW28" s="32" t="b">
        <f t="shared" si="88"/>
        <v>1</v>
      </c>
      <c r="GX28" s="32" t="b">
        <f t="shared" si="89"/>
        <v>0</v>
      </c>
      <c r="GY28" s="32" t="b">
        <f t="shared" si="90"/>
        <v>1</v>
      </c>
      <c r="GZ28" s="32" t="b">
        <f t="shared" si="91"/>
        <v>0</v>
      </c>
      <c r="HA28" s="32">
        <f t="shared" si="92"/>
        <v>1.1629879373268774E-2</v>
      </c>
      <c r="HB28" s="32">
        <f t="shared" si="93"/>
        <v>1.1629879373268774E-2</v>
      </c>
      <c r="HC28" s="32" t="e">
        <f t="shared" si="94"/>
        <v>#N/A</v>
      </c>
      <c r="HD28" s="45" t="str">
        <f t="shared" si="95"/>
        <v/>
      </c>
      <c r="HJ28" s="32">
        <f t="shared" si="96"/>
        <v>18</v>
      </c>
      <c r="HK28" s="32">
        <f t="shared" si="97"/>
        <v>19</v>
      </c>
      <c r="HL28" s="32">
        <f t="shared" si="98"/>
        <v>-4.11757479673531</v>
      </c>
      <c r="HM28" s="32" t="e">
        <f t="shared" si="99"/>
        <v>#N/A</v>
      </c>
      <c r="HN28" s="32">
        <f t="shared" si="100"/>
        <v>2.8073751156491695E-3</v>
      </c>
      <c r="HO28" s="32" t="e">
        <f t="shared" si="101"/>
        <v>#N/A</v>
      </c>
      <c r="HP28" s="32" t="e">
        <f t="shared" si="102"/>
        <v>#N/A</v>
      </c>
      <c r="HQ28" s="32" t="b">
        <f t="shared" si="103"/>
        <v>1</v>
      </c>
      <c r="HR28" s="32" t="b">
        <f t="shared" si="104"/>
        <v>0</v>
      </c>
      <c r="HS28" s="32" t="b">
        <f t="shared" si="105"/>
        <v>1</v>
      </c>
      <c r="HT28" s="32" t="b">
        <f t="shared" si="106"/>
        <v>0</v>
      </c>
      <c r="HU28" s="32">
        <f t="shared" si="107"/>
        <v>2.8073751156491695E-3</v>
      </c>
      <c r="HV28" s="32">
        <f t="shared" si="108"/>
        <v>2.8073751156491695E-3</v>
      </c>
      <c r="HW28" s="32" t="e">
        <f t="shared" si="109"/>
        <v>#N/A</v>
      </c>
      <c r="HX28" s="45" t="str">
        <f t="shared" si="110"/>
        <v/>
      </c>
    </row>
    <row r="29" spans="57:232" x14ac:dyDescent="0.2">
      <c r="BE29" s="35" t="s">
        <v>59</v>
      </c>
      <c r="BF29" s="37" t="str">
        <v>Antal observationer er større end 30</v>
      </c>
      <c r="BG29" s="37" t="str">
        <v>Populationen er normalfordelt</v>
      </c>
      <c r="BH29" s="37" t="str">
        <v>Forudsætningsformlen n * p̂ * ( 1 - p̂ ) &gt; 9 er opfyldt</v>
      </c>
      <c r="BI29" s="37" t="str">
        <v>Forudsætningsformlen λ̂ * n &gt; 9 er opfyldt</v>
      </c>
      <c r="BJ29" s="37" t="str">
        <v>Forudsætningerne for den lineære regression er opfyldt</v>
      </c>
      <c r="BL29" s="53" t="s">
        <v>248</v>
      </c>
      <c r="BM29" s="87" t="e" cm="1">
        <f t="array" ref="BM29">IF(NOT($BG$2),IF(INDEX(E_s_valg[Nulhypotese kan ikke afvises],E_s_aktiv),"Nulhypotese kan ikke afvises","Nulhypotese afvises"),NA())</f>
        <v>#N/A</v>
      </c>
      <c r="BZ29" s="32">
        <f t="shared" si="36"/>
        <v>19</v>
      </c>
      <c r="CA29" s="32">
        <f>Eu_tabel_g[[#This Row],[Indeks]]+1</f>
        <v>20</v>
      </c>
      <c r="CB29" s="32">
        <f t="shared" si="37"/>
        <v>-2.635081811460926</v>
      </c>
      <c r="CC29" s="32">
        <f t="shared" si="38"/>
        <v>1.2391226343470816E-2</v>
      </c>
      <c r="CD29" s="32" t="e">
        <f t="shared" si="39"/>
        <v>#N/A</v>
      </c>
      <c r="CE29" s="32" t="e">
        <f t="shared" si="40"/>
        <v>#N/A</v>
      </c>
      <c r="CF29" s="32" t="e">
        <f t="shared" si="41"/>
        <v>#N/A</v>
      </c>
      <c r="CG29" s="32" t="b">
        <f t="shared" si="42"/>
        <v>1</v>
      </c>
      <c r="CH29" s="32" t="b">
        <f t="shared" si="43"/>
        <v>0</v>
      </c>
      <c r="CI29" s="32" t="b">
        <f t="shared" si="44"/>
        <v>1</v>
      </c>
      <c r="CJ29" s="32" t="b">
        <f t="shared" si="45"/>
        <v>0</v>
      </c>
      <c r="CK29" s="32">
        <f t="shared" si="111"/>
        <v>1.2391226343470816E-2</v>
      </c>
      <c r="CL29" s="32">
        <f t="shared" si="47"/>
        <v>1.2391226343470816E-2</v>
      </c>
      <c r="CM29" s="32" t="e">
        <f t="shared" si="48"/>
        <v>#N/A</v>
      </c>
      <c r="CN29" s="45" t="str">
        <f t="shared" si="49"/>
        <v/>
      </c>
      <c r="CO29" s="32">
        <f>_xlfn.NORM.DIST(_xlfn.NORM.INV(1-Eu_g_konfidensniveau,0,1)-Eu_tabel_g[[#This Row],[x base]],0,1,TRUE)</f>
        <v>0.83896870028264225</v>
      </c>
      <c r="CP29" s="32">
        <f>1-_xlfn.NORM.DIST(_xlfn.NORM.INV(Eu_g_konfidensniveau,0,1)-Eu_tabel_g[[#This Row],[x base]],0,1,TRUE)</f>
        <v>9.3473768245644351E-6</v>
      </c>
      <c r="CQ29" s="32">
        <f>_xlfn.NORM.DIST(_xlfn.NORM.INV((1-Eu_g_konfidensniveau)/2,0,1)-Eu_tabel_g[[#This Row],[x base]],0,1,TRUE)+1-_xlfn.NORM.DIST(_xlfn.NORM.INV(1-(1-Eu_g_konfidensniveau)/2,0,1)-Eu_tabel_g[[#This Row],[x base]],0,1,TRUE)</f>
        <v>0.75020170905714323</v>
      </c>
      <c r="CR29" s="32" t="e" cm="1">
        <f t="array" ref="CR29">IF($CR$3,INDEX(Eu_tabel_g[[#This Row],[Styrke venstre]:[Styrke tosidet]],CR$7),NA())</f>
        <v>#N/A</v>
      </c>
      <c r="CS29" s="52" t="e">
        <f>Eu_tabel_g[[#This Row],[Falsk positiv
Nulhypotese accepteres
Fejltype 1]]</f>
        <v>#N/A</v>
      </c>
      <c r="CT29" s="52" t="e">
        <f>IF(CHOOSE(CR$7,Eu_tabel_g[[#This Row],[x base]]&gt;0,Eu_tabel_g[[#This Row],[x base]]&lt;0,Eu_tabel_g[[#This Row],[x base]]=0),Eu_tabel_g[[#This Row],[Styrke, aktiv]],NA())</f>
        <v>#N/A</v>
      </c>
      <c r="CU29" s="52" t="e">
        <f>IFERROR(IF($CR$3,Eu_tabel_g[[#This Row],[Styrke, aktiv]],NA()),NA())</f>
        <v>#N/A</v>
      </c>
      <c r="CV29" s="52" t="e">
        <f>IF(ISNA(Eu_tabel_g[[#This Row],[Sand negativ
Nulhypotese afvises
Korrekt]]),NA(),IF($CR$3,1,NA()))</f>
        <v>#N/A</v>
      </c>
      <c r="CW29" s="34" t="str" cm="1">
        <f t="array" ref="CW29">_xlfn.SWITCH(BZ29,_xlfn.IFNA(CU$2,-99),CU$5,_xlfn.IFNA(CU$3,-99),CU$6,_xlfn.IFNA(CU$4,-99),CU$7,"")</f>
        <v/>
      </c>
      <c r="DA29" s="7">
        <f t="shared" si="50"/>
        <v>0.8</v>
      </c>
      <c r="DB29">
        <f>IF(ROW(Styrkeberegning_G[[#This Row],[X base venstre]])=ROW(Styrkeberegning_G[[#Headers],[X base venstre]])+1,DB$7/(DA$7/$B$67),DB28/(DA28/$B$67))</f>
        <v>-2.8015817870135784</v>
      </c>
      <c r="DC29">
        <f>Styrkeberegning_G[[#This Row],[X base venstre]]*-1</f>
        <v>2.8015817870135784</v>
      </c>
      <c r="DN29" s="32">
        <f t="shared" si="51"/>
        <v>19</v>
      </c>
      <c r="DO29" s="32">
        <f t="shared" si="52"/>
        <v>20</v>
      </c>
      <c r="DP29" s="32">
        <f t="shared" si="53"/>
        <v>4.0011989365767091</v>
      </c>
      <c r="DQ29" s="32" t="e">
        <f t="shared" si="54"/>
        <v>#N/A</v>
      </c>
      <c r="DR29" s="32" t="e">
        <f t="shared" si="55"/>
        <v>#N/A</v>
      </c>
      <c r="DS29" s="32">
        <f t="shared" si="56"/>
        <v>2.9274170566074054E-2</v>
      </c>
      <c r="DT29" s="32" t="e">
        <f t="shared" si="57"/>
        <v>#N/A</v>
      </c>
      <c r="DU29" s="32" t="b">
        <f t="shared" si="58"/>
        <v>0</v>
      </c>
      <c r="DV29" s="32" t="b">
        <f t="shared" si="59"/>
        <v>1</v>
      </c>
      <c r="DW29" s="32" t="b">
        <f t="shared" si="60"/>
        <v>0</v>
      </c>
      <c r="DX29" s="32" t="b">
        <f t="shared" si="61"/>
        <v>1</v>
      </c>
      <c r="DY29" s="32">
        <f t="shared" si="62"/>
        <v>2.9274170566074054E-2</v>
      </c>
      <c r="DZ29" s="32" t="e">
        <f t="shared" si="63"/>
        <v>#N/A</v>
      </c>
      <c r="EA29" s="32">
        <f t="shared" si="64"/>
        <v>2.9274170566074054E-2</v>
      </c>
      <c r="EB29" s="45" t="str">
        <f t="shared" si="65"/>
        <v/>
      </c>
      <c r="EG29" s="32">
        <f t="shared" si="66"/>
        <v>19</v>
      </c>
      <c r="EH29" s="32">
        <f t="shared" si="67"/>
        <v>20</v>
      </c>
      <c r="EI29" s="32">
        <f t="shared" si="68"/>
        <v>-2.635081811460926</v>
      </c>
      <c r="EJ29" s="32">
        <f t="shared" si="69"/>
        <v>1.2391226343470816E-2</v>
      </c>
      <c r="EK29" s="32" t="e">
        <f t="shared" si="70"/>
        <v>#N/A</v>
      </c>
      <c r="EL29" s="32" t="e">
        <f t="shared" si="71"/>
        <v>#N/A</v>
      </c>
      <c r="EM29" s="32" t="e">
        <f t="shared" si="72"/>
        <v>#N/A</v>
      </c>
      <c r="EN29" s="32" t="b">
        <f t="shared" si="73"/>
        <v>1</v>
      </c>
      <c r="EO29" s="32" t="b">
        <f t="shared" si="74"/>
        <v>0</v>
      </c>
      <c r="EP29" s="32" t="b">
        <f t="shared" si="75"/>
        <v>1</v>
      </c>
      <c r="EQ29" s="32" t="b">
        <f t="shared" si="76"/>
        <v>0</v>
      </c>
      <c r="ER29" s="32">
        <f t="shared" si="77"/>
        <v>1.2391226343470816E-2</v>
      </c>
      <c r="ES29" s="32">
        <f t="shared" si="78"/>
        <v>1.2391226343470816E-2</v>
      </c>
      <c r="ET29" s="32" t="e">
        <f t="shared" si="79"/>
        <v>#N/A</v>
      </c>
      <c r="EU29" s="45" t="str">
        <f t="shared" si="80"/>
        <v/>
      </c>
      <c r="EV2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9" s="32" t="e" cm="1">
        <f t="array" ref="EY29">IF($CR$3,INDEX(Eu_tabel_a[[#This Row],[Styrke venstre]:[Styrke tosidet]],EY$7),NA())</f>
        <v>#N/A</v>
      </c>
      <c r="EZ29" s="32" t="e">
        <f>IF(EY$3,IF(CHOOSE(EY$7,Eu_tabel_a[[#This Row],[x base]]&gt;0,Eu_tabel_a[[#This Row],[x base]]&lt;0,Eu_tabel_a[[#This Row],[x base]]=0),1,NA()),NA())</f>
        <v>#N/A</v>
      </c>
      <c r="FA29" s="32" t="e">
        <f>IF(CHOOSE(EY$7,Eu_tabel_a[[#This Row],[x base]]&gt;0,Eu_tabel_a[[#This Row],[x base]]&lt;0,Eu_tabel_a[[#This Row],[x base]]=0),Eu_tabel_a[[#This Row],[Styrke, aktiv]],NA())</f>
        <v>#N/A</v>
      </c>
      <c r="FB29" s="32" t="e">
        <f>IFERROR(IF($EY$3,Eu_tabel_a[[#This Row],[Styrke, aktiv]],NA()),NA())</f>
        <v>#N/A</v>
      </c>
      <c r="FC29" s="32" t="e">
        <f>IF(ISNA(Eu_tabel_a[[#This Row],[Sand negativ
Nulhypotese afvises
Korrekt]]),NA(),IF(EY$3,1,NA()))</f>
        <v>#N/A</v>
      </c>
      <c r="FD29" s="33" t="str" cm="1">
        <f t="array" ref="FD29">IFERROR(_xlfn.SWITCH(Eu_tabel_a[[#This Row],[Indeks]],_xlfn.IFNA(FB$2,-99),FB$5,_xlfn.IFNA(FB$3,-99),FB$6,_xlfn.IFNA(FB$4,-99),FB$7,""),"")</f>
        <v/>
      </c>
      <c r="FE29" s="32">
        <f>Eu_tabel_a[[#This Row],[x base]]*SQRT(Eu_a_h0_x*(1-Eu_a_h0_x)/Eu_a_n_x)+Eu_a_h0_x</f>
        <v>0</v>
      </c>
      <c r="FJ29" s="74" t="e">
        <f t="shared" si="18"/>
        <v>#N/A</v>
      </c>
      <c r="FK29" s="82" t="e">
        <f t="shared" si="31"/>
        <v>#DIV/0!</v>
      </c>
      <c r="FL29" s="7" t="e">
        <f t="shared" si="12"/>
        <v>#DIV/0!</v>
      </c>
      <c r="FM29" t="e">
        <f t="shared" si="32"/>
        <v>#DIV/0!</v>
      </c>
      <c r="FN29" s="8" t="e">
        <f t="shared" si="33"/>
        <v>#DIV/0!</v>
      </c>
      <c r="FO29" s="8" t="e">
        <f t="shared" si="34"/>
        <v>#DIV/0!</v>
      </c>
      <c r="FP29" s="81" t="e">
        <f t="shared" si="35"/>
        <v>#DIV/0!</v>
      </c>
      <c r="FQ29" s="74" t="e">
        <f t="shared" ca="1" si="13"/>
        <v>#N/A</v>
      </c>
      <c r="FR29" s="82" t="e" vm="3">
        <f t="shared" ca="1" si="19"/>
        <v>#VALUE!</v>
      </c>
      <c r="FS29" s="7" t="e" vm="3">
        <f t="shared" ca="1" si="14"/>
        <v>#VALUE!</v>
      </c>
      <c r="FT29" t="e" vm="3">
        <f t="shared" ca="1" si="8"/>
        <v>#VALUE!</v>
      </c>
      <c r="FU29" s="8" t="e" vm="3">
        <f t="shared" ca="1" si="9"/>
        <v>#VALUE!</v>
      </c>
      <c r="FV29" s="8" t="e" vm="3">
        <f t="shared" ca="1" si="10"/>
        <v>#VALUE!</v>
      </c>
      <c r="FW29" s="81" t="e" vm="3">
        <f t="shared" ca="1" si="11"/>
        <v>#VALUE!</v>
      </c>
      <c r="FX29" s="74" t="e">
        <f t="shared" si="15"/>
        <v>#N/A</v>
      </c>
      <c r="FY29" s="82" t="e">
        <f t="shared" si="20"/>
        <v>#N/A</v>
      </c>
      <c r="FZ29" s="7" t="e">
        <f t="shared" si="16"/>
        <v>#N/A</v>
      </c>
      <c r="GA29" t="e">
        <f t="shared" si="21"/>
        <v>#N/A</v>
      </c>
      <c r="GB29" s="8" t="e">
        <f t="shared" si="22"/>
        <v>#N/A</v>
      </c>
      <c r="GC29" s="8" t="e">
        <f t="shared" si="23"/>
        <v>#N/A</v>
      </c>
      <c r="GD29" s="81" t="e">
        <f t="shared" si="24"/>
        <v>#N/A</v>
      </c>
      <c r="GE29" s="74" t="e">
        <f t="shared" si="25"/>
        <v>#N/A</v>
      </c>
      <c r="GF29" s="82" t="e">
        <f t="shared" si="26"/>
        <v>#N/A</v>
      </c>
      <c r="GG29" s="7" t="e">
        <f t="shared" si="17"/>
        <v>#N/A</v>
      </c>
      <c r="GH29" t="e">
        <f t="shared" si="27"/>
        <v>#N/A</v>
      </c>
      <c r="GI29" s="8" t="e">
        <f t="shared" si="28"/>
        <v>#N/A</v>
      </c>
      <c r="GJ29" s="8" t="e">
        <f t="shared" si="29"/>
        <v>#N/A</v>
      </c>
      <c r="GK29" s="81" t="e">
        <f t="shared" si="30"/>
        <v>#N/A</v>
      </c>
      <c r="GL29" s="81"/>
      <c r="GM29" s="81"/>
      <c r="GP29" s="32">
        <f t="shared" si="81"/>
        <v>19</v>
      </c>
      <c r="GQ29" s="32">
        <f t="shared" si="82"/>
        <v>20</v>
      </c>
      <c r="GR29" s="32">
        <f t="shared" si="83"/>
        <v>-2.635081811460926</v>
      </c>
      <c r="GS29" s="32">
        <f t="shared" si="84"/>
        <v>1.2391226343470816E-2</v>
      </c>
      <c r="GT29" s="32" t="e">
        <f t="shared" si="85"/>
        <v>#N/A</v>
      </c>
      <c r="GU29" s="32" t="e">
        <f t="shared" si="86"/>
        <v>#N/A</v>
      </c>
      <c r="GV29" s="32" t="e">
        <f t="shared" si="87"/>
        <v>#N/A</v>
      </c>
      <c r="GW29" s="32" t="b">
        <f t="shared" si="88"/>
        <v>1</v>
      </c>
      <c r="GX29" s="32" t="b">
        <f t="shared" si="89"/>
        <v>0</v>
      </c>
      <c r="GY29" s="32" t="b">
        <f t="shared" si="90"/>
        <v>1</v>
      </c>
      <c r="GZ29" s="32" t="b">
        <f t="shared" si="91"/>
        <v>0</v>
      </c>
      <c r="HA29" s="32">
        <f t="shared" si="92"/>
        <v>1.2391226343470816E-2</v>
      </c>
      <c r="HB29" s="32">
        <f t="shared" si="93"/>
        <v>1.2391226343470816E-2</v>
      </c>
      <c r="HC29" s="32" t="e">
        <f t="shared" si="94"/>
        <v>#N/A</v>
      </c>
      <c r="HD29" s="45" t="str">
        <f t="shared" si="95"/>
        <v/>
      </c>
      <c r="HJ29" s="32">
        <f t="shared" si="96"/>
        <v>19</v>
      </c>
      <c r="HK29" s="32">
        <f t="shared" si="97"/>
        <v>20</v>
      </c>
      <c r="HL29" s="32">
        <f t="shared" si="98"/>
        <v>-4.0804795282962534</v>
      </c>
      <c r="HM29" s="32" t="e">
        <f t="shared" si="99"/>
        <v>#N/A</v>
      </c>
      <c r="HN29" s="32">
        <f t="shared" si="100"/>
        <v>2.9545793712011021E-3</v>
      </c>
      <c r="HO29" s="32" t="e">
        <f t="shared" si="101"/>
        <v>#N/A</v>
      </c>
      <c r="HP29" s="32" t="e">
        <f t="shared" si="102"/>
        <v>#N/A</v>
      </c>
      <c r="HQ29" s="32" t="b">
        <f t="shared" si="103"/>
        <v>1</v>
      </c>
      <c r="HR29" s="32" t="b">
        <f t="shared" si="104"/>
        <v>0</v>
      </c>
      <c r="HS29" s="32" t="b">
        <f t="shared" si="105"/>
        <v>1</v>
      </c>
      <c r="HT29" s="32" t="b">
        <f t="shared" si="106"/>
        <v>0</v>
      </c>
      <c r="HU29" s="32">
        <f t="shared" si="107"/>
        <v>2.9545793712011021E-3</v>
      </c>
      <c r="HV29" s="32">
        <f t="shared" si="108"/>
        <v>2.9545793712011021E-3</v>
      </c>
      <c r="HW29" s="32" t="e">
        <f t="shared" si="109"/>
        <v>#N/A</v>
      </c>
      <c r="HX29" s="45" t="str">
        <f t="shared" si="110"/>
        <v/>
      </c>
    </row>
    <row r="30" spans="57:232" x14ac:dyDescent="0.2">
      <c r="BE30" s="35" t="s">
        <v>63</v>
      </c>
      <c r="BF30" s="37" t="str">
        <v>Standardafvigelse i populationen er ikke kendt</v>
      </c>
      <c r="BG30" s="37"/>
      <c r="BH30" s="37"/>
      <c r="BI30" s="37"/>
      <c r="BJ30" s="37"/>
      <c r="BZ30" s="32">
        <f t="shared" si="36"/>
        <v>20</v>
      </c>
      <c r="CA30" s="32">
        <f>Eu_tabel_g[[#This Row],[Indeks]]+1</f>
        <v>21</v>
      </c>
      <c r="CB30" s="32">
        <f t="shared" si="37"/>
        <v>-2.6111265222658266</v>
      </c>
      <c r="CC30" s="32">
        <f t="shared" si="38"/>
        <v>1.319484058137666E-2</v>
      </c>
      <c r="CD30" s="32" t="e">
        <f t="shared" si="39"/>
        <v>#N/A</v>
      </c>
      <c r="CE30" s="32" t="e">
        <f t="shared" si="40"/>
        <v>#N/A</v>
      </c>
      <c r="CF30" s="32" t="e">
        <f t="shared" si="41"/>
        <v>#N/A</v>
      </c>
      <c r="CG30" s="32" t="b">
        <f t="shared" si="42"/>
        <v>1</v>
      </c>
      <c r="CH30" s="32" t="b">
        <f t="shared" si="43"/>
        <v>0</v>
      </c>
      <c r="CI30" s="32" t="b">
        <f t="shared" si="44"/>
        <v>1</v>
      </c>
      <c r="CJ30" s="32" t="b">
        <f t="shared" si="45"/>
        <v>0</v>
      </c>
      <c r="CK30" s="32">
        <f t="shared" ref="CK30:CK32" si="112">_xlfn.AGGREGATE(9,6,CC30:CF30)</f>
        <v>1.319484058137666E-2</v>
      </c>
      <c r="CL30" s="32">
        <f t="shared" si="47"/>
        <v>1.319484058137666E-2</v>
      </c>
      <c r="CM30" s="32" t="e">
        <f t="shared" si="48"/>
        <v>#N/A</v>
      </c>
      <c r="CN30" s="45" t="str">
        <f t="shared" si="49"/>
        <v/>
      </c>
      <c r="CO30" s="32">
        <f>_xlfn.NORM.DIST(_xlfn.NORM.INV(1-Eu_g_konfidensniveau,0,1)-Eu_tabel_g[[#This Row],[x base]],0,1,TRUE)</f>
        <v>0.83304617739848219</v>
      </c>
      <c r="CP30" s="32">
        <f>1-_xlfn.NORM.DIST(_xlfn.NORM.INV(Eu_g_konfidensniveau,0,1)-Eu_tabel_g[[#This Row],[x base]],0,1,TRUE)</f>
        <v>1.0406758709557984E-5</v>
      </c>
      <c r="CQ30" s="32">
        <f>_xlfn.NORM.DIST(_xlfn.NORM.INV((1-Eu_g_konfidensniveau)/2,0,1)-Eu_tabel_g[[#This Row],[x base]],0,1,TRUE)+1-_xlfn.NORM.DIST(_xlfn.NORM.INV(1-(1-Eu_g_konfidensniveau)/2,0,1)-Eu_tabel_g[[#This Row],[x base]],0,1,TRUE)</f>
        <v>0.74253164080016698</v>
      </c>
      <c r="CR30" s="32" t="e" cm="1">
        <f t="array" ref="CR30">IF($CR$3,INDEX(Eu_tabel_g[[#This Row],[Styrke venstre]:[Styrke tosidet]],CR$7),NA())</f>
        <v>#N/A</v>
      </c>
      <c r="CS30" s="52" t="e">
        <f>Eu_tabel_g[[#This Row],[Falsk positiv
Nulhypotese accepteres
Fejltype 1]]</f>
        <v>#N/A</v>
      </c>
      <c r="CT30" s="52" t="e">
        <f>IF(CHOOSE(CR$7,Eu_tabel_g[[#This Row],[x base]]&gt;0,Eu_tabel_g[[#This Row],[x base]]&lt;0,Eu_tabel_g[[#This Row],[x base]]=0),Eu_tabel_g[[#This Row],[Styrke, aktiv]],NA())</f>
        <v>#N/A</v>
      </c>
      <c r="CU30" s="52" t="e">
        <f>IFERROR(IF($CR$3,Eu_tabel_g[[#This Row],[Styrke, aktiv]],NA()),NA())</f>
        <v>#N/A</v>
      </c>
      <c r="CV30" s="52" t="e">
        <f>IF(ISNA(Eu_tabel_g[[#This Row],[Sand negativ
Nulhypotese afvises
Korrekt]]),NA(),IF($CR$3,1,NA()))</f>
        <v>#N/A</v>
      </c>
      <c r="CW30" s="34" t="str" cm="1">
        <f t="array" ref="CW30">_xlfn.SWITCH(BZ30,_xlfn.IFNA(CU$2,-99),CU$5,_xlfn.IFNA(CU$3,-99),CU$6,_xlfn.IFNA(CU$4,-99),CU$7,"")</f>
        <v/>
      </c>
      <c r="DA30" s="7">
        <f t="shared" si="50"/>
        <v>0.8</v>
      </c>
      <c r="DB30">
        <f>IF(ROW(Styrkeberegning_G[[#This Row],[X base venstre]])=ROW(Styrkeberegning_G[[#Headers],[X base venstre]])+1,DB$7/(DA$7/$B$67),DB29/(DA29/$B$67))</f>
        <v>-2.8015817870135784</v>
      </c>
      <c r="DC30">
        <f>Styrkeberegning_G[[#This Row],[X base venstre]]*-1</f>
        <v>2.8015817870135784</v>
      </c>
      <c r="DN30" s="32">
        <f t="shared" si="51"/>
        <v>20</v>
      </c>
      <c r="DO30" s="32">
        <f t="shared" si="52"/>
        <v>21</v>
      </c>
      <c r="DP30" s="32">
        <f t="shared" si="53"/>
        <v>4.1152697929937103</v>
      </c>
      <c r="DQ30" s="32" t="e">
        <f t="shared" si="54"/>
        <v>#N/A</v>
      </c>
      <c r="DR30" s="32" t="e">
        <f t="shared" si="55"/>
        <v>#N/A</v>
      </c>
      <c r="DS30" s="32">
        <f t="shared" si="56"/>
        <v>3.1379873013457245E-2</v>
      </c>
      <c r="DT30" s="32" t="e">
        <f t="shared" si="57"/>
        <v>#N/A</v>
      </c>
      <c r="DU30" s="32" t="b">
        <f t="shared" si="58"/>
        <v>0</v>
      </c>
      <c r="DV30" s="32" t="b">
        <f t="shared" si="59"/>
        <v>1</v>
      </c>
      <c r="DW30" s="32" t="b">
        <f t="shared" si="60"/>
        <v>0</v>
      </c>
      <c r="DX30" s="32" t="b">
        <f t="shared" si="61"/>
        <v>1</v>
      </c>
      <c r="DY30" s="32">
        <f t="shared" si="62"/>
        <v>3.1379873013457245E-2</v>
      </c>
      <c r="DZ30" s="32" t="e">
        <f t="shared" si="63"/>
        <v>#N/A</v>
      </c>
      <c r="EA30" s="32">
        <f t="shared" si="64"/>
        <v>3.1379873013457245E-2</v>
      </c>
      <c r="EB30" s="45" t="str">
        <f t="shared" si="65"/>
        <v/>
      </c>
      <c r="EG30" s="32">
        <f t="shared" si="66"/>
        <v>20</v>
      </c>
      <c r="EH30" s="32">
        <f t="shared" si="67"/>
        <v>21</v>
      </c>
      <c r="EI30" s="32">
        <f t="shared" si="68"/>
        <v>-2.6111265222658266</v>
      </c>
      <c r="EJ30" s="32">
        <f t="shared" si="69"/>
        <v>1.319484058137666E-2</v>
      </c>
      <c r="EK30" s="32" t="e">
        <f t="shared" si="70"/>
        <v>#N/A</v>
      </c>
      <c r="EL30" s="32" t="e">
        <f t="shared" si="71"/>
        <v>#N/A</v>
      </c>
      <c r="EM30" s="32" t="e">
        <f t="shared" si="72"/>
        <v>#N/A</v>
      </c>
      <c r="EN30" s="32" t="b">
        <f t="shared" si="73"/>
        <v>1</v>
      </c>
      <c r="EO30" s="32" t="b">
        <f t="shared" si="74"/>
        <v>0</v>
      </c>
      <c r="EP30" s="32" t="b">
        <f t="shared" si="75"/>
        <v>1</v>
      </c>
      <c r="EQ30" s="32" t="b">
        <f t="shared" si="76"/>
        <v>0</v>
      </c>
      <c r="ER30" s="32">
        <f t="shared" si="77"/>
        <v>1.319484058137666E-2</v>
      </c>
      <c r="ES30" s="32">
        <f t="shared" si="78"/>
        <v>1.319484058137666E-2</v>
      </c>
      <c r="ET30" s="32" t="e">
        <f t="shared" si="79"/>
        <v>#N/A</v>
      </c>
      <c r="EU30" s="45" t="str">
        <f t="shared" si="80"/>
        <v/>
      </c>
      <c r="EV3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0" s="32" t="e" cm="1">
        <f t="array" ref="EY30">IF($CR$3,INDEX(Eu_tabel_a[[#This Row],[Styrke venstre]:[Styrke tosidet]],EY$7),NA())</f>
        <v>#N/A</v>
      </c>
      <c r="EZ30" s="32" t="e">
        <f>IF(EY$3,IF(CHOOSE(EY$7,Eu_tabel_a[[#This Row],[x base]]&gt;0,Eu_tabel_a[[#This Row],[x base]]&lt;0,Eu_tabel_a[[#This Row],[x base]]=0),1,NA()),NA())</f>
        <v>#N/A</v>
      </c>
      <c r="FA30" s="32" t="e">
        <f>IF(CHOOSE(EY$7,Eu_tabel_a[[#This Row],[x base]]&gt;0,Eu_tabel_a[[#This Row],[x base]]&lt;0,Eu_tabel_a[[#This Row],[x base]]=0),Eu_tabel_a[[#This Row],[Styrke, aktiv]],NA())</f>
        <v>#N/A</v>
      </c>
      <c r="FB30" s="32" t="e">
        <f>IFERROR(IF($EY$3,Eu_tabel_a[[#This Row],[Styrke, aktiv]],NA()),NA())</f>
        <v>#N/A</v>
      </c>
      <c r="FC30" s="32" t="e">
        <f>IF(ISNA(Eu_tabel_a[[#This Row],[Sand negativ
Nulhypotese afvises
Korrekt]]),NA(),IF(EY$3,1,NA()))</f>
        <v>#N/A</v>
      </c>
      <c r="FD30" s="33" t="str" cm="1">
        <f t="array" ref="FD30">IFERROR(_xlfn.SWITCH(Eu_tabel_a[[#This Row],[Indeks]],_xlfn.IFNA(FB$2,-99),FB$5,_xlfn.IFNA(FB$3,-99),FB$6,_xlfn.IFNA(FB$4,-99),FB$7,""),"")</f>
        <v/>
      </c>
      <c r="FE30" s="32">
        <f>Eu_tabel_a[[#This Row],[x base]]*SQRT(Eu_a_h0_x*(1-Eu_a_h0_x)/Eu_a_n_x)+Eu_a_h0_x</f>
        <v>0</v>
      </c>
      <c r="FJ30" s="74" t="e">
        <f t="shared" si="18"/>
        <v>#N/A</v>
      </c>
      <c r="FK30" s="82" t="e">
        <f t="shared" si="31"/>
        <v>#DIV/0!</v>
      </c>
      <c r="FL30" s="7" t="e">
        <f t="shared" si="12"/>
        <v>#DIV/0!</v>
      </c>
      <c r="FM30" t="e">
        <f t="shared" si="32"/>
        <v>#DIV/0!</v>
      </c>
      <c r="FN30" s="8" t="e">
        <f t="shared" si="33"/>
        <v>#DIV/0!</v>
      </c>
      <c r="FO30" s="8" t="e">
        <f t="shared" si="34"/>
        <v>#DIV/0!</v>
      </c>
      <c r="FP30" s="81" t="e">
        <f t="shared" si="35"/>
        <v>#DIV/0!</v>
      </c>
      <c r="FQ30" s="74" t="e">
        <f t="shared" ca="1" si="13"/>
        <v>#N/A</v>
      </c>
      <c r="FR30" s="82" t="e" vm="3">
        <f t="shared" ca="1" si="19"/>
        <v>#VALUE!</v>
      </c>
      <c r="FS30" s="7" t="e" vm="3">
        <f t="shared" ca="1" si="14"/>
        <v>#VALUE!</v>
      </c>
      <c r="FT30" t="e" vm="3">
        <f t="shared" ca="1" si="8"/>
        <v>#VALUE!</v>
      </c>
      <c r="FU30" s="8" t="e" vm="3">
        <f t="shared" ca="1" si="9"/>
        <v>#VALUE!</v>
      </c>
      <c r="FV30" s="8" t="e" vm="3">
        <f t="shared" ca="1" si="10"/>
        <v>#VALUE!</v>
      </c>
      <c r="FW30" s="81" t="e" vm="3">
        <f t="shared" ca="1" si="11"/>
        <v>#VALUE!</v>
      </c>
      <c r="FX30" s="74" t="e">
        <f t="shared" si="15"/>
        <v>#N/A</v>
      </c>
      <c r="FY30" s="82" t="e">
        <f t="shared" si="20"/>
        <v>#N/A</v>
      </c>
      <c r="FZ30" s="7" t="e">
        <f t="shared" si="16"/>
        <v>#N/A</v>
      </c>
      <c r="GA30" t="e">
        <f t="shared" si="21"/>
        <v>#N/A</v>
      </c>
      <c r="GB30" s="8" t="e">
        <f t="shared" si="22"/>
        <v>#N/A</v>
      </c>
      <c r="GC30" s="8" t="e">
        <f t="shared" si="23"/>
        <v>#N/A</v>
      </c>
      <c r="GD30" s="81" t="e">
        <f t="shared" si="24"/>
        <v>#N/A</v>
      </c>
      <c r="GE30" s="74" t="e">
        <f t="shared" si="25"/>
        <v>#N/A</v>
      </c>
      <c r="GF30" s="82" t="e">
        <f t="shared" si="26"/>
        <v>#N/A</v>
      </c>
      <c r="GG30" s="7" t="e">
        <f t="shared" si="17"/>
        <v>#N/A</v>
      </c>
      <c r="GH30" t="e">
        <f t="shared" si="27"/>
        <v>#N/A</v>
      </c>
      <c r="GI30" s="8" t="e">
        <f t="shared" si="28"/>
        <v>#N/A</v>
      </c>
      <c r="GJ30" s="8" t="e">
        <f t="shared" si="29"/>
        <v>#N/A</v>
      </c>
      <c r="GK30" s="81" t="e">
        <f t="shared" si="30"/>
        <v>#N/A</v>
      </c>
      <c r="GL30" s="81"/>
      <c r="GM30" s="81"/>
      <c r="GP30" s="32">
        <f t="shared" si="81"/>
        <v>20</v>
      </c>
      <c r="GQ30" s="32">
        <f t="shared" si="82"/>
        <v>21</v>
      </c>
      <c r="GR30" s="32">
        <f t="shared" si="83"/>
        <v>-2.6111265222658266</v>
      </c>
      <c r="GS30" s="32">
        <f t="shared" si="84"/>
        <v>1.319484058137666E-2</v>
      </c>
      <c r="GT30" s="32" t="e">
        <f t="shared" si="85"/>
        <v>#N/A</v>
      </c>
      <c r="GU30" s="32" t="e">
        <f t="shared" si="86"/>
        <v>#N/A</v>
      </c>
      <c r="GV30" s="32" t="e">
        <f t="shared" si="87"/>
        <v>#N/A</v>
      </c>
      <c r="GW30" s="32" t="b">
        <f t="shared" si="88"/>
        <v>1</v>
      </c>
      <c r="GX30" s="32" t="b">
        <f t="shared" si="89"/>
        <v>0</v>
      </c>
      <c r="GY30" s="32" t="b">
        <f t="shared" si="90"/>
        <v>1</v>
      </c>
      <c r="GZ30" s="32" t="b">
        <f t="shared" si="91"/>
        <v>0</v>
      </c>
      <c r="HA30" s="32">
        <f t="shared" si="92"/>
        <v>1.319484058137666E-2</v>
      </c>
      <c r="HB30" s="32">
        <f t="shared" si="93"/>
        <v>1.319484058137666E-2</v>
      </c>
      <c r="HC30" s="32" t="e">
        <f t="shared" si="94"/>
        <v>#N/A</v>
      </c>
      <c r="HD30" s="45" t="str">
        <f t="shared" si="95"/>
        <v/>
      </c>
      <c r="HJ30" s="32">
        <f t="shared" si="96"/>
        <v>20</v>
      </c>
      <c r="HK30" s="32">
        <f t="shared" si="97"/>
        <v>21</v>
      </c>
      <c r="HL30" s="32">
        <f t="shared" si="98"/>
        <v>-4.0433842598571959</v>
      </c>
      <c r="HM30" s="32" t="e">
        <f t="shared" si="99"/>
        <v>#N/A</v>
      </c>
      <c r="HN30" s="32">
        <f t="shared" si="100"/>
        <v>3.1100928750608663E-3</v>
      </c>
      <c r="HO30" s="32" t="e">
        <f t="shared" si="101"/>
        <v>#N/A</v>
      </c>
      <c r="HP30" s="32" t="e">
        <f t="shared" si="102"/>
        <v>#N/A</v>
      </c>
      <c r="HQ30" s="32" t="b">
        <f t="shared" si="103"/>
        <v>1</v>
      </c>
      <c r="HR30" s="32" t="b">
        <f t="shared" si="104"/>
        <v>0</v>
      </c>
      <c r="HS30" s="32" t="b">
        <f t="shared" si="105"/>
        <v>1</v>
      </c>
      <c r="HT30" s="32" t="b">
        <f t="shared" si="106"/>
        <v>0</v>
      </c>
      <c r="HU30" s="32">
        <f t="shared" si="107"/>
        <v>3.1100928750608663E-3</v>
      </c>
      <c r="HV30" s="32">
        <f t="shared" si="108"/>
        <v>3.1100928750608663E-3</v>
      </c>
      <c r="HW30" s="32" t="e">
        <f t="shared" si="109"/>
        <v>#N/A</v>
      </c>
      <c r="HX30" s="45" t="str">
        <f t="shared" si="110"/>
        <v/>
      </c>
    </row>
    <row r="31" spans="57:232" x14ac:dyDescent="0.2">
      <c r="BE31" s="35" t="s">
        <v>68</v>
      </c>
      <c r="BF31" s="37"/>
      <c r="BG31" s="37"/>
      <c r="BH31" s="37"/>
      <c r="BI31" s="37"/>
      <c r="BJ31" s="37"/>
      <c r="BL31" s="53" t="s">
        <v>42</v>
      </c>
      <c r="BM31" s="86" t="str" cm="1">
        <f t="array" ref="BM31">INDEX(E_a_valg[Parameter],E_a_aktiv)</f>
        <v>Andel</v>
      </c>
      <c r="BZ31" s="32">
        <f t="shared" si="36"/>
        <v>21</v>
      </c>
      <c r="CA31" s="32">
        <f>Eu_tabel_g[[#This Row],[Indeks]]+1</f>
        <v>22</v>
      </c>
      <c r="CB31" s="32">
        <f t="shared" si="37"/>
        <v>-2.5871712330707273</v>
      </c>
      <c r="CC31" s="32">
        <f t="shared" si="38"/>
        <v>1.4042511314589688E-2</v>
      </c>
      <c r="CD31" s="32" t="e">
        <f t="shared" si="39"/>
        <v>#N/A</v>
      </c>
      <c r="CE31" s="32" t="e">
        <f t="shared" si="40"/>
        <v>#N/A</v>
      </c>
      <c r="CF31" s="32" t="e">
        <f t="shared" si="41"/>
        <v>#N/A</v>
      </c>
      <c r="CG31" s="32" t="b">
        <f t="shared" si="42"/>
        <v>1</v>
      </c>
      <c r="CH31" s="32" t="b">
        <f t="shared" si="43"/>
        <v>0</v>
      </c>
      <c r="CI31" s="32" t="b">
        <f t="shared" si="44"/>
        <v>1</v>
      </c>
      <c r="CJ31" s="32" t="b">
        <f t="shared" si="45"/>
        <v>0</v>
      </c>
      <c r="CK31" s="32">
        <f t="shared" si="112"/>
        <v>1.4042511314589688E-2</v>
      </c>
      <c r="CL31" s="32">
        <f t="shared" si="47"/>
        <v>1.4042511314589688E-2</v>
      </c>
      <c r="CM31" s="32" t="e">
        <f t="shared" si="48"/>
        <v>#N/A</v>
      </c>
      <c r="CN31" s="45" t="str">
        <f t="shared" si="49"/>
        <v/>
      </c>
      <c r="CO31" s="32">
        <f>_xlfn.NORM.DIST(_xlfn.NORM.INV(1-Eu_g_konfidensniveau,0,1)-Eu_tabel_g[[#This Row],[x base]],0,1,TRUE)</f>
        <v>0.82698497157704665</v>
      </c>
      <c r="CP31" s="32">
        <f>1-_xlfn.NORM.DIST(_xlfn.NORM.INV(Eu_g_konfidensniveau,0,1)-Eu_tabel_g[[#This Row],[x base]],0,1,TRUE)</f>
        <v>1.1579840120568008E-5</v>
      </c>
      <c r="CQ31" s="32">
        <f>_xlfn.NORM.DIST(_xlfn.NORM.INV((1-Eu_g_konfidensniveau)/2,0,1)-Eu_tabel_g[[#This Row],[x base]],0,1,TRUE)+1-_xlfn.NORM.DIST(_xlfn.NORM.INV(1-(1-Eu_g_konfidensniveau)/2,0,1)-Eu_tabel_g[[#This Row],[x base]],0,1,TRUE)</f>
        <v>0.73474102284264042</v>
      </c>
      <c r="CR31" s="32" t="e" cm="1">
        <f t="array" ref="CR31">IF($CR$3,INDEX(Eu_tabel_g[[#This Row],[Styrke venstre]:[Styrke tosidet]],CR$7),NA())</f>
        <v>#N/A</v>
      </c>
      <c r="CS31" s="52" t="e">
        <f>Eu_tabel_g[[#This Row],[Falsk positiv
Nulhypotese accepteres
Fejltype 1]]</f>
        <v>#N/A</v>
      </c>
      <c r="CT31" s="52" t="e">
        <f>IF(CHOOSE(CR$7,Eu_tabel_g[[#This Row],[x base]]&gt;0,Eu_tabel_g[[#This Row],[x base]]&lt;0,Eu_tabel_g[[#This Row],[x base]]=0),Eu_tabel_g[[#This Row],[Styrke, aktiv]],NA())</f>
        <v>#N/A</v>
      </c>
      <c r="CU31" s="52" t="e">
        <f>IFERROR(IF($CR$3,Eu_tabel_g[[#This Row],[Styrke, aktiv]],NA()),NA())</f>
        <v>#N/A</v>
      </c>
      <c r="CV31" s="52" t="e">
        <f>IF(ISNA(Eu_tabel_g[[#This Row],[Sand negativ
Nulhypotese afvises
Korrekt]]),NA(),IF($CR$3,1,NA()))</f>
        <v>#N/A</v>
      </c>
      <c r="CW31" s="34" t="str" cm="1">
        <f t="array" ref="CW31">_xlfn.SWITCH(BZ31,_xlfn.IFNA(CU$2,-99),CU$5,_xlfn.IFNA(CU$3,-99),CU$6,_xlfn.IFNA(CU$4,-99),CU$7,"")</f>
        <v/>
      </c>
      <c r="DA31" s="7">
        <f t="shared" si="50"/>
        <v>0.8</v>
      </c>
      <c r="DB31">
        <f>IF(ROW(Styrkeberegning_G[[#This Row],[X base venstre]])=ROW(Styrkeberegning_G[[#Headers],[X base venstre]])+1,DB$7/(DA$7/$B$67),DB30/(DA30/$B$67))</f>
        <v>-2.8015817870135784</v>
      </c>
      <c r="DC31">
        <f>Styrkeberegning_G[[#This Row],[X base venstre]]*-1</f>
        <v>2.8015817870135784</v>
      </c>
      <c r="DN31" s="32">
        <f t="shared" si="51"/>
        <v>21</v>
      </c>
      <c r="DO31" s="32">
        <f t="shared" si="52"/>
        <v>22</v>
      </c>
      <c r="DP31" s="32">
        <f t="shared" si="53"/>
        <v>4.2293406494107115</v>
      </c>
      <c r="DQ31" s="32" t="e">
        <f t="shared" si="54"/>
        <v>#N/A</v>
      </c>
      <c r="DR31" s="32" t="e">
        <f t="shared" si="55"/>
        <v>#N/A</v>
      </c>
      <c r="DS31" s="32">
        <f t="shared" si="56"/>
        <v>3.3520894836903251E-2</v>
      </c>
      <c r="DT31" s="32" t="e">
        <f t="shared" si="57"/>
        <v>#N/A</v>
      </c>
      <c r="DU31" s="32" t="b">
        <f t="shared" si="58"/>
        <v>0</v>
      </c>
      <c r="DV31" s="32" t="b">
        <f t="shared" si="59"/>
        <v>1</v>
      </c>
      <c r="DW31" s="32" t="b">
        <f t="shared" si="60"/>
        <v>0</v>
      </c>
      <c r="DX31" s="32" t="b">
        <f t="shared" si="61"/>
        <v>1</v>
      </c>
      <c r="DY31" s="32">
        <f t="shared" si="62"/>
        <v>3.3520894836903251E-2</v>
      </c>
      <c r="DZ31" s="32" t="e">
        <f t="shared" si="63"/>
        <v>#N/A</v>
      </c>
      <c r="EA31" s="32">
        <f t="shared" si="64"/>
        <v>3.3520894836903251E-2</v>
      </c>
      <c r="EB31" s="45" t="str">
        <f t="shared" si="65"/>
        <v/>
      </c>
      <c r="EG31" s="32">
        <f t="shared" si="66"/>
        <v>21</v>
      </c>
      <c r="EH31" s="32">
        <f t="shared" si="67"/>
        <v>22</v>
      </c>
      <c r="EI31" s="32">
        <f t="shared" si="68"/>
        <v>-2.5871712330707273</v>
      </c>
      <c r="EJ31" s="32">
        <f t="shared" si="69"/>
        <v>1.4042511314589688E-2</v>
      </c>
      <c r="EK31" s="32" t="e">
        <f t="shared" si="70"/>
        <v>#N/A</v>
      </c>
      <c r="EL31" s="32" t="e">
        <f t="shared" si="71"/>
        <v>#N/A</v>
      </c>
      <c r="EM31" s="32" t="e">
        <f t="shared" si="72"/>
        <v>#N/A</v>
      </c>
      <c r="EN31" s="32" t="b">
        <f t="shared" si="73"/>
        <v>1</v>
      </c>
      <c r="EO31" s="32" t="b">
        <f t="shared" si="74"/>
        <v>0</v>
      </c>
      <c r="EP31" s="32" t="b">
        <f t="shared" si="75"/>
        <v>1</v>
      </c>
      <c r="EQ31" s="32" t="b">
        <f t="shared" si="76"/>
        <v>0</v>
      </c>
      <c r="ER31" s="32">
        <f t="shared" si="77"/>
        <v>1.4042511314589688E-2</v>
      </c>
      <c r="ES31" s="32">
        <f t="shared" si="78"/>
        <v>1.4042511314589688E-2</v>
      </c>
      <c r="ET31" s="32" t="e">
        <f t="shared" si="79"/>
        <v>#N/A</v>
      </c>
      <c r="EU31" s="45" t="str">
        <f t="shared" si="80"/>
        <v/>
      </c>
      <c r="EV3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1" s="32" t="e" cm="1">
        <f t="array" ref="EY31">IF($CR$3,INDEX(Eu_tabel_a[[#This Row],[Styrke venstre]:[Styrke tosidet]],EY$7),NA())</f>
        <v>#N/A</v>
      </c>
      <c r="EZ31" s="32" t="e">
        <f>IF(EY$3,IF(CHOOSE(EY$7,Eu_tabel_a[[#This Row],[x base]]&gt;0,Eu_tabel_a[[#This Row],[x base]]&lt;0,Eu_tabel_a[[#This Row],[x base]]=0),1,NA()),NA())</f>
        <v>#N/A</v>
      </c>
      <c r="FA31" s="32" t="e">
        <f>IF(CHOOSE(EY$7,Eu_tabel_a[[#This Row],[x base]]&gt;0,Eu_tabel_a[[#This Row],[x base]]&lt;0,Eu_tabel_a[[#This Row],[x base]]=0),Eu_tabel_a[[#This Row],[Styrke, aktiv]],NA())</f>
        <v>#N/A</v>
      </c>
      <c r="FB31" s="32" t="e">
        <f>IFERROR(IF($EY$3,Eu_tabel_a[[#This Row],[Styrke, aktiv]],NA()),NA())</f>
        <v>#N/A</v>
      </c>
      <c r="FC31" s="32" t="e">
        <f>IF(ISNA(Eu_tabel_a[[#This Row],[Sand negativ
Nulhypotese afvises
Korrekt]]),NA(),IF(EY$3,1,NA()))</f>
        <v>#N/A</v>
      </c>
      <c r="FD31" s="33" t="str" cm="1">
        <f t="array" ref="FD31">IFERROR(_xlfn.SWITCH(Eu_tabel_a[[#This Row],[Indeks]],_xlfn.IFNA(FB$2,-99),FB$5,_xlfn.IFNA(FB$3,-99),FB$6,_xlfn.IFNA(FB$4,-99),FB$7,""),"")</f>
        <v/>
      </c>
      <c r="FE31" s="32">
        <f>Eu_tabel_a[[#This Row],[x base]]*SQRT(Eu_a_h0_x*(1-Eu_a_h0_x)/Eu_a_n_x)+Eu_a_h0_x</f>
        <v>0</v>
      </c>
      <c r="FJ31" s="74" t="e">
        <f t="shared" si="18"/>
        <v>#N/A</v>
      </c>
      <c r="FK31" s="82" t="e">
        <f t="shared" ref="FK31:FK94" si="113">FK29+FP30</f>
        <v>#DIV/0!</v>
      </c>
      <c r="FL31" s="7" t="e">
        <f t="shared" si="12"/>
        <v>#DIV/0!</v>
      </c>
      <c r="FM31" t="e">
        <f t="shared" ref="FM31:FM94" si="114">FK31-FK30</f>
        <v>#DIV/0!</v>
      </c>
      <c r="FN31" s="8" t="e">
        <f t="shared" ref="FN31:FN94" si="115">FL31-FL30</f>
        <v>#DIV/0!</v>
      </c>
      <c r="FO31" s="8" t="e">
        <f t="shared" ref="FO31:FO94" si="116">$P$67-FL30</f>
        <v>#DIV/0!</v>
      </c>
      <c r="FP31" s="81" t="e">
        <f t="shared" ref="FP31:FP94" si="117">FM31/(FN31/FO31)</f>
        <v>#DIV/0!</v>
      </c>
      <c r="FQ31" s="74" t="e">
        <f t="shared" ca="1" si="13"/>
        <v>#N/A</v>
      </c>
      <c r="FR31" s="82" t="e" vm="3">
        <f t="shared" ca="1" si="19"/>
        <v>#VALUE!</v>
      </c>
      <c r="FS31" s="7" t="e" vm="3">
        <f t="shared" ca="1" si="14"/>
        <v>#VALUE!</v>
      </c>
      <c r="FT31" t="e" vm="3">
        <f t="shared" ca="1" si="8"/>
        <v>#VALUE!</v>
      </c>
      <c r="FU31" s="8" t="e" vm="3">
        <f t="shared" ca="1" si="9"/>
        <v>#VALUE!</v>
      </c>
      <c r="FV31" s="8" t="e" vm="3">
        <f t="shared" ca="1" si="10"/>
        <v>#VALUE!</v>
      </c>
      <c r="FW31" s="81" t="e" vm="3">
        <f t="shared" ca="1" si="11"/>
        <v>#VALUE!</v>
      </c>
      <c r="FX31" s="74" t="e">
        <f t="shared" si="15"/>
        <v>#N/A</v>
      </c>
      <c r="FY31" s="82" t="e">
        <f t="shared" si="20"/>
        <v>#N/A</v>
      </c>
      <c r="FZ31" s="7" t="e">
        <f t="shared" si="16"/>
        <v>#N/A</v>
      </c>
      <c r="GA31" t="e">
        <f t="shared" si="21"/>
        <v>#N/A</v>
      </c>
      <c r="GB31" s="8" t="e">
        <f t="shared" si="22"/>
        <v>#N/A</v>
      </c>
      <c r="GC31" s="8" t="e">
        <f t="shared" si="23"/>
        <v>#N/A</v>
      </c>
      <c r="GD31" s="81" t="e">
        <f t="shared" si="24"/>
        <v>#N/A</v>
      </c>
      <c r="GE31" s="74" t="e">
        <f t="shared" si="25"/>
        <v>#N/A</v>
      </c>
      <c r="GF31" s="82" t="e">
        <f t="shared" si="26"/>
        <v>#N/A</v>
      </c>
      <c r="GG31" s="7" t="e">
        <f t="shared" si="17"/>
        <v>#N/A</v>
      </c>
      <c r="GH31" t="e">
        <f t="shared" si="27"/>
        <v>#N/A</v>
      </c>
      <c r="GI31" s="8" t="e">
        <f t="shared" si="28"/>
        <v>#N/A</v>
      </c>
      <c r="GJ31" s="8" t="e">
        <f t="shared" si="29"/>
        <v>#N/A</v>
      </c>
      <c r="GK31" s="81" t="e">
        <f t="shared" si="30"/>
        <v>#N/A</v>
      </c>
      <c r="GL31" s="81"/>
      <c r="GM31" s="81"/>
      <c r="GP31" s="32">
        <f t="shared" si="81"/>
        <v>21</v>
      </c>
      <c r="GQ31" s="32">
        <f t="shared" si="82"/>
        <v>22</v>
      </c>
      <c r="GR31" s="32">
        <f t="shared" si="83"/>
        <v>-2.5871712330707273</v>
      </c>
      <c r="GS31" s="32">
        <f t="shared" si="84"/>
        <v>1.4042511314589688E-2</v>
      </c>
      <c r="GT31" s="32" t="e">
        <f t="shared" si="85"/>
        <v>#N/A</v>
      </c>
      <c r="GU31" s="32" t="e">
        <f t="shared" si="86"/>
        <v>#N/A</v>
      </c>
      <c r="GV31" s="32" t="e">
        <f t="shared" si="87"/>
        <v>#N/A</v>
      </c>
      <c r="GW31" s="32" t="b">
        <f t="shared" si="88"/>
        <v>1</v>
      </c>
      <c r="GX31" s="32" t="b">
        <f t="shared" si="89"/>
        <v>0</v>
      </c>
      <c r="GY31" s="32" t="b">
        <f t="shared" si="90"/>
        <v>1</v>
      </c>
      <c r="GZ31" s="32" t="b">
        <f t="shared" si="91"/>
        <v>0</v>
      </c>
      <c r="HA31" s="32">
        <f t="shared" si="92"/>
        <v>1.4042511314589688E-2</v>
      </c>
      <c r="HB31" s="32">
        <f t="shared" si="93"/>
        <v>1.4042511314589688E-2</v>
      </c>
      <c r="HC31" s="32" t="e">
        <f t="shared" si="94"/>
        <v>#N/A</v>
      </c>
      <c r="HD31" s="45" t="str">
        <f t="shared" si="95"/>
        <v/>
      </c>
      <c r="HJ31" s="32">
        <f t="shared" si="96"/>
        <v>21</v>
      </c>
      <c r="HK31" s="32">
        <f t="shared" si="97"/>
        <v>22</v>
      </c>
      <c r="HL31" s="32">
        <f t="shared" si="98"/>
        <v>-4.0062889914181392</v>
      </c>
      <c r="HM31" s="32" t="e">
        <f t="shared" si="99"/>
        <v>#N/A</v>
      </c>
      <c r="HN31" s="32">
        <f t="shared" si="100"/>
        <v>3.2744098438161496E-3</v>
      </c>
      <c r="HO31" s="32" t="e">
        <f t="shared" si="101"/>
        <v>#N/A</v>
      </c>
      <c r="HP31" s="32" t="e">
        <f t="shared" si="102"/>
        <v>#N/A</v>
      </c>
      <c r="HQ31" s="32" t="b">
        <f t="shared" si="103"/>
        <v>1</v>
      </c>
      <c r="HR31" s="32" t="b">
        <f t="shared" si="104"/>
        <v>0</v>
      </c>
      <c r="HS31" s="32" t="b">
        <f t="shared" si="105"/>
        <v>1</v>
      </c>
      <c r="HT31" s="32" t="b">
        <f t="shared" si="106"/>
        <v>0</v>
      </c>
      <c r="HU31" s="32">
        <f t="shared" si="107"/>
        <v>3.2744098438161496E-3</v>
      </c>
      <c r="HV31" s="32">
        <f t="shared" si="108"/>
        <v>3.2744098438161496E-3</v>
      </c>
      <c r="HW31" s="32" t="e">
        <f t="shared" si="109"/>
        <v>#N/A</v>
      </c>
      <c r="HX31" s="45" t="str">
        <f t="shared" si="110"/>
        <v/>
      </c>
    </row>
    <row r="32" spans="57:232" x14ac:dyDescent="0.2">
      <c r="BE32" s="53" t="s">
        <v>227</v>
      </c>
      <c r="BF32" s="35" t="s">
        <v>224</v>
      </c>
      <c r="BG32" s="35" t="s">
        <v>224</v>
      </c>
      <c r="BH32" s="35" t="s">
        <v>224</v>
      </c>
      <c r="BI32" s="35" t="s">
        <v>224</v>
      </c>
      <c r="BJ32" s="35" t="s">
        <v>224</v>
      </c>
      <c r="BL32" s="53" t="s">
        <v>49</v>
      </c>
      <c r="BM32" s="86" t="str" cm="1">
        <f t="array" ref="BM32">INDEX(E_a_valg[Hypotesetype],E_a_aktiv)</f>
        <v>Konfidensinterval</v>
      </c>
      <c r="BZ32" s="59">
        <f t="shared" si="36"/>
        <v>22</v>
      </c>
      <c r="CA32" s="32">
        <f>Eu_tabel_g[[#This Row],[Indeks]]+1</f>
        <v>23</v>
      </c>
      <c r="CB32" s="59">
        <f t="shared" si="37"/>
        <v>-2.5632159438756279</v>
      </c>
      <c r="CC32" s="59">
        <f t="shared" si="38"/>
        <v>1.4936065002642981E-2</v>
      </c>
      <c r="CD32" s="59" t="e">
        <f t="shared" si="39"/>
        <v>#N/A</v>
      </c>
      <c r="CE32" s="59" t="e">
        <f t="shared" si="40"/>
        <v>#N/A</v>
      </c>
      <c r="CF32" s="59" t="e">
        <f t="shared" si="41"/>
        <v>#N/A</v>
      </c>
      <c r="CG32" s="59" t="b">
        <f t="shared" si="42"/>
        <v>1</v>
      </c>
      <c r="CH32" s="59" t="b">
        <f t="shared" si="43"/>
        <v>0</v>
      </c>
      <c r="CI32" s="59" t="b">
        <f t="shared" si="44"/>
        <v>1</v>
      </c>
      <c r="CJ32" s="59" t="b">
        <f t="shared" si="45"/>
        <v>0</v>
      </c>
      <c r="CK32" s="59">
        <f t="shared" si="112"/>
        <v>1.4936065002642981E-2</v>
      </c>
      <c r="CL32" s="59">
        <f t="shared" si="47"/>
        <v>1.4936065002642981E-2</v>
      </c>
      <c r="CM32" s="59" t="e">
        <f t="shared" si="48"/>
        <v>#N/A</v>
      </c>
      <c r="CN32" s="60" t="str">
        <f t="shared" si="49"/>
        <v/>
      </c>
      <c r="CO32" s="32">
        <f>_xlfn.NORM.DIST(_xlfn.NORM.INV(1-Eu_g_konfidensniveau,0,1)-Eu_tabel_g[[#This Row],[x base]],0,1,TRUE)</f>
        <v>0.82078539390681737</v>
      </c>
      <c r="CP32" s="32">
        <f>1-_xlfn.NORM.DIST(_xlfn.NORM.INV(Eu_g_konfidensniveau,0,1)-Eu_tabel_g[[#This Row],[x base]],0,1,TRUE)</f>
        <v>1.2878078825662165E-5</v>
      </c>
      <c r="CQ32" s="32">
        <f>_xlfn.NORM.DIST(_xlfn.NORM.INV((1-Eu_g_konfidensniveau)/2,0,1)-Eu_tabel_g[[#This Row],[x base]],0,1,TRUE)+1-_xlfn.NORM.DIST(_xlfn.NORM.INV(1-(1-Eu_g_konfidensniveau)/2,0,1)-Eu_tabel_g[[#This Row],[x base]],0,1,TRUE)</f>
        <v>0.726832502579835</v>
      </c>
      <c r="CR32" s="32" t="e" cm="1">
        <f t="array" ref="CR32">IF($CR$3,INDEX(Eu_tabel_g[[#This Row],[Styrke venstre]:[Styrke tosidet]],CR$7),NA())</f>
        <v>#N/A</v>
      </c>
      <c r="CS32" s="52" t="e">
        <f>Eu_tabel_g[[#This Row],[Falsk positiv
Nulhypotese accepteres
Fejltype 1]]</f>
        <v>#N/A</v>
      </c>
      <c r="CT32" s="52" t="e">
        <f>IF(CHOOSE(CR$7,Eu_tabel_g[[#This Row],[x base]]&gt;0,Eu_tabel_g[[#This Row],[x base]]&lt;0,Eu_tabel_g[[#This Row],[x base]]=0),Eu_tabel_g[[#This Row],[Styrke, aktiv]],NA())</f>
        <v>#N/A</v>
      </c>
      <c r="CU32" s="52" t="e">
        <f>IFERROR(IF($CR$3,Eu_tabel_g[[#This Row],[Styrke, aktiv]],NA()),NA())</f>
        <v>#N/A</v>
      </c>
      <c r="CV32" s="52" t="e">
        <f>IF(ISNA(Eu_tabel_g[[#This Row],[Sand negativ
Nulhypotese afvises
Korrekt]]),NA(),IF($CR$3,1,NA()))</f>
        <v>#N/A</v>
      </c>
      <c r="CW32" s="34" t="str" cm="1">
        <f t="array" ref="CW32">_xlfn.SWITCH(BZ32,_xlfn.IFNA(CU$2,-99),CU$5,_xlfn.IFNA(CU$3,-99),CU$6,_xlfn.IFNA(CU$4,-99),CU$7,"")</f>
        <v/>
      </c>
      <c r="DA32" s="7">
        <f t="shared" si="50"/>
        <v>0.8</v>
      </c>
      <c r="DB32">
        <f>IF(ROW(Styrkeberegning_G[[#This Row],[X base venstre]])=ROW(Styrkeberegning_G[[#Headers],[X base venstre]])+1,DB$7/(DA$7/$B$67),DB31/(DA31/$B$67))</f>
        <v>-2.8015817870135784</v>
      </c>
      <c r="DC32">
        <f>Styrkeberegning_G[[#This Row],[X base venstre]]*-1</f>
        <v>2.8015817870135784</v>
      </c>
      <c r="DN32" s="59">
        <f t="shared" si="51"/>
        <v>22</v>
      </c>
      <c r="DO32" s="32">
        <f t="shared" si="52"/>
        <v>23</v>
      </c>
      <c r="DP32" s="59">
        <f t="shared" si="53"/>
        <v>4.3434115058277127</v>
      </c>
      <c r="DQ32" s="59" t="e">
        <f t="shared" si="54"/>
        <v>#N/A</v>
      </c>
      <c r="DR32" s="59" t="e">
        <f t="shared" si="55"/>
        <v>#N/A</v>
      </c>
      <c r="DS32" s="59">
        <f t="shared" si="56"/>
        <v>3.5690927255072682E-2</v>
      </c>
      <c r="DT32" s="59" t="e">
        <f t="shared" si="57"/>
        <v>#N/A</v>
      </c>
      <c r="DU32" s="59" t="b">
        <f t="shared" si="58"/>
        <v>0</v>
      </c>
      <c r="DV32" s="59" t="b">
        <f t="shared" si="59"/>
        <v>1</v>
      </c>
      <c r="DW32" s="59" t="b">
        <f t="shared" si="60"/>
        <v>0</v>
      </c>
      <c r="DX32" s="59" t="b">
        <f t="shared" si="61"/>
        <v>1</v>
      </c>
      <c r="DY32" s="59">
        <f t="shared" si="62"/>
        <v>3.5690927255072682E-2</v>
      </c>
      <c r="DZ32" s="59" t="e">
        <f t="shared" si="63"/>
        <v>#N/A</v>
      </c>
      <c r="EA32" s="59">
        <f t="shared" si="64"/>
        <v>3.5690927255072682E-2</v>
      </c>
      <c r="EB32" s="60" t="str">
        <f t="shared" si="65"/>
        <v/>
      </c>
      <c r="EG32" s="59">
        <f t="shared" si="66"/>
        <v>22</v>
      </c>
      <c r="EH32" s="32">
        <f t="shared" si="67"/>
        <v>23</v>
      </c>
      <c r="EI32" s="59">
        <f t="shared" si="68"/>
        <v>-2.5632159438756279</v>
      </c>
      <c r="EJ32" s="59">
        <f t="shared" si="69"/>
        <v>1.4936065002642981E-2</v>
      </c>
      <c r="EK32" s="59" t="e">
        <f t="shared" si="70"/>
        <v>#N/A</v>
      </c>
      <c r="EL32" s="59" t="e">
        <f t="shared" si="71"/>
        <v>#N/A</v>
      </c>
      <c r="EM32" s="59" t="e">
        <f t="shared" si="72"/>
        <v>#N/A</v>
      </c>
      <c r="EN32" s="59" t="b">
        <f t="shared" si="73"/>
        <v>1</v>
      </c>
      <c r="EO32" s="59" t="b">
        <f t="shared" si="74"/>
        <v>0</v>
      </c>
      <c r="EP32" s="59" t="b">
        <f t="shared" si="75"/>
        <v>1</v>
      </c>
      <c r="EQ32" s="59" t="b">
        <f t="shared" si="76"/>
        <v>0</v>
      </c>
      <c r="ER32" s="59">
        <f t="shared" si="77"/>
        <v>1.4936065002642981E-2</v>
      </c>
      <c r="ES32" s="59">
        <f t="shared" si="78"/>
        <v>1.4936065002642981E-2</v>
      </c>
      <c r="ET32" s="59" t="e">
        <f t="shared" si="79"/>
        <v>#N/A</v>
      </c>
      <c r="EU32" s="60" t="str">
        <f t="shared" si="80"/>
        <v/>
      </c>
      <c r="EV3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2" s="32" t="e" cm="1">
        <f t="array" ref="EY32">IF($CR$3,INDEX(Eu_tabel_a[[#This Row],[Styrke venstre]:[Styrke tosidet]],EY$7),NA())</f>
        <v>#N/A</v>
      </c>
      <c r="EZ32" s="32" t="e">
        <f>IF(EY$3,IF(CHOOSE(EY$7,Eu_tabel_a[[#This Row],[x base]]&gt;0,Eu_tabel_a[[#This Row],[x base]]&lt;0,Eu_tabel_a[[#This Row],[x base]]=0),1,NA()),NA())</f>
        <v>#N/A</v>
      </c>
      <c r="FA32" s="32" t="e">
        <f>IF(CHOOSE(EY$7,Eu_tabel_a[[#This Row],[x base]]&gt;0,Eu_tabel_a[[#This Row],[x base]]&lt;0,Eu_tabel_a[[#This Row],[x base]]=0),Eu_tabel_a[[#This Row],[Styrke, aktiv]],NA())</f>
        <v>#N/A</v>
      </c>
      <c r="FB32" s="32" t="e">
        <f>IFERROR(IF($EY$3,Eu_tabel_a[[#This Row],[Styrke, aktiv]],NA()),NA())</f>
        <v>#N/A</v>
      </c>
      <c r="FC32" s="32" t="e">
        <f>IF(ISNA(Eu_tabel_a[[#This Row],[Sand negativ
Nulhypotese afvises
Korrekt]]),NA(),IF(EY$3,1,NA()))</f>
        <v>#N/A</v>
      </c>
      <c r="FD32" s="33" t="str" cm="1">
        <f t="array" ref="FD32">IFERROR(_xlfn.SWITCH(Eu_tabel_a[[#This Row],[Indeks]],_xlfn.IFNA(FB$2,-99),FB$5,_xlfn.IFNA(FB$3,-99),FB$6,_xlfn.IFNA(FB$4,-99),FB$7,""),"")</f>
        <v/>
      </c>
      <c r="FE32" s="32">
        <f>Eu_tabel_a[[#This Row],[x base]]*SQRT(Eu_a_h0_x*(1-Eu_a_h0_x)/Eu_a_n_x)+Eu_a_h0_x</f>
        <v>0</v>
      </c>
      <c r="FJ32" s="74" t="e">
        <f t="shared" si="18"/>
        <v>#N/A</v>
      </c>
      <c r="FK32" s="82" t="e">
        <f t="shared" si="113"/>
        <v>#DIV/0!</v>
      </c>
      <c r="FL32" s="7" t="e">
        <f t="shared" si="12"/>
        <v>#DIV/0!</v>
      </c>
      <c r="FM32" t="e">
        <f t="shared" si="114"/>
        <v>#DIV/0!</v>
      </c>
      <c r="FN32" s="8" t="e">
        <f t="shared" si="115"/>
        <v>#DIV/0!</v>
      </c>
      <c r="FO32" s="8" t="e">
        <f t="shared" si="116"/>
        <v>#DIV/0!</v>
      </c>
      <c r="FP32" s="81" t="e">
        <f t="shared" si="117"/>
        <v>#DIV/0!</v>
      </c>
      <c r="FQ32" s="74" t="e">
        <f t="shared" ca="1" si="13"/>
        <v>#N/A</v>
      </c>
      <c r="FR32" s="82" t="e" vm="3">
        <f t="shared" ca="1" si="19"/>
        <v>#VALUE!</v>
      </c>
      <c r="FS32" s="7" t="e" vm="3">
        <f t="shared" ca="1" si="14"/>
        <v>#VALUE!</v>
      </c>
      <c r="FT32" t="e" vm="3">
        <f t="shared" ca="1" si="8"/>
        <v>#VALUE!</v>
      </c>
      <c r="FU32" s="8" t="e" vm="3">
        <f t="shared" ca="1" si="9"/>
        <v>#VALUE!</v>
      </c>
      <c r="FV32" s="8" t="e" vm="3">
        <f t="shared" ca="1" si="10"/>
        <v>#VALUE!</v>
      </c>
      <c r="FW32" s="81" t="e" vm="3">
        <f t="shared" ca="1" si="11"/>
        <v>#VALUE!</v>
      </c>
      <c r="FX32" s="74" t="e">
        <f t="shared" si="15"/>
        <v>#N/A</v>
      </c>
      <c r="FY32" s="82" t="e">
        <f t="shared" si="20"/>
        <v>#N/A</v>
      </c>
      <c r="FZ32" s="7" t="e">
        <f t="shared" si="16"/>
        <v>#N/A</v>
      </c>
      <c r="GA32" t="e">
        <f t="shared" si="21"/>
        <v>#N/A</v>
      </c>
      <c r="GB32" s="8" t="e">
        <f t="shared" si="22"/>
        <v>#N/A</v>
      </c>
      <c r="GC32" s="8" t="e">
        <f t="shared" si="23"/>
        <v>#N/A</v>
      </c>
      <c r="GD32" s="81" t="e">
        <f t="shared" si="24"/>
        <v>#N/A</v>
      </c>
      <c r="GE32" s="74" t="e">
        <f t="shared" si="25"/>
        <v>#N/A</v>
      </c>
      <c r="GF32" s="82" t="e">
        <f t="shared" si="26"/>
        <v>#N/A</v>
      </c>
      <c r="GG32" s="7" t="e">
        <f t="shared" si="17"/>
        <v>#N/A</v>
      </c>
      <c r="GH32" t="e">
        <f t="shared" si="27"/>
        <v>#N/A</v>
      </c>
      <c r="GI32" s="8" t="e">
        <f t="shared" si="28"/>
        <v>#N/A</v>
      </c>
      <c r="GJ32" s="8" t="e">
        <f t="shared" si="29"/>
        <v>#N/A</v>
      </c>
      <c r="GK32" s="81" t="e">
        <f t="shared" si="30"/>
        <v>#N/A</v>
      </c>
      <c r="GL32" s="81"/>
      <c r="GM32" s="81"/>
      <c r="GP32" s="59">
        <f t="shared" si="81"/>
        <v>22</v>
      </c>
      <c r="GQ32" s="32">
        <f t="shared" si="82"/>
        <v>23</v>
      </c>
      <c r="GR32" s="59">
        <f t="shared" si="83"/>
        <v>-2.5632159438756279</v>
      </c>
      <c r="GS32" s="59">
        <f t="shared" si="84"/>
        <v>1.4936065002642981E-2</v>
      </c>
      <c r="GT32" s="59" t="e">
        <f t="shared" si="85"/>
        <v>#N/A</v>
      </c>
      <c r="GU32" s="59" t="e">
        <f t="shared" si="86"/>
        <v>#N/A</v>
      </c>
      <c r="GV32" s="59" t="e">
        <f t="shared" si="87"/>
        <v>#N/A</v>
      </c>
      <c r="GW32" s="59" t="b">
        <f t="shared" si="88"/>
        <v>1</v>
      </c>
      <c r="GX32" s="59" t="b">
        <f t="shared" si="89"/>
        <v>0</v>
      </c>
      <c r="GY32" s="59" t="b">
        <f t="shared" si="90"/>
        <v>1</v>
      </c>
      <c r="GZ32" s="59" t="b">
        <f t="shared" si="91"/>
        <v>0</v>
      </c>
      <c r="HA32" s="59">
        <f t="shared" si="92"/>
        <v>1.4936065002642981E-2</v>
      </c>
      <c r="HB32" s="59">
        <f t="shared" si="93"/>
        <v>1.4936065002642981E-2</v>
      </c>
      <c r="HC32" s="59" t="e">
        <f t="shared" si="94"/>
        <v>#N/A</v>
      </c>
      <c r="HD32" s="60" t="str">
        <f t="shared" si="95"/>
        <v/>
      </c>
      <c r="HJ32" s="59">
        <f t="shared" si="96"/>
        <v>22</v>
      </c>
      <c r="HK32" s="32">
        <f t="shared" si="97"/>
        <v>23</v>
      </c>
      <c r="HL32" s="59">
        <f t="shared" si="98"/>
        <v>-3.9691937229790826</v>
      </c>
      <c r="HM32" s="59" t="e">
        <f t="shared" si="99"/>
        <v>#N/A</v>
      </c>
      <c r="HN32" s="59">
        <f t="shared" si="100"/>
        <v>3.4480547160141268E-3</v>
      </c>
      <c r="HO32" s="59" t="e">
        <f t="shared" si="101"/>
        <v>#N/A</v>
      </c>
      <c r="HP32" s="59" t="e">
        <f t="shared" si="102"/>
        <v>#N/A</v>
      </c>
      <c r="HQ32" s="59" t="b">
        <f t="shared" si="103"/>
        <v>1</v>
      </c>
      <c r="HR32" s="59" t="b">
        <f t="shared" si="104"/>
        <v>0</v>
      </c>
      <c r="HS32" s="59" t="b">
        <f t="shared" si="105"/>
        <v>1</v>
      </c>
      <c r="HT32" s="59" t="b">
        <f t="shared" si="106"/>
        <v>0</v>
      </c>
      <c r="HU32" s="59">
        <f t="shared" si="107"/>
        <v>3.4480547160141268E-3</v>
      </c>
      <c r="HV32" s="59">
        <f t="shared" si="108"/>
        <v>3.4480547160141268E-3</v>
      </c>
      <c r="HW32" s="59" t="e">
        <f t="shared" si="109"/>
        <v>#N/A</v>
      </c>
      <c r="HX32" s="60" t="str">
        <f t="shared" si="110"/>
        <v/>
      </c>
    </row>
    <row r="33" spans="1:232" x14ac:dyDescent="0.2">
      <c r="N33" s="64"/>
      <c r="BE33" s="35" t="s">
        <v>58</v>
      </c>
      <c r="BF33" s="37" t="b" cm="1">
        <f t="array" ref="BF33:BF35">_xlfn._xlws.FILTER(BF18:BF21,NOT((BF18:BF21)=0))</f>
        <v>1</v>
      </c>
      <c r="BG33" s="37" t="b" cm="1">
        <f t="array" ref="BG33:BG34">_xlfn._xlws.FILTER(BG18:BG21,NOT((BG18:BG21)=0))</f>
        <v>1</v>
      </c>
      <c r="BH33" s="37" t="b" cm="1">
        <f t="array" ref="BH33:BH34">_xlfn._xlws.FILTER(BH18:BH21,NOT((BH18:BH21)=0))</f>
        <v>1</v>
      </c>
      <c r="BI33" s="37" t="b" cm="1">
        <f t="array" ref="BI33:BI34">_xlfn._xlws.FILTER(BI18:BI21,NOT((BI18:BI21)=0))</f>
        <v>1</v>
      </c>
      <c r="BJ33" s="37" t="b" cm="1">
        <f t="array" ref="BJ33:BJ34">_xlfn._xlws.FILTER(BJ18:BJ21,NOT((BJ18:BJ21)=0))</f>
        <v>1</v>
      </c>
      <c r="BL33" s="53" t="s">
        <v>108</v>
      </c>
      <c r="BM33" s="86" t="str" cm="1">
        <f t="array" ref="BM33">INDEX(E_a_valg[Beregningsmetode],E_a_aktiv)</f>
        <v>Normalfordeling</v>
      </c>
      <c r="BZ33" s="59">
        <f t="shared" si="36"/>
        <v>23</v>
      </c>
      <c r="CA33" s="32">
        <f>Eu_tabel_g[[#This Row],[Indeks]]+1</f>
        <v>24</v>
      </c>
      <c r="CB33" s="59">
        <f t="shared" si="37"/>
        <v>-2.5392606546805285</v>
      </c>
      <c r="CC33" s="59">
        <f t="shared" si="38"/>
        <v>1.5877363404520849E-2</v>
      </c>
      <c r="CD33" s="59" t="e">
        <f t="shared" si="39"/>
        <v>#N/A</v>
      </c>
      <c r="CE33" s="59" t="e">
        <f t="shared" si="40"/>
        <v>#N/A</v>
      </c>
      <c r="CF33" s="59" t="e">
        <f t="shared" si="41"/>
        <v>#N/A</v>
      </c>
      <c r="CG33" s="59" t="b">
        <f t="shared" si="42"/>
        <v>1</v>
      </c>
      <c r="CH33" s="59" t="b">
        <f t="shared" si="43"/>
        <v>0</v>
      </c>
      <c r="CI33" s="59" t="b">
        <f t="shared" si="44"/>
        <v>1</v>
      </c>
      <c r="CJ33" s="59" t="b">
        <f t="shared" si="45"/>
        <v>0</v>
      </c>
      <c r="CK33" s="59">
        <f t="shared" ref="CK33:CK61" si="118">_xlfn.AGGREGATE(9,6,CC33:CF33)</f>
        <v>1.5877363404520849E-2</v>
      </c>
      <c r="CL33" s="59">
        <f t="shared" si="47"/>
        <v>1.5877363404520849E-2</v>
      </c>
      <c r="CM33" s="59" t="e">
        <f t="shared" si="48"/>
        <v>#N/A</v>
      </c>
      <c r="CN33" s="60" t="str">
        <f t="shared" si="49"/>
        <v/>
      </c>
      <c r="CO33" s="32">
        <f>_xlfn.NORM.DIST(_xlfn.NORM.INV(1-Eu_g_konfidensniveau,0,1)-Eu_tabel_g[[#This Row],[x base]],0,1,TRUE)</f>
        <v>0.8144479231481434</v>
      </c>
      <c r="CP33" s="32">
        <f>1-_xlfn.NORM.DIST(_xlfn.NORM.INV(Eu_g_konfidensniveau,0,1)-Eu_tabel_g[[#This Row],[x base]],0,1,TRUE)</f>
        <v>1.4314003777604611E-5</v>
      </c>
      <c r="CQ33" s="32">
        <f>_xlfn.NORM.DIST(_xlfn.NORM.INV((1-Eu_g_konfidensniveau)/2,0,1)-Eu_tabel_g[[#This Row],[x base]],0,1,TRUE)+1-_xlfn.NORM.DIST(_xlfn.NORM.INV(1-(1-Eu_g_konfidensniveau)/2,0,1)-Eu_tabel_g[[#This Row],[x base]],0,1,TRUE)</f>
        <v>0.71880890410963205</v>
      </c>
      <c r="CR33" s="32" t="e" cm="1">
        <f t="array" ref="CR33">IF($CR$3,INDEX(Eu_tabel_g[[#This Row],[Styrke venstre]:[Styrke tosidet]],CR$7),NA())</f>
        <v>#N/A</v>
      </c>
      <c r="CS33" s="52" t="e">
        <f>Eu_tabel_g[[#This Row],[Falsk positiv
Nulhypotese accepteres
Fejltype 1]]</f>
        <v>#N/A</v>
      </c>
      <c r="CT33" s="52" t="e">
        <f>IF(CHOOSE(CR$7,Eu_tabel_g[[#This Row],[x base]]&gt;0,Eu_tabel_g[[#This Row],[x base]]&lt;0,Eu_tabel_g[[#This Row],[x base]]=0),Eu_tabel_g[[#This Row],[Styrke, aktiv]],NA())</f>
        <v>#N/A</v>
      </c>
      <c r="CU33" s="52" t="e">
        <f>IFERROR(IF($CR$3,Eu_tabel_g[[#This Row],[Styrke, aktiv]],NA()),NA())</f>
        <v>#N/A</v>
      </c>
      <c r="CV33" s="52" t="e">
        <f>IF(ISNA(Eu_tabel_g[[#This Row],[Sand negativ
Nulhypotese afvises
Korrekt]]),NA(),IF($CR$3,1,NA()))</f>
        <v>#N/A</v>
      </c>
      <c r="CW33" s="34" t="str" cm="1">
        <f t="array" ref="CW33">_xlfn.SWITCH(BZ33,_xlfn.IFNA(CU$2,-99),CU$5,_xlfn.IFNA(CU$3,-99),CU$6,_xlfn.IFNA(CU$4,-99),CU$7,"")</f>
        <v/>
      </c>
      <c r="DA33" s="7">
        <f t="shared" si="50"/>
        <v>0.8</v>
      </c>
      <c r="DB33">
        <f>IF(ROW(Styrkeberegning_G[[#This Row],[X base venstre]])=ROW(Styrkeberegning_G[[#Headers],[X base venstre]])+1,DB$7/(DA$7/$B$67),DB32/(DA32/$B$67))</f>
        <v>-2.8015817870135784</v>
      </c>
      <c r="DC33">
        <f>Styrkeberegning_G[[#This Row],[X base venstre]]*-1</f>
        <v>2.8015817870135784</v>
      </c>
      <c r="DN33" s="59">
        <f t="shared" si="51"/>
        <v>23</v>
      </c>
      <c r="DO33" s="32">
        <f t="shared" si="52"/>
        <v>24</v>
      </c>
      <c r="DP33" s="59">
        <f t="shared" si="53"/>
        <v>4.4574823622447131</v>
      </c>
      <c r="DQ33" s="59" t="e">
        <f t="shared" si="54"/>
        <v>#N/A</v>
      </c>
      <c r="DR33" s="59" t="e">
        <f t="shared" si="55"/>
        <v>#N/A</v>
      </c>
      <c r="DS33" s="59">
        <f t="shared" si="56"/>
        <v>3.7883632157168431E-2</v>
      </c>
      <c r="DT33" s="59" t="e">
        <f t="shared" si="57"/>
        <v>#N/A</v>
      </c>
      <c r="DU33" s="59" t="b">
        <f t="shared" si="58"/>
        <v>0</v>
      </c>
      <c r="DV33" s="59" t="b">
        <f t="shared" si="59"/>
        <v>1</v>
      </c>
      <c r="DW33" s="59" t="b">
        <f t="shared" si="60"/>
        <v>0</v>
      </c>
      <c r="DX33" s="59" t="b">
        <f t="shared" si="61"/>
        <v>1</v>
      </c>
      <c r="DY33" s="59">
        <f t="shared" si="62"/>
        <v>3.7883632157168431E-2</v>
      </c>
      <c r="DZ33" s="59" t="e">
        <f t="shared" si="63"/>
        <v>#N/A</v>
      </c>
      <c r="EA33" s="59">
        <f t="shared" si="64"/>
        <v>3.7883632157168431E-2</v>
      </c>
      <c r="EB33" s="60" t="str">
        <f t="shared" si="65"/>
        <v/>
      </c>
      <c r="EG33" s="59">
        <f t="shared" si="66"/>
        <v>23</v>
      </c>
      <c r="EH33" s="32">
        <f t="shared" si="67"/>
        <v>24</v>
      </c>
      <c r="EI33" s="59">
        <f t="shared" si="68"/>
        <v>-2.5392606546805285</v>
      </c>
      <c r="EJ33" s="59">
        <f t="shared" si="69"/>
        <v>1.5877363404520849E-2</v>
      </c>
      <c r="EK33" s="59" t="e">
        <f t="shared" si="70"/>
        <v>#N/A</v>
      </c>
      <c r="EL33" s="59" t="e">
        <f t="shared" si="71"/>
        <v>#N/A</v>
      </c>
      <c r="EM33" s="59" t="e">
        <f t="shared" si="72"/>
        <v>#N/A</v>
      </c>
      <c r="EN33" s="59" t="b">
        <f t="shared" si="73"/>
        <v>1</v>
      </c>
      <c r="EO33" s="59" t="b">
        <f t="shared" si="74"/>
        <v>0</v>
      </c>
      <c r="EP33" s="59" t="b">
        <f t="shared" si="75"/>
        <v>1</v>
      </c>
      <c r="EQ33" s="59" t="b">
        <f t="shared" si="76"/>
        <v>0</v>
      </c>
      <c r="ER33" s="59">
        <f t="shared" si="77"/>
        <v>1.5877363404520849E-2</v>
      </c>
      <c r="ES33" s="59">
        <f t="shared" si="78"/>
        <v>1.5877363404520849E-2</v>
      </c>
      <c r="ET33" s="59" t="e">
        <f t="shared" si="79"/>
        <v>#N/A</v>
      </c>
      <c r="EU33" s="60" t="str">
        <f t="shared" si="80"/>
        <v/>
      </c>
      <c r="EV3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3" s="32" t="e" cm="1">
        <f t="array" ref="EY33">IF($CR$3,INDEX(Eu_tabel_a[[#This Row],[Styrke venstre]:[Styrke tosidet]],EY$7),NA())</f>
        <v>#N/A</v>
      </c>
      <c r="EZ33" s="32" t="e">
        <f>IF(EY$3,IF(CHOOSE(EY$7,Eu_tabel_a[[#This Row],[x base]]&gt;0,Eu_tabel_a[[#This Row],[x base]]&lt;0,Eu_tabel_a[[#This Row],[x base]]=0),1,NA()),NA())</f>
        <v>#N/A</v>
      </c>
      <c r="FA33" s="32" t="e">
        <f>IF(CHOOSE(EY$7,Eu_tabel_a[[#This Row],[x base]]&gt;0,Eu_tabel_a[[#This Row],[x base]]&lt;0,Eu_tabel_a[[#This Row],[x base]]=0),Eu_tabel_a[[#This Row],[Styrke, aktiv]],NA())</f>
        <v>#N/A</v>
      </c>
      <c r="FB33" s="32" t="e">
        <f>IFERROR(IF($EY$3,Eu_tabel_a[[#This Row],[Styrke, aktiv]],NA()),NA())</f>
        <v>#N/A</v>
      </c>
      <c r="FC33" s="32" t="e">
        <f>IF(ISNA(Eu_tabel_a[[#This Row],[Sand negativ
Nulhypotese afvises
Korrekt]]),NA(),IF(EY$3,1,NA()))</f>
        <v>#N/A</v>
      </c>
      <c r="FD33" s="33" t="str" cm="1">
        <f t="array" ref="FD33">IFERROR(_xlfn.SWITCH(Eu_tabel_a[[#This Row],[Indeks]],_xlfn.IFNA(FB$2,-99),FB$5,_xlfn.IFNA(FB$3,-99),FB$6,_xlfn.IFNA(FB$4,-99),FB$7,""),"")</f>
        <v/>
      </c>
      <c r="FE33" s="32">
        <f>Eu_tabel_a[[#This Row],[x base]]*SQRT(Eu_a_h0_x*(1-Eu_a_h0_x)/Eu_a_n_x)+Eu_a_h0_x</f>
        <v>0</v>
      </c>
      <c r="FJ33" s="74" t="e">
        <f t="shared" si="18"/>
        <v>#N/A</v>
      </c>
      <c r="FK33" s="82" t="e">
        <f t="shared" si="113"/>
        <v>#DIV/0!</v>
      </c>
      <c r="FL33" s="7" t="e">
        <f t="shared" si="12"/>
        <v>#DIV/0!</v>
      </c>
      <c r="FM33" t="e">
        <f t="shared" si="114"/>
        <v>#DIV/0!</v>
      </c>
      <c r="FN33" s="8" t="e">
        <f t="shared" si="115"/>
        <v>#DIV/0!</v>
      </c>
      <c r="FO33" s="8" t="e">
        <f t="shared" si="116"/>
        <v>#DIV/0!</v>
      </c>
      <c r="FP33" s="81" t="e">
        <f t="shared" si="117"/>
        <v>#DIV/0!</v>
      </c>
      <c r="FQ33" s="74" t="e">
        <f t="shared" ca="1" si="13"/>
        <v>#N/A</v>
      </c>
      <c r="FR33" s="82" t="e" vm="3">
        <f t="shared" ca="1" si="19"/>
        <v>#VALUE!</v>
      </c>
      <c r="FS33" s="7" t="e" vm="3">
        <f t="shared" ca="1" si="14"/>
        <v>#VALUE!</v>
      </c>
      <c r="FT33" t="e" vm="3">
        <f t="shared" ca="1" si="8"/>
        <v>#VALUE!</v>
      </c>
      <c r="FU33" s="8" t="e" vm="3">
        <f t="shared" ca="1" si="9"/>
        <v>#VALUE!</v>
      </c>
      <c r="FV33" s="8" t="e" vm="3">
        <f t="shared" ca="1" si="10"/>
        <v>#VALUE!</v>
      </c>
      <c r="FW33" s="81" t="e" vm="3">
        <f t="shared" ca="1" si="11"/>
        <v>#VALUE!</v>
      </c>
      <c r="FX33" s="74" t="e">
        <f t="shared" si="15"/>
        <v>#N/A</v>
      </c>
      <c r="FY33" s="82" t="e">
        <f t="shared" si="20"/>
        <v>#N/A</v>
      </c>
      <c r="FZ33" s="7" t="e">
        <f t="shared" si="16"/>
        <v>#N/A</v>
      </c>
      <c r="GA33" t="e">
        <f t="shared" si="21"/>
        <v>#N/A</v>
      </c>
      <c r="GB33" s="8" t="e">
        <f t="shared" si="22"/>
        <v>#N/A</v>
      </c>
      <c r="GC33" s="8" t="e">
        <f t="shared" si="23"/>
        <v>#N/A</v>
      </c>
      <c r="GD33" s="81" t="e">
        <f t="shared" si="24"/>
        <v>#N/A</v>
      </c>
      <c r="GE33" s="74" t="e">
        <f t="shared" si="25"/>
        <v>#N/A</v>
      </c>
      <c r="GF33" s="82" t="e">
        <f t="shared" si="26"/>
        <v>#N/A</v>
      </c>
      <c r="GG33" s="7" t="e">
        <f t="shared" si="17"/>
        <v>#N/A</v>
      </c>
      <c r="GH33" t="e">
        <f t="shared" si="27"/>
        <v>#N/A</v>
      </c>
      <c r="GI33" s="8" t="e">
        <f t="shared" si="28"/>
        <v>#N/A</v>
      </c>
      <c r="GJ33" s="8" t="e">
        <f t="shared" si="29"/>
        <v>#N/A</v>
      </c>
      <c r="GK33" s="81" t="e">
        <f t="shared" si="30"/>
        <v>#N/A</v>
      </c>
      <c r="GL33" s="81"/>
      <c r="GM33" s="81"/>
      <c r="GP33" s="59">
        <f t="shared" si="81"/>
        <v>23</v>
      </c>
      <c r="GQ33" s="32">
        <f t="shared" si="82"/>
        <v>24</v>
      </c>
      <c r="GR33" s="59">
        <f t="shared" si="83"/>
        <v>-2.5392606546805285</v>
      </c>
      <c r="GS33" s="59">
        <f t="shared" si="84"/>
        <v>1.5877363404520849E-2</v>
      </c>
      <c r="GT33" s="59" t="e">
        <f t="shared" si="85"/>
        <v>#N/A</v>
      </c>
      <c r="GU33" s="59" t="e">
        <f t="shared" si="86"/>
        <v>#N/A</v>
      </c>
      <c r="GV33" s="59" t="e">
        <f t="shared" si="87"/>
        <v>#N/A</v>
      </c>
      <c r="GW33" s="59" t="b">
        <f t="shared" si="88"/>
        <v>1</v>
      </c>
      <c r="GX33" s="59" t="b">
        <f t="shared" si="89"/>
        <v>0</v>
      </c>
      <c r="GY33" s="59" t="b">
        <f t="shared" si="90"/>
        <v>1</v>
      </c>
      <c r="GZ33" s="59" t="b">
        <f t="shared" si="91"/>
        <v>0</v>
      </c>
      <c r="HA33" s="59">
        <f t="shared" si="92"/>
        <v>1.5877363404520849E-2</v>
      </c>
      <c r="HB33" s="59">
        <f t="shared" si="93"/>
        <v>1.5877363404520849E-2</v>
      </c>
      <c r="HC33" s="59" t="e">
        <f t="shared" si="94"/>
        <v>#N/A</v>
      </c>
      <c r="HD33" s="60" t="str">
        <f t="shared" si="95"/>
        <v/>
      </c>
      <c r="HJ33" s="59">
        <f t="shared" si="96"/>
        <v>23</v>
      </c>
      <c r="HK33" s="32">
        <f t="shared" si="97"/>
        <v>24</v>
      </c>
      <c r="HL33" s="59">
        <f t="shared" si="98"/>
        <v>-3.9320984545400255</v>
      </c>
      <c r="HM33" s="59" t="e">
        <f t="shared" si="99"/>
        <v>#N/A</v>
      </c>
      <c r="HN33" s="59">
        <f t="shared" si="100"/>
        <v>3.6315839884640427E-3</v>
      </c>
      <c r="HO33" s="59" t="e">
        <f t="shared" si="101"/>
        <v>#N/A</v>
      </c>
      <c r="HP33" s="59" t="e">
        <f t="shared" si="102"/>
        <v>#N/A</v>
      </c>
      <c r="HQ33" s="59" t="b">
        <f t="shared" si="103"/>
        <v>1</v>
      </c>
      <c r="HR33" s="59" t="b">
        <f t="shared" si="104"/>
        <v>0</v>
      </c>
      <c r="HS33" s="59" t="b">
        <f t="shared" si="105"/>
        <v>1</v>
      </c>
      <c r="HT33" s="59" t="b">
        <f t="shared" si="106"/>
        <v>0</v>
      </c>
      <c r="HU33" s="59">
        <f t="shared" si="107"/>
        <v>3.6315839884640427E-3</v>
      </c>
      <c r="HV33" s="59">
        <f t="shared" si="108"/>
        <v>3.6315839884640427E-3</v>
      </c>
      <c r="HW33" s="59" t="e">
        <f t="shared" si="109"/>
        <v>#N/A</v>
      </c>
      <c r="HX33" s="60" t="str">
        <f t="shared" si="110"/>
        <v/>
      </c>
    </row>
    <row r="34" spans="1:232" x14ac:dyDescent="0.2">
      <c r="A34" s="3" t="s">
        <v>223</v>
      </c>
      <c r="E34" s="3" t="s">
        <v>199</v>
      </c>
      <c r="H34" s="3" t="s">
        <v>223</v>
      </c>
      <c r="L34" s="3" t="s">
        <v>199</v>
      </c>
      <c r="O34" s="3" t="s">
        <v>223</v>
      </c>
      <c r="S34" s="3" t="s">
        <v>199</v>
      </c>
      <c r="V34" s="3" t="s">
        <v>223</v>
      </c>
      <c r="Z34" s="3" t="s">
        <v>199</v>
      </c>
      <c r="AC34" s="3" t="s">
        <v>223</v>
      </c>
      <c r="AG34" s="3" t="s">
        <v>199</v>
      </c>
      <c r="BE34" s="35" t="s">
        <v>59</v>
      </c>
      <c r="BF34" s="37" t="b">
        <v>0</v>
      </c>
      <c r="BG34" s="37" t="str">
        <v>Skal vurderes</v>
      </c>
      <c r="BH34" s="37" t="b">
        <v>0</v>
      </c>
      <c r="BI34" s="37" t="b">
        <v>1</v>
      </c>
      <c r="BJ34" s="37" t="str">
        <v>Skal vurderes</v>
      </c>
      <c r="BL34" s="53" t="s">
        <v>4</v>
      </c>
      <c r="BM34" s="87">
        <f>Eu_a_konfidensniveau</f>
        <v>0.95</v>
      </c>
      <c r="BZ34" s="59">
        <f t="shared" si="36"/>
        <v>24</v>
      </c>
      <c r="CA34" s="32">
        <f>Eu_tabel_g[[#This Row],[Indeks]]+1</f>
        <v>25</v>
      </c>
      <c r="CB34" s="59">
        <f t="shared" si="37"/>
        <v>-2.5153053654854292</v>
      </c>
      <c r="CC34" s="59">
        <f t="shared" si="38"/>
        <v>1.6868301418220717E-2</v>
      </c>
      <c r="CD34" s="59" t="e">
        <f t="shared" si="39"/>
        <v>#N/A</v>
      </c>
      <c r="CE34" s="59" t="e">
        <f t="shared" si="40"/>
        <v>#N/A</v>
      </c>
      <c r="CF34" s="59" t="e">
        <f t="shared" si="41"/>
        <v>#N/A</v>
      </c>
      <c r="CG34" s="59" t="b">
        <f t="shared" si="42"/>
        <v>1</v>
      </c>
      <c r="CH34" s="59" t="b">
        <f t="shared" si="43"/>
        <v>0</v>
      </c>
      <c r="CI34" s="59" t="b">
        <f t="shared" si="44"/>
        <v>1</v>
      </c>
      <c r="CJ34" s="59" t="b">
        <f t="shared" si="45"/>
        <v>0</v>
      </c>
      <c r="CK34" s="59">
        <f t="shared" si="118"/>
        <v>1.6868301418220717E-2</v>
      </c>
      <c r="CL34" s="59">
        <f t="shared" si="47"/>
        <v>1.6868301418220717E-2</v>
      </c>
      <c r="CM34" s="59" t="e">
        <f t="shared" si="48"/>
        <v>#N/A</v>
      </c>
      <c r="CN34" s="60" t="str">
        <f t="shared" si="49"/>
        <v/>
      </c>
      <c r="CO34" s="32">
        <f>_xlfn.NORM.DIST(_xlfn.NORM.INV(1-Eu_g_konfidensniveau,0,1)-Eu_tabel_g[[#This Row],[x base]],0,1,TRUE)</f>
        <v>0.80797320867814038</v>
      </c>
      <c r="CP34" s="32">
        <f>1-_xlfn.NORM.DIST(_xlfn.NORM.INV(Eu_g_konfidensniveau,0,1)-Eu_tabel_g[[#This Row],[x base]],0,1,TRUE)</f>
        <v>1.5901306353871547E-5</v>
      </c>
      <c r="CQ34" s="32">
        <f>_xlfn.NORM.DIST(_xlfn.NORM.INV((1-Eu_g_konfidensniveau)/2,0,1)-Eu_tabel_g[[#This Row],[x base]],0,1,TRUE)+1-_xlfn.NORM.DIST(_xlfn.NORM.INV(1-(1-Eu_g_konfidensniveau)/2,0,1)-Eu_tabel_g[[#This Row],[x base]],0,1,TRUE)</f>
        <v>0.71067322599342742</v>
      </c>
      <c r="CR34" s="32" t="e" cm="1">
        <f t="array" ref="CR34">IF($CR$3,INDEX(Eu_tabel_g[[#This Row],[Styrke venstre]:[Styrke tosidet]],CR$7),NA())</f>
        <v>#N/A</v>
      </c>
      <c r="CS34" s="52" t="e">
        <f>Eu_tabel_g[[#This Row],[Falsk positiv
Nulhypotese accepteres
Fejltype 1]]</f>
        <v>#N/A</v>
      </c>
      <c r="CT34" s="52" t="e">
        <f>IF(CHOOSE(CR$7,Eu_tabel_g[[#This Row],[x base]]&gt;0,Eu_tabel_g[[#This Row],[x base]]&lt;0,Eu_tabel_g[[#This Row],[x base]]=0),Eu_tabel_g[[#This Row],[Styrke, aktiv]],NA())</f>
        <v>#N/A</v>
      </c>
      <c r="CU34" s="52" t="e">
        <f>IFERROR(IF($CR$3,Eu_tabel_g[[#This Row],[Styrke, aktiv]],NA()),NA())</f>
        <v>#N/A</v>
      </c>
      <c r="CV34" s="52" t="e">
        <f>IF(ISNA(Eu_tabel_g[[#This Row],[Sand negativ
Nulhypotese afvises
Korrekt]]),NA(),IF($CR$3,1,NA()))</f>
        <v>#N/A</v>
      </c>
      <c r="CW34" s="34" t="str" cm="1">
        <f t="array" ref="CW34">_xlfn.SWITCH(BZ34,_xlfn.IFNA(CU$2,-99),CU$5,_xlfn.IFNA(CU$3,-99),CU$6,_xlfn.IFNA(CU$4,-99),CU$7,"")</f>
        <v/>
      </c>
      <c r="DA34" s="7">
        <f t="shared" si="50"/>
        <v>0.8</v>
      </c>
      <c r="DB34">
        <f>IF(ROW(Styrkeberegning_G[[#This Row],[X base venstre]])=ROW(Styrkeberegning_G[[#Headers],[X base venstre]])+1,DB$7/(DA$7/$B$67),DB33/(DA33/$B$67))</f>
        <v>-2.8015817870135784</v>
      </c>
      <c r="DC34">
        <f>Styrkeberegning_G[[#This Row],[X base venstre]]*-1</f>
        <v>2.8015817870135784</v>
      </c>
      <c r="DN34" s="59">
        <f t="shared" si="51"/>
        <v>24</v>
      </c>
      <c r="DO34" s="32">
        <f t="shared" si="52"/>
        <v>25</v>
      </c>
      <c r="DP34" s="59">
        <f t="shared" si="53"/>
        <v>4.5715532186617143</v>
      </c>
      <c r="DQ34" s="59" t="e">
        <f t="shared" si="54"/>
        <v>#N/A</v>
      </c>
      <c r="DR34" s="59" t="e">
        <f t="shared" si="55"/>
        <v>#N/A</v>
      </c>
      <c r="DS34" s="59">
        <f t="shared" si="56"/>
        <v>4.0092680991955953E-2</v>
      </c>
      <c r="DT34" s="59" t="e">
        <f t="shared" si="57"/>
        <v>#N/A</v>
      </c>
      <c r="DU34" s="59" t="b">
        <f t="shared" si="58"/>
        <v>0</v>
      </c>
      <c r="DV34" s="59" t="b">
        <f t="shared" si="59"/>
        <v>1</v>
      </c>
      <c r="DW34" s="59" t="b">
        <f t="shared" si="60"/>
        <v>0</v>
      </c>
      <c r="DX34" s="59" t="b">
        <f t="shared" si="61"/>
        <v>1</v>
      </c>
      <c r="DY34" s="59">
        <f t="shared" si="62"/>
        <v>4.0092680991955953E-2</v>
      </c>
      <c r="DZ34" s="59" t="e">
        <f t="shared" si="63"/>
        <v>#N/A</v>
      </c>
      <c r="EA34" s="59">
        <f t="shared" si="64"/>
        <v>4.0092680991955953E-2</v>
      </c>
      <c r="EB34" s="60" t="str">
        <f t="shared" si="65"/>
        <v/>
      </c>
      <c r="EG34" s="59">
        <f t="shared" si="66"/>
        <v>24</v>
      </c>
      <c r="EH34" s="32">
        <f t="shared" si="67"/>
        <v>25</v>
      </c>
      <c r="EI34" s="59">
        <f t="shared" si="68"/>
        <v>-2.5153053654854292</v>
      </c>
      <c r="EJ34" s="59">
        <f t="shared" si="69"/>
        <v>1.6868301418220717E-2</v>
      </c>
      <c r="EK34" s="59" t="e">
        <f t="shared" si="70"/>
        <v>#N/A</v>
      </c>
      <c r="EL34" s="59" t="e">
        <f t="shared" si="71"/>
        <v>#N/A</v>
      </c>
      <c r="EM34" s="59" t="e">
        <f t="shared" si="72"/>
        <v>#N/A</v>
      </c>
      <c r="EN34" s="59" t="b">
        <f t="shared" si="73"/>
        <v>1</v>
      </c>
      <c r="EO34" s="59" t="b">
        <f t="shared" si="74"/>
        <v>0</v>
      </c>
      <c r="EP34" s="59" t="b">
        <f t="shared" si="75"/>
        <v>1</v>
      </c>
      <c r="EQ34" s="59" t="b">
        <f t="shared" si="76"/>
        <v>0</v>
      </c>
      <c r="ER34" s="59">
        <f t="shared" si="77"/>
        <v>1.6868301418220717E-2</v>
      </c>
      <c r="ES34" s="59">
        <f t="shared" si="78"/>
        <v>1.6868301418220717E-2</v>
      </c>
      <c r="ET34" s="59" t="e">
        <f t="shared" si="79"/>
        <v>#N/A</v>
      </c>
      <c r="EU34" s="60" t="str">
        <f t="shared" si="80"/>
        <v/>
      </c>
      <c r="EV3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4" s="32" t="e" cm="1">
        <f t="array" ref="EY34">IF($CR$3,INDEX(Eu_tabel_a[[#This Row],[Styrke venstre]:[Styrke tosidet]],EY$7),NA())</f>
        <v>#N/A</v>
      </c>
      <c r="EZ34" s="32" t="e">
        <f>IF(EY$3,IF(CHOOSE(EY$7,Eu_tabel_a[[#This Row],[x base]]&gt;0,Eu_tabel_a[[#This Row],[x base]]&lt;0,Eu_tabel_a[[#This Row],[x base]]=0),1,NA()),NA())</f>
        <v>#N/A</v>
      </c>
      <c r="FA34" s="32" t="e">
        <f>IF(CHOOSE(EY$7,Eu_tabel_a[[#This Row],[x base]]&gt;0,Eu_tabel_a[[#This Row],[x base]]&lt;0,Eu_tabel_a[[#This Row],[x base]]=0),Eu_tabel_a[[#This Row],[Styrke, aktiv]],NA())</f>
        <v>#N/A</v>
      </c>
      <c r="FB34" s="32" t="e">
        <f>IFERROR(IF($EY$3,Eu_tabel_a[[#This Row],[Styrke, aktiv]],NA()),NA())</f>
        <v>#N/A</v>
      </c>
      <c r="FC34" s="32" t="e">
        <f>IF(ISNA(Eu_tabel_a[[#This Row],[Sand negativ
Nulhypotese afvises
Korrekt]]),NA(),IF(EY$3,1,NA()))</f>
        <v>#N/A</v>
      </c>
      <c r="FD34" s="33" t="str" cm="1">
        <f t="array" ref="FD34">IFERROR(_xlfn.SWITCH(Eu_tabel_a[[#This Row],[Indeks]],_xlfn.IFNA(FB$2,-99),FB$5,_xlfn.IFNA(FB$3,-99),FB$6,_xlfn.IFNA(FB$4,-99),FB$7,""),"")</f>
        <v/>
      </c>
      <c r="FE34" s="32">
        <f>Eu_tabel_a[[#This Row],[x base]]*SQRT(Eu_a_h0_x*(1-Eu_a_h0_x)/Eu_a_n_x)+Eu_a_h0_x</f>
        <v>0</v>
      </c>
      <c r="FJ34" s="74" t="e">
        <f t="shared" si="18"/>
        <v>#N/A</v>
      </c>
      <c r="FK34" s="82" t="e">
        <f t="shared" si="113"/>
        <v>#DIV/0!</v>
      </c>
      <c r="FL34" s="7" t="e">
        <f t="shared" si="12"/>
        <v>#DIV/0!</v>
      </c>
      <c r="FM34" t="e">
        <f t="shared" si="114"/>
        <v>#DIV/0!</v>
      </c>
      <c r="FN34" s="8" t="e">
        <f t="shared" si="115"/>
        <v>#DIV/0!</v>
      </c>
      <c r="FO34" s="8" t="e">
        <f t="shared" si="116"/>
        <v>#DIV/0!</v>
      </c>
      <c r="FP34" s="81" t="e">
        <f t="shared" si="117"/>
        <v>#DIV/0!</v>
      </c>
      <c r="FQ34" s="74" t="e">
        <f t="shared" ca="1" si="13"/>
        <v>#N/A</v>
      </c>
      <c r="FR34" s="82" t="e" vm="3">
        <f t="shared" ca="1" si="19"/>
        <v>#VALUE!</v>
      </c>
      <c r="FS34" s="7" t="e" vm="3">
        <f t="shared" ca="1" si="14"/>
        <v>#VALUE!</v>
      </c>
      <c r="FT34" t="e" vm="3">
        <f t="shared" ca="1" si="8"/>
        <v>#VALUE!</v>
      </c>
      <c r="FU34" s="8" t="e" vm="3">
        <f t="shared" ca="1" si="9"/>
        <v>#VALUE!</v>
      </c>
      <c r="FV34" s="8" t="e" vm="3">
        <f t="shared" ca="1" si="10"/>
        <v>#VALUE!</v>
      </c>
      <c r="FW34" s="81" t="e" vm="3">
        <f t="shared" ca="1" si="11"/>
        <v>#VALUE!</v>
      </c>
      <c r="FX34" s="74" t="e">
        <f t="shared" si="15"/>
        <v>#N/A</v>
      </c>
      <c r="FY34" s="82" t="e">
        <f t="shared" si="20"/>
        <v>#N/A</v>
      </c>
      <c r="FZ34" s="7" t="e">
        <f t="shared" si="16"/>
        <v>#N/A</v>
      </c>
      <c r="GA34" t="e">
        <f t="shared" si="21"/>
        <v>#N/A</v>
      </c>
      <c r="GB34" s="8" t="e">
        <f t="shared" si="22"/>
        <v>#N/A</v>
      </c>
      <c r="GC34" s="8" t="e">
        <f t="shared" si="23"/>
        <v>#N/A</v>
      </c>
      <c r="GD34" s="81" t="e">
        <f t="shared" si="24"/>
        <v>#N/A</v>
      </c>
      <c r="GE34" s="74" t="e">
        <f t="shared" si="25"/>
        <v>#N/A</v>
      </c>
      <c r="GF34" s="82" t="e">
        <f t="shared" si="26"/>
        <v>#N/A</v>
      </c>
      <c r="GG34" s="7" t="e">
        <f t="shared" si="17"/>
        <v>#N/A</v>
      </c>
      <c r="GH34" t="e">
        <f t="shared" si="27"/>
        <v>#N/A</v>
      </c>
      <c r="GI34" s="8" t="e">
        <f t="shared" si="28"/>
        <v>#N/A</v>
      </c>
      <c r="GJ34" s="8" t="e">
        <f t="shared" si="29"/>
        <v>#N/A</v>
      </c>
      <c r="GK34" s="81" t="e">
        <f t="shared" si="30"/>
        <v>#N/A</v>
      </c>
      <c r="GL34" s="81"/>
      <c r="GM34" s="81"/>
      <c r="GP34" s="59">
        <f t="shared" si="81"/>
        <v>24</v>
      </c>
      <c r="GQ34" s="32">
        <f t="shared" si="82"/>
        <v>25</v>
      </c>
      <c r="GR34" s="59">
        <f t="shared" si="83"/>
        <v>-2.5153053654854292</v>
      </c>
      <c r="GS34" s="59">
        <f t="shared" si="84"/>
        <v>1.6868301418220717E-2</v>
      </c>
      <c r="GT34" s="59" t="e">
        <f t="shared" si="85"/>
        <v>#N/A</v>
      </c>
      <c r="GU34" s="59" t="e">
        <f t="shared" si="86"/>
        <v>#N/A</v>
      </c>
      <c r="GV34" s="59" t="e">
        <f t="shared" si="87"/>
        <v>#N/A</v>
      </c>
      <c r="GW34" s="59" t="b">
        <f t="shared" si="88"/>
        <v>1</v>
      </c>
      <c r="GX34" s="59" t="b">
        <f t="shared" si="89"/>
        <v>0</v>
      </c>
      <c r="GY34" s="59" t="b">
        <f t="shared" si="90"/>
        <v>1</v>
      </c>
      <c r="GZ34" s="59" t="b">
        <f t="shared" si="91"/>
        <v>0</v>
      </c>
      <c r="HA34" s="59">
        <f t="shared" si="92"/>
        <v>1.6868301418220717E-2</v>
      </c>
      <c r="HB34" s="59">
        <f t="shared" si="93"/>
        <v>1.6868301418220717E-2</v>
      </c>
      <c r="HC34" s="59" t="e">
        <f t="shared" si="94"/>
        <v>#N/A</v>
      </c>
      <c r="HD34" s="60" t="str">
        <f t="shared" si="95"/>
        <v/>
      </c>
      <c r="HJ34" s="59">
        <f t="shared" si="96"/>
        <v>24</v>
      </c>
      <c r="HK34" s="32">
        <f t="shared" si="97"/>
        <v>25</v>
      </c>
      <c r="HL34" s="59">
        <f t="shared" si="98"/>
        <v>-3.8950031861009689</v>
      </c>
      <c r="HM34" s="59" t="e">
        <f t="shared" si="99"/>
        <v>#N/A</v>
      </c>
      <c r="HN34" s="59">
        <f t="shared" si="100"/>
        <v>3.8255881567615399E-3</v>
      </c>
      <c r="HO34" s="59" t="e">
        <f t="shared" si="101"/>
        <v>#N/A</v>
      </c>
      <c r="HP34" s="59" t="e">
        <f t="shared" si="102"/>
        <v>#N/A</v>
      </c>
      <c r="HQ34" s="59" t="b">
        <f t="shared" si="103"/>
        <v>1</v>
      </c>
      <c r="HR34" s="59" t="b">
        <f t="shared" si="104"/>
        <v>0</v>
      </c>
      <c r="HS34" s="59" t="b">
        <f t="shared" si="105"/>
        <v>1</v>
      </c>
      <c r="HT34" s="59" t="b">
        <f t="shared" si="106"/>
        <v>0</v>
      </c>
      <c r="HU34" s="59">
        <f t="shared" si="107"/>
        <v>3.8255881567615399E-3</v>
      </c>
      <c r="HV34" s="59">
        <f t="shared" si="108"/>
        <v>3.8255881567615399E-3</v>
      </c>
      <c r="HW34" s="59" t="e">
        <f t="shared" si="109"/>
        <v>#N/A</v>
      </c>
      <c r="HX34" s="60" t="str">
        <f t="shared" si="110"/>
        <v/>
      </c>
    </row>
    <row r="35" spans="1:232" x14ac:dyDescent="0.2">
      <c r="A35" s="40" t="str" cm="1">
        <f t="array" ref="A35:A37">_xlfn.ANCHORARRAY(BF28)</f>
        <v>Datatypen er interval</v>
      </c>
      <c r="B35" s="39"/>
      <c r="C35" s="38" t="str" cm="1">
        <f t="array" ref="C35:C37">IF(ISLOGICAL(_xlfn.ANCHORARRAY(BF33)),IF(_xlfn.ANCHORARRAY(BF33),"Opfyldt","Ikke opfyldt"),_xlfn.ANCHORARRAY(BF33))</f>
        <v>Opfyldt</v>
      </c>
      <c r="E35" s="53" t="str" cm="1">
        <f t="array" ref="E35:F40">_xlfn._xlws.FILTER(BL5:BM16,NOT(ISNA(BM5:BM16)))</f>
        <v>Parameter</v>
      </c>
      <c r="F35" s="88" t="str">
        <v>Gennemsnit</v>
      </c>
      <c r="H35" s="40" t="str" cm="1">
        <f t="array" ref="H35:H36">_xlfn.ANCHORARRAY(BG28)</f>
        <v>Datatypen er interval</v>
      </c>
      <c r="I35" s="39"/>
      <c r="J35" s="38" t="str" cm="1">
        <f t="array" ref="J35:J36">IF(ISLOGICAL(_xlfn.ANCHORARRAY(BG33)),IF(_xlfn.ANCHORARRAY(BG33),"Opfyldt","Ikke opfyldt"),_xlfn.ANCHORARRAY(BG33))</f>
        <v>Opfyldt</v>
      </c>
      <c r="L35" s="53" t="str" cm="1">
        <f t="array" ref="L35:M40">_xlfn._xlws.FILTER(BL18:BM29,NOT(ISNA(BM18:BM29)))</f>
        <v>Parameter</v>
      </c>
      <c r="M35" s="54" t="str">
        <v>Standardafvigelse</v>
      </c>
      <c r="N35" s="64"/>
      <c r="O35" s="40" t="str" cm="1">
        <f t="array" ref="O35:O36">_xlfn.ANCHORARRAY(BH28)</f>
        <v>Datatypen er nominal, hvor succes er TRUE og øvrige værdier er FALSE</v>
      </c>
      <c r="P35" s="39"/>
      <c r="Q35" s="38" t="str" cm="1">
        <f t="array" ref="Q35:Q36">IF(ISLOGICAL(_xlfn.ANCHORARRAY(BH33)),IF(_xlfn.ANCHORARRAY(BH33),"Opfyldt","Ikke opfyldt"),_xlfn.ANCHORARRAY(BH33))</f>
        <v>Opfyldt</v>
      </c>
      <c r="S35" s="53" t="str" cm="1">
        <f t="array" ref="S35:T40">_xlfn._xlws.FILTER(BL31:BM42,NOT(ISNA(BM31:BM42)))</f>
        <v>Parameter</v>
      </c>
      <c r="T35" s="54" t="str">
        <v>Andel</v>
      </c>
      <c r="V35" s="40" t="str" cm="1">
        <f t="array" ref="V35:V36">_xlfn.ANCHORARRAY(BI28)</f>
        <v>Observationerne består af antal successer fra lige store tidsintervaller</v>
      </c>
      <c r="W35" s="39"/>
      <c r="X35" s="38" t="str" cm="1">
        <f t="array" ref="X35:X36">IF(ISLOGICAL(_xlfn.ANCHORARRAY(BI33)),IF(_xlfn.ANCHORARRAY(BI33),"Opfyldt","Ikke opfyldt"),_xlfn.ANCHORARRAY(BI33))</f>
        <v>Opfyldt</v>
      </c>
      <c r="Z35" s="53" t="str" cm="1">
        <f t="array" ref="Z35:AA40">_xlfn._xlws.FILTER(BL44:BM55,NOT(ISNA(BM44:BM55)))</f>
        <v>Parameter</v>
      </c>
      <c r="AA35" s="54" t="str">
        <v>Intensitet</v>
      </c>
      <c r="AC35" s="40" t="str" cm="1">
        <f t="array" ref="AC35:AC36">_xlfn.ANCHORARRAY(BJ28)</f>
        <v>Datatypen er interval</v>
      </c>
      <c r="AD35" s="39"/>
      <c r="AE35" s="38" t="str" cm="1">
        <f t="array" ref="AE35:AE36">IF(ISLOGICAL(_xlfn.ANCHORARRAY(BJ33)),IF(_xlfn.ANCHORARRAY(BJ33),"Opfyldt","Ikke opfyldt"),_xlfn.ANCHORARRAY(BJ33))</f>
        <v>Opfyldt</v>
      </c>
      <c r="AG35" s="53" t="str" cm="1">
        <f t="array" ref="AG35:AH43">_xlfn._xlws.FILTER(BL57:BM68,NOT(ISNA(BM57:BM68)))</f>
        <v>Parameter</v>
      </c>
      <c r="AH35" s="54" t="str">
        <v>Koefficient i regressionsmodel</v>
      </c>
      <c r="BE35" s="35" t="s">
        <v>63</v>
      </c>
      <c r="BF35" s="37" t="str">
        <v>Skal vurderes</v>
      </c>
      <c r="BG35" s="37"/>
      <c r="BH35" s="37"/>
      <c r="BI35" s="37"/>
      <c r="BJ35" s="37"/>
      <c r="BL35" s="53" t="s">
        <v>246</v>
      </c>
      <c r="BM35" s="86" cm="1">
        <f t="array" ref="BM35">IF($BH$2,INDEX(E_a_valg[Venstre label base],E_a_aktiv),NA())</f>
        <v>0.20060094659432398</v>
      </c>
      <c r="BZ35" s="59">
        <f t="shared" si="36"/>
        <v>25</v>
      </c>
      <c r="CA35" s="32">
        <f>Eu_tabel_g[[#This Row],[Indeks]]+1</f>
        <v>26</v>
      </c>
      <c r="CB35" s="59">
        <f t="shared" si="37"/>
        <v>-2.4913500762903302</v>
      </c>
      <c r="CC35" s="59">
        <f t="shared" si="38"/>
        <v>1.7910804685522155E-2</v>
      </c>
      <c r="CD35" s="59" t="e">
        <f t="shared" si="39"/>
        <v>#N/A</v>
      </c>
      <c r="CE35" s="59" t="e">
        <f t="shared" si="40"/>
        <v>#N/A</v>
      </c>
      <c r="CF35" s="59" t="e">
        <f t="shared" si="41"/>
        <v>#N/A</v>
      </c>
      <c r="CG35" s="59" t="b">
        <f t="shared" si="42"/>
        <v>1</v>
      </c>
      <c r="CH35" s="59" t="b">
        <f t="shared" si="43"/>
        <v>0</v>
      </c>
      <c r="CI35" s="59" t="b">
        <f t="shared" si="44"/>
        <v>1</v>
      </c>
      <c r="CJ35" s="59" t="b">
        <f t="shared" si="45"/>
        <v>0</v>
      </c>
      <c r="CK35" s="59">
        <f t="shared" si="118"/>
        <v>1.7910804685522155E-2</v>
      </c>
      <c r="CL35" s="59">
        <f t="shared" si="47"/>
        <v>1.7910804685522155E-2</v>
      </c>
      <c r="CM35" s="59" t="e">
        <f t="shared" si="48"/>
        <v>#N/A</v>
      </c>
      <c r="CN35" s="60" t="str">
        <f t="shared" si="49"/>
        <v/>
      </c>
      <c r="CO35" s="32">
        <f>_xlfn.NORM.DIST(_xlfn.NORM.INV(1-Eu_g_konfidensniveau,0,1)-Eu_tabel_g[[#This Row],[x base]],0,1,TRUE)</f>
        <v>0.80136207310529262</v>
      </c>
      <c r="CP35" s="32">
        <f>1-_xlfn.NORM.DIST(_xlfn.NORM.INV(Eu_g_konfidensniveau,0,1)-Eu_tabel_g[[#This Row],[x base]],0,1,TRUE)</f>
        <v>1.7654938465727632E-5</v>
      </c>
      <c r="CQ35" s="32">
        <f>_xlfn.NORM.DIST(_xlfn.NORM.INV((1-Eu_g_konfidensniveau)/2,0,1)-Eu_tabel_g[[#This Row],[x base]],0,1,TRUE)+1-_xlfn.NORM.DIST(_xlfn.NORM.INV(1-(1-Eu_g_konfidensniveau)/2,0,1)-Eu_tabel_g[[#This Row],[x base]],0,1,TRUE)</f>
        <v>0.70242863858448579</v>
      </c>
      <c r="CR35" s="32" t="e" cm="1">
        <f t="array" ref="CR35">IF($CR$3,INDEX(Eu_tabel_g[[#This Row],[Styrke venstre]:[Styrke tosidet]],CR$7),NA())</f>
        <v>#N/A</v>
      </c>
      <c r="CS35" s="52" t="e">
        <f>Eu_tabel_g[[#This Row],[Falsk positiv
Nulhypotese accepteres
Fejltype 1]]</f>
        <v>#N/A</v>
      </c>
      <c r="CT35" s="52" t="e">
        <f>IF(CHOOSE(CR$7,Eu_tabel_g[[#This Row],[x base]]&gt;0,Eu_tabel_g[[#This Row],[x base]]&lt;0,Eu_tabel_g[[#This Row],[x base]]=0),Eu_tabel_g[[#This Row],[Styrke, aktiv]],NA())</f>
        <v>#N/A</v>
      </c>
      <c r="CU35" s="52" t="e">
        <f>IFERROR(IF($CR$3,Eu_tabel_g[[#This Row],[Styrke, aktiv]],NA()),NA())</f>
        <v>#N/A</v>
      </c>
      <c r="CV35" s="52" t="e">
        <f>IF(ISNA(Eu_tabel_g[[#This Row],[Sand negativ
Nulhypotese afvises
Korrekt]]),NA(),IF($CR$3,1,NA()))</f>
        <v>#N/A</v>
      </c>
      <c r="CW35" s="34" t="str" cm="1">
        <f t="array" ref="CW35">_xlfn.SWITCH(BZ35,_xlfn.IFNA(CU$2,-99),CU$5,_xlfn.IFNA(CU$3,-99),CU$6,_xlfn.IFNA(CU$4,-99),CU$7,"")</f>
        <v/>
      </c>
      <c r="DA35" s="7">
        <f t="shared" si="50"/>
        <v>0.8</v>
      </c>
      <c r="DB35">
        <f>IF(ROW(Styrkeberegning_G[[#This Row],[X base venstre]])=ROW(Styrkeberegning_G[[#Headers],[X base venstre]])+1,DB$7/(DA$7/$B$67),DB34/(DA34/$B$67))</f>
        <v>-2.8015817870135784</v>
      </c>
      <c r="DC35">
        <f>Styrkeberegning_G[[#This Row],[X base venstre]]*-1</f>
        <v>2.8015817870135784</v>
      </c>
      <c r="DN35" s="59">
        <f t="shared" si="51"/>
        <v>25</v>
      </c>
      <c r="DO35" s="32">
        <f t="shared" si="52"/>
        <v>26</v>
      </c>
      <c r="DP35" s="59">
        <f t="shared" si="53"/>
        <v>4.6856240750787155</v>
      </c>
      <c r="DQ35" s="59" t="e">
        <f t="shared" si="54"/>
        <v>#N/A</v>
      </c>
      <c r="DR35" s="59" t="e">
        <f t="shared" si="55"/>
        <v>#N/A</v>
      </c>
      <c r="DS35" s="59">
        <f t="shared" si="56"/>
        <v>4.2311790955508063E-2</v>
      </c>
      <c r="DT35" s="59" t="e">
        <f t="shared" si="57"/>
        <v>#N/A</v>
      </c>
      <c r="DU35" s="59" t="b">
        <f t="shared" si="58"/>
        <v>0</v>
      </c>
      <c r="DV35" s="59" t="b">
        <f t="shared" si="59"/>
        <v>1</v>
      </c>
      <c r="DW35" s="59" t="b">
        <f t="shared" si="60"/>
        <v>0</v>
      </c>
      <c r="DX35" s="59" t="b">
        <f t="shared" si="61"/>
        <v>1</v>
      </c>
      <c r="DY35" s="59">
        <f t="shared" si="62"/>
        <v>4.2311790955508063E-2</v>
      </c>
      <c r="DZ35" s="59" t="e">
        <f t="shared" si="63"/>
        <v>#N/A</v>
      </c>
      <c r="EA35" s="59">
        <f t="shared" si="64"/>
        <v>4.2311790955508063E-2</v>
      </c>
      <c r="EB35" s="60" t="str">
        <f t="shared" si="65"/>
        <v/>
      </c>
      <c r="EG35" s="59">
        <f t="shared" si="66"/>
        <v>25</v>
      </c>
      <c r="EH35" s="32">
        <f t="shared" si="67"/>
        <v>26</v>
      </c>
      <c r="EI35" s="59">
        <f t="shared" si="68"/>
        <v>-2.4913500762903302</v>
      </c>
      <c r="EJ35" s="59">
        <f t="shared" si="69"/>
        <v>1.7910804685522155E-2</v>
      </c>
      <c r="EK35" s="59" t="e">
        <f t="shared" si="70"/>
        <v>#N/A</v>
      </c>
      <c r="EL35" s="59" t="e">
        <f t="shared" si="71"/>
        <v>#N/A</v>
      </c>
      <c r="EM35" s="59" t="e">
        <f t="shared" si="72"/>
        <v>#N/A</v>
      </c>
      <c r="EN35" s="59" t="b">
        <f t="shared" si="73"/>
        <v>1</v>
      </c>
      <c r="EO35" s="59" t="b">
        <f t="shared" si="74"/>
        <v>0</v>
      </c>
      <c r="EP35" s="59" t="b">
        <f t="shared" si="75"/>
        <v>1</v>
      </c>
      <c r="EQ35" s="59" t="b">
        <f t="shared" si="76"/>
        <v>0</v>
      </c>
      <c r="ER35" s="59">
        <f t="shared" si="77"/>
        <v>1.7910804685522155E-2</v>
      </c>
      <c r="ES35" s="59">
        <f t="shared" si="78"/>
        <v>1.7910804685522155E-2</v>
      </c>
      <c r="ET35" s="59" t="e">
        <f t="shared" si="79"/>
        <v>#N/A</v>
      </c>
      <c r="EU35" s="60" t="str">
        <f t="shared" si="80"/>
        <v/>
      </c>
      <c r="EV3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5" s="32" t="e" cm="1">
        <f t="array" ref="EY35">IF($CR$3,INDEX(Eu_tabel_a[[#This Row],[Styrke venstre]:[Styrke tosidet]],EY$7),NA())</f>
        <v>#N/A</v>
      </c>
      <c r="EZ35" s="32" t="e">
        <f>IF(EY$3,IF(CHOOSE(EY$7,Eu_tabel_a[[#This Row],[x base]]&gt;0,Eu_tabel_a[[#This Row],[x base]]&lt;0,Eu_tabel_a[[#This Row],[x base]]=0),1,NA()),NA())</f>
        <v>#N/A</v>
      </c>
      <c r="FA35" s="32" t="e">
        <f>IF(CHOOSE(EY$7,Eu_tabel_a[[#This Row],[x base]]&gt;0,Eu_tabel_a[[#This Row],[x base]]&lt;0,Eu_tabel_a[[#This Row],[x base]]=0),Eu_tabel_a[[#This Row],[Styrke, aktiv]],NA())</f>
        <v>#N/A</v>
      </c>
      <c r="FB35" s="32" t="e">
        <f>IFERROR(IF($EY$3,Eu_tabel_a[[#This Row],[Styrke, aktiv]],NA()),NA())</f>
        <v>#N/A</v>
      </c>
      <c r="FC35" s="32" t="e">
        <f>IF(ISNA(Eu_tabel_a[[#This Row],[Sand negativ
Nulhypotese afvises
Korrekt]]),NA(),IF(EY$3,1,NA()))</f>
        <v>#N/A</v>
      </c>
      <c r="FD35" s="33" t="str" cm="1">
        <f t="array" ref="FD35">IFERROR(_xlfn.SWITCH(Eu_tabel_a[[#This Row],[Indeks]],_xlfn.IFNA(FB$2,-99),FB$5,_xlfn.IFNA(FB$3,-99),FB$6,_xlfn.IFNA(FB$4,-99),FB$7,""),"")</f>
        <v/>
      </c>
      <c r="FE35" s="32">
        <f>Eu_tabel_a[[#This Row],[x base]]*SQRT(Eu_a_h0_x*(1-Eu_a_h0_x)/Eu_a_n_x)+Eu_a_h0_x</f>
        <v>0</v>
      </c>
      <c r="FJ35" s="74" t="e">
        <f t="shared" si="18"/>
        <v>#N/A</v>
      </c>
      <c r="FK35" s="82" t="e">
        <f t="shared" si="113"/>
        <v>#DIV/0!</v>
      </c>
      <c r="FL35" s="7" t="e">
        <f t="shared" si="12"/>
        <v>#DIV/0!</v>
      </c>
      <c r="FM35" t="e">
        <f t="shared" si="114"/>
        <v>#DIV/0!</v>
      </c>
      <c r="FN35" s="8" t="e">
        <f t="shared" si="115"/>
        <v>#DIV/0!</v>
      </c>
      <c r="FO35" s="8" t="e">
        <f t="shared" si="116"/>
        <v>#DIV/0!</v>
      </c>
      <c r="FP35" s="81" t="e">
        <f t="shared" si="117"/>
        <v>#DIV/0!</v>
      </c>
      <c r="FQ35" s="74" t="e">
        <f t="shared" ca="1" si="13"/>
        <v>#N/A</v>
      </c>
      <c r="FR35" s="82" t="e" vm="3">
        <f t="shared" ca="1" si="19"/>
        <v>#VALUE!</v>
      </c>
      <c r="FS35" s="7" t="e" vm="3">
        <f t="shared" ca="1" si="14"/>
        <v>#VALUE!</v>
      </c>
      <c r="FT35" t="e" vm="3">
        <f t="shared" ca="1" si="8"/>
        <v>#VALUE!</v>
      </c>
      <c r="FU35" s="8" t="e" vm="3">
        <f t="shared" ca="1" si="9"/>
        <v>#VALUE!</v>
      </c>
      <c r="FV35" s="8" t="e" vm="3">
        <f t="shared" ca="1" si="10"/>
        <v>#VALUE!</v>
      </c>
      <c r="FW35" s="81" t="e" vm="3">
        <f t="shared" ca="1" si="11"/>
        <v>#VALUE!</v>
      </c>
      <c r="FX35" s="74" t="e">
        <f t="shared" si="15"/>
        <v>#N/A</v>
      </c>
      <c r="FY35" s="82" t="e">
        <f t="shared" si="20"/>
        <v>#N/A</v>
      </c>
      <c r="FZ35" s="7" t="e">
        <f t="shared" si="16"/>
        <v>#N/A</v>
      </c>
      <c r="GA35" t="e">
        <f t="shared" si="21"/>
        <v>#N/A</v>
      </c>
      <c r="GB35" s="8" t="e">
        <f t="shared" si="22"/>
        <v>#N/A</v>
      </c>
      <c r="GC35" s="8" t="e">
        <f t="shared" si="23"/>
        <v>#N/A</v>
      </c>
      <c r="GD35" s="81" t="e">
        <f t="shared" si="24"/>
        <v>#N/A</v>
      </c>
      <c r="GE35" s="74" t="e">
        <f t="shared" si="25"/>
        <v>#N/A</v>
      </c>
      <c r="GF35" s="82" t="e">
        <f t="shared" si="26"/>
        <v>#N/A</v>
      </c>
      <c r="GG35" s="7" t="e">
        <f t="shared" si="17"/>
        <v>#N/A</v>
      </c>
      <c r="GH35" t="e">
        <f t="shared" si="27"/>
        <v>#N/A</v>
      </c>
      <c r="GI35" s="8" t="e">
        <f t="shared" si="28"/>
        <v>#N/A</v>
      </c>
      <c r="GJ35" s="8" t="e">
        <f t="shared" si="29"/>
        <v>#N/A</v>
      </c>
      <c r="GK35" s="81" t="e">
        <f t="shared" si="30"/>
        <v>#N/A</v>
      </c>
      <c r="GL35" s="81"/>
      <c r="GM35" s="81"/>
      <c r="GP35" s="59">
        <f t="shared" si="81"/>
        <v>25</v>
      </c>
      <c r="GQ35" s="32">
        <f t="shared" si="82"/>
        <v>26</v>
      </c>
      <c r="GR35" s="59">
        <f t="shared" si="83"/>
        <v>-2.4913500762903302</v>
      </c>
      <c r="GS35" s="59">
        <f t="shared" si="84"/>
        <v>1.7910804685522155E-2</v>
      </c>
      <c r="GT35" s="59" t="e">
        <f t="shared" si="85"/>
        <v>#N/A</v>
      </c>
      <c r="GU35" s="59" t="e">
        <f t="shared" si="86"/>
        <v>#N/A</v>
      </c>
      <c r="GV35" s="59" t="e">
        <f t="shared" si="87"/>
        <v>#N/A</v>
      </c>
      <c r="GW35" s="59" t="b">
        <f t="shared" si="88"/>
        <v>1</v>
      </c>
      <c r="GX35" s="59" t="b">
        <f t="shared" si="89"/>
        <v>0</v>
      </c>
      <c r="GY35" s="59" t="b">
        <f t="shared" si="90"/>
        <v>1</v>
      </c>
      <c r="GZ35" s="59" t="b">
        <f t="shared" si="91"/>
        <v>0</v>
      </c>
      <c r="HA35" s="59">
        <f t="shared" si="92"/>
        <v>1.7910804685522155E-2</v>
      </c>
      <c r="HB35" s="59">
        <f t="shared" si="93"/>
        <v>1.7910804685522155E-2</v>
      </c>
      <c r="HC35" s="59" t="e">
        <f t="shared" si="94"/>
        <v>#N/A</v>
      </c>
      <c r="HD35" s="60" t="str">
        <f t="shared" si="95"/>
        <v/>
      </c>
      <c r="HJ35" s="59">
        <f t="shared" si="96"/>
        <v>25</v>
      </c>
      <c r="HK35" s="32">
        <f t="shared" si="97"/>
        <v>26</v>
      </c>
      <c r="HL35" s="59">
        <f t="shared" si="98"/>
        <v>-3.8579079176619118</v>
      </c>
      <c r="HM35" s="59" t="e">
        <f t="shared" si="99"/>
        <v>#N/A</v>
      </c>
      <c r="HN35" s="59">
        <f t="shared" si="100"/>
        <v>4.0306937646998392E-3</v>
      </c>
      <c r="HO35" s="59" t="e">
        <f t="shared" si="101"/>
        <v>#N/A</v>
      </c>
      <c r="HP35" s="59" t="e">
        <f t="shared" si="102"/>
        <v>#N/A</v>
      </c>
      <c r="HQ35" s="59" t="b">
        <f t="shared" si="103"/>
        <v>1</v>
      </c>
      <c r="HR35" s="59" t="b">
        <f t="shared" si="104"/>
        <v>0</v>
      </c>
      <c r="HS35" s="59" t="b">
        <f t="shared" si="105"/>
        <v>1</v>
      </c>
      <c r="HT35" s="59" t="b">
        <f t="shared" si="106"/>
        <v>0</v>
      </c>
      <c r="HU35" s="59">
        <f t="shared" si="107"/>
        <v>4.0306937646998392E-3</v>
      </c>
      <c r="HV35" s="59">
        <f t="shared" si="108"/>
        <v>4.0306937646998392E-3</v>
      </c>
      <c r="HW35" s="59" t="e">
        <f t="shared" si="109"/>
        <v>#N/A</v>
      </c>
      <c r="HX35" s="60" t="str">
        <f t="shared" si="110"/>
        <v/>
      </c>
    </row>
    <row r="36" spans="1:232" x14ac:dyDescent="0.2">
      <c r="A36" s="40" t="str">
        <v>Antal observationer er større end 30</v>
      </c>
      <c r="B36" s="39"/>
      <c r="C36" s="38" t="str">
        <v>Ikke opfyldt</v>
      </c>
      <c r="E36" s="53" t="str">
        <v>Hypotesetype</v>
      </c>
      <c r="F36" s="88" t="str">
        <v>Konfidensinterval</v>
      </c>
      <c r="H36" s="40" t="str">
        <v>Populationen er normalfordelt</v>
      </c>
      <c r="I36" s="39"/>
      <c r="J36" s="38" t="str">
        <v>Skal vurderes</v>
      </c>
      <c r="L36" s="53" t="str">
        <v>Hypotesetype</v>
      </c>
      <c r="M36" s="54" t="str">
        <v>Konfidensinterval</v>
      </c>
      <c r="N36" s="64"/>
      <c r="O36" s="40" t="str">
        <v>Forudsætningsformlen n * p̂ * ( 1 - p̂ ) &gt; 9 er opfyldt</v>
      </c>
      <c r="P36" s="39"/>
      <c r="Q36" s="38" t="str">
        <v>Ikke opfyldt</v>
      </c>
      <c r="S36" s="53" t="str">
        <v>Hypotesetype</v>
      </c>
      <c r="T36" s="54" t="str">
        <v>Konfidensinterval</v>
      </c>
      <c r="V36" s="40" t="str">
        <v>Forudsætningsformlen λ̂ * n &gt; 9 er opfyldt</v>
      </c>
      <c r="W36" s="39"/>
      <c r="X36" s="38" t="str">
        <v>Opfyldt</v>
      </c>
      <c r="Z36" s="53" t="str">
        <v>Hypotesetype</v>
      </c>
      <c r="AA36" s="54" t="str">
        <v>Konfidensinterval</v>
      </c>
      <c r="AC36" s="40" t="str">
        <v>Forudsætningerne for den lineære regression er opfyldt</v>
      </c>
      <c r="AD36" s="39"/>
      <c r="AE36" s="38" t="str">
        <v>Skal vurderes</v>
      </c>
      <c r="AG36" s="53" t="str">
        <v>Hypotesetype</v>
      </c>
      <c r="AH36" s="54" t="str">
        <v>Venstresidet hypotese om værdi</v>
      </c>
      <c r="BE36" s="35" t="s">
        <v>68</v>
      </c>
      <c r="BF36" s="37"/>
      <c r="BG36" s="37"/>
      <c r="BH36" s="37"/>
      <c r="BI36" s="37"/>
      <c r="BJ36" s="37"/>
      <c r="BL36" s="53" t="s">
        <v>247</v>
      </c>
      <c r="BM36" s="86" cm="1">
        <f t="array" ref="BM36">IF($BH$2,INDEX(E_a_valg[Højre label base],E_a_aktiv),NA())</f>
        <v>0.63273238673900933</v>
      </c>
      <c r="BZ36" s="59">
        <f t="shared" si="36"/>
        <v>26</v>
      </c>
      <c r="CA36" s="32">
        <f>Eu_tabel_g[[#This Row],[Indeks]]+1</f>
        <v>27</v>
      </c>
      <c r="CB36" s="59">
        <f t="shared" si="37"/>
        <v>-2.4673947870952309</v>
      </c>
      <c r="CC36" s="59">
        <f t="shared" si="38"/>
        <v>1.9006826955669413E-2</v>
      </c>
      <c r="CD36" s="59" t="e">
        <f t="shared" si="39"/>
        <v>#N/A</v>
      </c>
      <c r="CE36" s="59" t="e">
        <f t="shared" si="40"/>
        <v>#N/A</v>
      </c>
      <c r="CF36" s="59" t="e">
        <f t="shared" si="41"/>
        <v>#N/A</v>
      </c>
      <c r="CG36" s="59" t="b">
        <f t="shared" si="42"/>
        <v>1</v>
      </c>
      <c r="CH36" s="59" t="b">
        <f t="shared" si="43"/>
        <v>0</v>
      </c>
      <c r="CI36" s="59" t="b">
        <f t="shared" si="44"/>
        <v>1</v>
      </c>
      <c r="CJ36" s="59" t="b">
        <f t="shared" si="45"/>
        <v>0</v>
      </c>
      <c r="CK36" s="59">
        <f t="shared" si="118"/>
        <v>1.9006826955669413E-2</v>
      </c>
      <c r="CL36" s="59">
        <f t="shared" si="47"/>
        <v>1.9006826955669413E-2</v>
      </c>
      <c r="CM36" s="59" t="e">
        <f t="shared" si="48"/>
        <v>#N/A</v>
      </c>
      <c r="CN36" s="60" t="str">
        <f t="shared" si="49"/>
        <v/>
      </c>
      <c r="CO36" s="32">
        <f>_xlfn.NORM.DIST(_xlfn.NORM.INV(1-Eu_g_konfidensniveau,0,1)-Eu_tabel_g[[#This Row],[x base]],0,1,TRUE)</f>
        <v>0.79461551453892731</v>
      </c>
      <c r="CP36" s="32">
        <f>1-_xlfn.NORM.DIST(_xlfn.NORM.INV(Eu_g_konfidensniveau,0,1)-Eu_tabel_g[[#This Row],[x base]],0,1,TRUE)</f>
        <v>1.9591217965242436E-5</v>
      </c>
      <c r="CQ36" s="32">
        <f>_xlfn.NORM.DIST(_xlfn.NORM.INV((1-Eu_g_konfidensniveau)/2,0,1)-Eu_tabel_g[[#This Row],[x base]],0,1,TRUE)+1-_xlfn.NORM.DIST(_xlfn.NORM.INV(1-(1-Eu_g_konfidensniveau)/2,0,1)-Eu_tabel_g[[#This Row],[x base]],0,1,TRUE)</f>
        <v>0.6940784809255639</v>
      </c>
      <c r="CR36" s="32" t="e" cm="1">
        <f t="array" ref="CR36">IF($CR$3,INDEX(Eu_tabel_g[[#This Row],[Styrke venstre]:[Styrke tosidet]],CR$7),NA())</f>
        <v>#N/A</v>
      </c>
      <c r="CS36" s="52" t="e">
        <f>Eu_tabel_g[[#This Row],[Falsk positiv
Nulhypotese accepteres
Fejltype 1]]</f>
        <v>#N/A</v>
      </c>
      <c r="CT36" s="52" t="e">
        <f>IF(CHOOSE(CR$7,Eu_tabel_g[[#This Row],[x base]]&gt;0,Eu_tabel_g[[#This Row],[x base]]&lt;0,Eu_tabel_g[[#This Row],[x base]]=0),Eu_tabel_g[[#This Row],[Styrke, aktiv]],NA())</f>
        <v>#N/A</v>
      </c>
      <c r="CU36" s="52" t="e">
        <f>IFERROR(IF($CR$3,Eu_tabel_g[[#This Row],[Styrke, aktiv]],NA()),NA())</f>
        <v>#N/A</v>
      </c>
      <c r="CV36" s="52" t="e">
        <f>IF(ISNA(Eu_tabel_g[[#This Row],[Sand negativ
Nulhypotese afvises
Korrekt]]),NA(),IF($CR$3,1,NA()))</f>
        <v>#N/A</v>
      </c>
      <c r="CW36" s="34" t="str" cm="1">
        <f t="array" ref="CW36">_xlfn.SWITCH(BZ36,_xlfn.IFNA(CU$2,-99),CU$5,_xlfn.IFNA(CU$3,-99),CU$6,_xlfn.IFNA(CU$4,-99),CU$7,"")</f>
        <v/>
      </c>
      <c r="DA36" s="7">
        <f t="shared" si="50"/>
        <v>0.8</v>
      </c>
      <c r="DB36">
        <f>IF(ROW(Styrkeberegning_G[[#This Row],[X base venstre]])=ROW(Styrkeberegning_G[[#Headers],[X base venstre]])+1,DB$7/(DA$7/$B$67),DB35/(DA35/$B$67))</f>
        <v>-2.8015817870135784</v>
      </c>
      <c r="DC36">
        <f>Styrkeberegning_G[[#This Row],[X base venstre]]*-1</f>
        <v>2.8015817870135784</v>
      </c>
      <c r="DN36" s="59">
        <f t="shared" si="51"/>
        <v>26</v>
      </c>
      <c r="DO36" s="32">
        <f t="shared" si="52"/>
        <v>27</v>
      </c>
      <c r="DP36" s="59">
        <f t="shared" si="53"/>
        <v>4.7996949314957167</v>
      </c>
      <c r="DQ36" s="59" t="e">
        <f t="shared" si="54"/>
        <v>#N/A</v>
      </c>
      <c r="DR36" s="59" t="e">
        <f t="shared" si="55"/>
        <v>#N/A</v>
      </c>
      <c r="DS36" s="59">
        <f t="shared" si="56"/>
        <v>4.4534758418438077E-2</v>
      </c>
      <c r="DT36" s="59" t="e">
        <f t="shared" si="57"/>
        <v>#N/A</v>
      </c>
      <c r="DU36" s="59" t="b">
        <f t="shared" si="58"/>
        <v>0</v>
      </c>
      <c r="DV36" s="59" t="b">
        <f t="shared" si="59"/>
        <v>1</v>
      </c>
      <c r="DW36" s="59" t="b">
        <f t="shared" si="60"/>
        <v>0</v>
      </c>
      <c r="DX36" s="59" t="b">
        <f t="shared" si="61"/>
        <v>1</v>
      </c>
      <c r="DY36" s="59">
        <f t="shared" si="62"/>
        <v>4.4534758418438077E-2</v>
      </c>
      <c r="DZ36" s="59" t="e">
        <f t="shared" si="63"/>
        <v>#N/A</v>
      </c>
      <c r="EA36" s="59">
        <f t="shared" si="64"/>
        <v>4.4534758418438077E-2</v>
      </c>
      <c r="EB36" s="60" t="str">
        <f t="shared" si="65"/>
        <v/>
      </c>
      <c r="EG36" s="59">
        <f t="shared" si="66"/>
        <v>26</v>
      </c>
      <c r="EH36" s="32">
        <f t="shared" si="67"/>
        <v>27</v>
      </c>
      <c r="EI36" s="59">
        <f t="shared" si="68"/>
        <v>-2.4673947870952309</v>
      </c>
      <c r="EJ36" s="59">
        <f t="shared" si="69"/>
        <v>1.9006826955669413E-2</v>
      </c>
      <c r="EK36" s="59" t="e">
        <f t="shared" si="70"/>
        <v>#N/A</v>
      </c>
      <c r="EL36" s="59" t="e">
        <f t="shared" si="71"/>
        <v>#N/A</v>
      </c>
      <c r="EM36" s="59" t="e">
        <f t="shared" si="72"/>
        <v>#N/A</v>
      </c>
      <c r="EN36" s="59" t="b">
        <f t="shared" si="73"/>
        <v>1</v>
      </c>
      <c r="EO36" s="59" t="b">
        <f t="shared" si="74"/>
        <v>0</v>
      </c>
      <c r="EP36" s="59" t="b">
        <f t="shared" si="75"/>
        <v>1</v>
      </c>
      <c r="EQ36" s="59" t="b">
        <f t="shared" si="76"/>
        <v>0</v>
      </c>
      <c r="ER36" s="59">
        <f t="shared" si="77"/>
        <v>1.9006826955669413E-2</v>
      </c>
      <c r="ES36" s="59">
        <f t="shared" si="78"/>
        <v>1.9006826955669413E-2</v>
      </c>
      <c r="ET36" s="59" t="e">
        <f t="shared" si="79"/>
        <v>#N/A</v>
      </c>
      <c r="EU36" s="60" t="str">
        <f t="shared" si="80"/>
        <v/>
      </c>
      <c r="EV3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6" s="32" t="e" cm="1">
        <f t="array" ref="EY36">IF($CR$3,INDEX(Eu_tabel_a[[#This Row],[Styrke venstre]:[Styrke tosidet]],EY$7),NA())</f>
        <v>#N/A</v>
      </c>
      <c r="EZ36" s="32" t="e">
        <f>IF(EY$3,IF(CHOOSE(EY$7,Eu_tabel_a[[#This Row],[x base]]&gt;0,Eu_tabel_a[[#This Row],[x base]]&lt;0,Eu_tabel_a[[#This Row],[x base]]=0),1,NA()),NA())</f>
        <v>#N/A</v>
      </c>
      <c r="FA36" s="32" t="e">
        <f>IF(CHOOSE(EY$7,Eu_tabel_a[[#This Row],[x base]]&gt;0,Eu_tabel_a[[#This Row],[x base]]&lt;0,Eu_tabel_a[[#This Row],[x base]]=0),Eu_tabel_a[[#This Row],[Styrke, aktiv]],NA())</f>
        <v>#N/A</v>
      </c>
      <c r="FB36" s="32" t="e">
        <f>IFERROR(IF($EY$3,Eu_tabel_a[[#This Row],[Styrke, aktiv]],NA()),NA())</f>
        <v>#N/A</v>
      </c>
      <c r="FC36" s="32" t="e">
        <f>IF(ISNA(Eu_tabel_a[[#This Row],[Sand negativ
Nulhypotese afvises
Korrekt]]),NA(),IF(EY$3,1,NA()))</f>
        <v>#N/A</v>
      </c>
      <c r="FD36" s="33" t="str" cm="1">
        <f t="array" ref="FD36">IFERROR(_xlfn.SWITCH(Eu_tabel_a[[#This Row],[Indeks]],_xlfn.IFNA(FB$2,-99),FB$5,_xlfn.IFNA(FB$3,-99),FB$6,_xlfn.IFNA(FB$4,-99),FB$7,""),"")</f>
        <v/>
      </c>
      <c r="FE36" s="32">
        <f>Eu_tabel_a[[#This Row],[x base]]*SQRT(Eu_a_h0_x*(1-Eu_a_h0_x)/Eu_a_n_x)+Eu_a_h0_x</f>
        <v>0</v>
      </c>
      <c r="FJ36" s="74" t="e">
        <f t="shared" si="18"/>
        <v>#N/A</v>
      </c>
      <c r="FK36" s="82" t="e">
        <f t="shared" si="113"/>
        <v>#DIV/0!</v>
      </c>
      <c r="FL36" s="7" t="e">
        <f t="shared" si="12"/>
        <v>#DIV/0!</v>
      </c>
      <c r="FM36" t="e">
        <f t="shared" si="114"/>
        <v>#DIV/0!</v>
      </c>
      <c r="FN36" s="8" t="e">
        <f t="shared" si="115"/>
        <v>#DIV/0!</v>
      </c>
      <c r="FO36" s="8" t="e">
        <f t="shared" si="116"/>
        <v>#DIV/0!</v>
      </c>
      <c r="FP36" s="81" t="e">
        <f t="shared" si="117"/>
        <v>#DIV/0!</v>
      </c>
      <c r="FQ36" s="74" t="e">
        <f t="shared" ca="1" si="13"/>
        <v>#N/A</v>
      </c>
      <c r="FR36" s="82" t="e" vm="3">
        <f t="shared" ca="1" si="19"/>
        <v>#VALUE!</v>
      </c>
      <c r="FS36" s="7" t="e" vm="3">
        <f t="shared" ca="1" si="14"/>
        <v>#VALUE!</v>
      </c>
      <c r="FT36" t="e" vm="3">
        <f t="shared" ca="1" si="8"/>
        <v>#VALUE!</v>
      </c>
      <c r="FU36" s="8" t="e" vm="3">
        <f t="shared" ca="1" si="9"/>
        <v>#VALUE!</v>
      </c>
      <c r="FV36" s="8" t="e" vm="3">
        <f t="shared" ca="1" si="10"/>
        <v>#VALUE!</v>
      </c>
      <c r="FW36" s="81" t="e" vm="3">
        <f t="shared" ca="1" si="11"/>
        <v>#VALUE!</v>
      </c>
      <c r="FX36" s="74" t="e">
        <f t="shared" si="15"/>
        <v>#N/A</v>
      </c>
      <c r="FY36" s="82" t="e">
        <f t="shared" si="20"/>
        <v>#N/A</v>
      </c>
      <c r="FZ36" s="7" t="e">
        <f t="shared" si="16"/>
        <v>#N/A</v>
      </c>
      <c r="GA36" t="e">
        <f t="shared" si="21"/>
        <v>#N/A</v>
      </c>
      <c r="GB36" s="8" t="e">
        <f t="shared" si="22"/>
        <v>#N/A</v>
      </c>
      <c r="GC36" s="8" t="e">
        <f t="shared" si="23"/>
        <v>#N/A</v>
      </c>
      <c r="GD36" s="81" t="e">
        <f t="shared" si="24"/>
        <v>#N/A</v>
      </c>
      <c r="GE36" s="74" t="e">
        <f t="shared" si="25"/>
        <v>#N/A</v>
      </c>
      <c r="GF36" s="82" t="e">
        <f t="shared" si="26"/>
        <v>#N/A</v>
      </c>
      <c r="GG36" s="7" t="e">
        <f t="shared" si="17"/>
        <v>#N/A</v>
      </c>
      <c r="GH36" t="e">
        <f t="shared" si="27"/>
        <v>#N/A</v>
      </c>
      <c r="GI36" s="8" t="e">
        <f t="shared" si="28"/>
        <v>#N/A</v>
      </c>
      <c r="GJ36" s="8" t="e">
        <f t="shared" si="29"/>
        <v>#N/A</v>
      </c>
      <c r="GK36" s="81" t="e">
        <f t="shared" si="30"/>
        <v>#N/A</v>
      </c>
      <c r="GL36" s="81"/>
      <c r="GM36" s="81"/>
      <c r="GP36" s="59">
        <f t="shared" si="81"/>
        <v>26</v>
      </c>
      <c r="GQ36" s="32">
        <f t="shared" si="82"/>
        <v>27</v>
      </c>
      <c r="GR36" s="59">
        <f t="shared" si="83"/>
        <v>-2.4673947870952309</v>
      </c>
      <c r="GS36" s="59">
        <f t="shared" si="84"/>
        <v>1.9006826955669413E-2</v>
      </c>
      <c r="GT36" s="59" t="e">
        <f t="shared" si="85"/>
        <v>#N/A</v>
      </c>
      <c r="GU36" s="59" t="e">
        <f t="shared" si="86"/>
        <v>#N/A</v>
      </c>
      <c r="GV36" s="59" t="e">
        <f t="shared" si="87"/>
        <v>#N/A</v>
      </c>
      <c r="GW36" s="59" t="b">
        <f t="shared" si="88"/>
        <v>1</v>
      </c>
      <c r="GX36" s="59" t="b">
        <f t="shared" si="89"/>
        <v>0</v>
      </c>
      <c r="GY36" s="59" t="b">
        <f t="shared" si="90"/>
        <v>1</v>
      </c>
      <c r="GZ36" s="59" t="b">
        <f t="shared" si="91"/>
        <v>0</v>
      </c>
      <c r="HA36" s="59">
        <f t="shared" si="92"/>
        <v>1.9006826955669413E-2</v>
      </c>
      <c r="HB36" s="59">
        <f t="shared" si="93"/>
        <v>1.9006826955669413E-2</v>
      </c>
      <c r="HC36" s="59" t="e">
        <f t="shared" si="94"/>
        <v>#N/A</v>
      </c>
      <c r="HD36" s="60" t="str">
        <f t="shared" si="95"/>
        <v/>
      </c>
      <c r="HJ36" s="59">
        <f t="shared" si="96"/>
        <v>26</v>
      </c>
      <c r="HK36" s="32">
        <f t="shared" si="97"/>
        <v>27</v>
      </c>
      <c r="HL36" s="59">
        <f t="shared" si="98"/>
        <v>-3.8208126492228551</v>
      </c>
      <c r="HM36" s="59" t="e">
        <f t="shared" si="99"/>
        <v>#N/A</v>
      </c>
      <c r="HN36" s="59">
        <f t="shared" si="100"/>
        <v>4.2475655672530406E-3</v>
      </c>
      <c r="HO36" s="59" t="e">
        <f t="shared" si="101"/>
        <v>#N/A</v>
      </c>
      <c r="HP36" s="59" t="e">
        <f t="shared" si="102"/>
        <v>#N/A</v>
      </c>
      <c r="HQ36" s="59" t="b">
        <f t="shared" si="103"/>
        <v>1</v>
      </c>
      <c r="HR36" s="59" t="b">
        <f t="shared" si="104"/>
        <v>0</v>
      </c>
      <c r="HS36" s="59" t="b">
        <f t="shared" si="105"/>
        <v>1</v>
      </c>
      <c r="HT36" s="59" t="b">
        <f t="shared" si="106"/>
        <v>0</v>
      </c>
      <c r="HU36" s="59">
        <f t="shared" si="107"/>
        <v>4.2475655672530406E-3</v>
      </c>
      <c r="HV36" s="59">
        <f t="shared" si="108"/>
        <v>4.2475655672530406E-3</v>
      </c>
      <c r="HW36" s="59" t="e">
        <f t="shared" si="109"/>
        <v>#N/A</v>
      </c>
      <c r="HX36" s="60" t="str">
        <f t="shared" si="110"/>
        <v/>
      </c>
    </row>
    <row r="37" spans="1:232" x14ac:dyDescent="0.2">
      <c r="A37" s="40" t="str">
        <v>Standardafvigelse i populationen er ikke kendt</v>
      </c>
      <c r="B37" s="39"/>
      <c r="C37" s="38" t="str">
        <v>Skal vurderes</v>
      </c>
      <c r="E37" s="53" t="str">
        <v>Beregningsmetode</v>
      </c>
      <c r="F37" s="88" t="str">
        <v>Normalfordeling</v>
      </c>
      <c r="H37" s="40"/>
      <c r="I37" s="39"/>
      <c r="J37" s="38"/>
      <c r="L37" s="53" t="str">
        <v>Beregningsmetode</v>
      </c>
      <c r="M37" s="54" t="str">
        <v>Chi-i-anden-fordeling</v>
      </c>
      <c r="N37" s="64"/>
      <c r="O37" s="40"/>
      <c r="P37" s="39"/>
      <c r="Q37" s="38"/>
      <c r="S37" s="53" t="str">
        <v>Beregningsmetode</v>
      </c>
      <c r="T37" s="54" t="str">
        <v>Normalfordeling</v>
      </c>
      <c r="V37" s="40"/>
      <c r="W37" s="39"/>
      <c r="X37" s="38"/>
      <c r="Z37" s="53" t="str">
        <v>Beregningsmetode</v>
      </c>
      <c r="AA37" s="54" t="str">
        <v>Normalfordeling</v>
      </c>
      <c r="AC37" s="40"/>
      <c r="AD37" s="39"/>
      <c r="AE37" s="38"/>
      <c r="AG37" s="53" t="str">
        <v>Beregningsmetode</v>
      </c>
      <c r="AH37" s="54" t="str">
        <v>t-fordeling</v>
      </c>
      <c r="BE37" s="53"/>
      <c r="BJ37" s="53" t="s">
        <v>326</v>
      </c>
      <c r="BL37" s="53" t="s">
        <v>249</v>
      </c>
      <c r="BM37" s="86" t="e" cm="1">
        <f t="array" ref="BM37">IF(NOT($BH$2),INDEX(E_a_valg[Fordeling],E_a_aktiv),NA())</f>
        <v>#N/A</v>
      </c>
      <c r="BZ37" s="59">
        <f t="shared" si="36"/>
        <v>27</v>
      </c>
      <c r="CA37" s="32">
        <f>Eu_tabel_g[[#This Row],[Indeks]]+1</f>
        <v>28</v>
      </c>
      <c r="CB37" s="59">
        <f t="shared" si="37"/>
        <v>-2.4434394979001315</v>
      </c>
      <c r="CC37" s="59">
        <f t="shared" si="38"/>
        <v>2.0158347202276675E-2</v>
      </c>
      <c r="CD37" s="59" t="e">
        <f t="shared" si="39"/>
        <v>#N/A</v>
      </c>
      <c r="CE37" s="59" t="e">
        <f t="shared" si="40"/>
        <v>#N/A</v>
      </c>
      <c r="CF37" s="59" t="e">
        <f t="shared" si="41"/>
        <v>#N/A</v>
      </c>
      <c r="CG37" s="59" t="b">
        <f t="shared" si="42"/>
        <v>1</v>
      </c>
      <c r="CH37" s="59" t="b">
        <f t="shared" si="43"/>
        <v>0</v>
      </c>
      <c r="CI37" s="59" t="b">
        <f t="shared" si="44"/>
        <v>1</v>
      </c>
      <c r="CJ37" s="59" t="b">
        <f t="shared" si="45"/>
        <v>0</v>
      </c>
      <c r="CK37" s="59">
        <f t="shared" si="118"/>
        <v>2.0158347202276675E-2</v>
      </c>
      <c r="CL37" s="59">
        <f t="shared" si="47"/>
        <v>2.0158347202276675E-2</v>
      </c>
      <c r="CM37" s="59" t="e">
        <f t="shared" si="48"/>
        <v>#N/A</v>
      </c>
      <c r="CN37" s="60" t="str">
        <f t="shared" si="49"/>
        <v/>
      </c>
      <c r="CO37" s="32">
        <f>_xlfn.NORM.DIST(_xlfn.NORM.INV(1-Eu_g_konfidensniveau,0,1)-Eu_tabel_g[[#This Row],[x base]],0,1,TRUE)</f>
        <v>0.78773470849961547</v>
      </c>
      <c r="CP37" s="32">
        <f>1-_xlfn.NORM.DIST(_xlfn.NORM.INV(Eu_g_konfidensniveau,0,1)-Eu_tabel_g[[#This Row],[x base]],0,1,TRUE)</f>
        <v>2.1727941800664397E-5</v>
      </c>
      <c r="CQ37" s="32">
        <f>_xlfn.NORM.DIST(_xlfn.NORM.INV((1-Eu_g_konfidensniveau)/2,0,1)-Eu_tabel_g[[#This Row],[x base]],0,1,TRUE)+1-_xlfn.NORM.DIST(_xlfn.NORM.INV(1-(1-Eu_g_konfidensniveau)/2,0,1)-Eu_tabel_g[[#This Row],[x base]],0,1,TRUE)</f>
        <v>0.68562625721916726</v>
      </c>
      <c r="CR37" s="32" t="e" cm="1">
        <f t="array" ref="CR37">IF($CR$3,INDEX(Eu_tabel_g[[#This Row],[Styrke venstre]:[Styrke tosidet]],CR$7),NA())</f>
        <v>#N/A</v>
      </c>
      <c r="CS37" s="52" t="e">
        <f>Eu_tabel_g[[#This Row],[Falsk positiv
Nulhypotese accepteres
Fejltype 1]]</f>
        <v>#N/A</v>
      </c>
      <c r="CT37" s="52" t="e">
        <f>IF(CHOOSE(CR$7,Eu_tabel_g[[#This Row],[x base]]&gt;0,Eu_tabel_g[[#This Row],[x base]]&lt;0,Eu_tabel_g[[#This Row],[x base]]=0),Eu_tabel_g[[#This Row],[Styrke, aktiv]],NA())</f>
        <v>#N/A</v>
      </c>
      <c r="CU37" s="52" t="e">
        <f>IFERROR(IF($CR$3,Eu_tabel_g[[#This Row],[Styrke, aktiv]],NA()),NA())</f>
        <v>#N/A</v>
      </c>
      <c r="CV37" s="52" t="e">
        <f>IF(ISNA(Eu_tabel_g[[#This Row],[Sand negativ
Nulhypotese afvises
Korrekt]]),NA(),IF($CR$3,1,NA()))</f>
        <v>#N/A</v>
      </c>
      <c r="CW37" s="34" t="str" cm="1">
        <f t="array" ref="CW37">_xlfn.SWITCH(BZ37,_xlfn.IFNA(CU$2,-99),CU$5,_xlfn.IFNA(CU$3,-99),CU$6,_xlfn.IFNA(CU$4,-99),CU$7,"")</f>
        <v/>
      </c>
      <c r="DA37" s="7">
        <f t="shared" si="50"/>
        <v>0.8</v>
      </c>
      <c r="DB37">
        <f>IF(ROW(Styrkeberegning_G[[#This Row],[X base venstre]])=ROW(Styrkeberegning_G[[#Headers],[X base venstre]])+1,DB$7/(DA$7/$B$67),DB36/(DA36/$B$67))</f>
        <v>-2.8015817870135784</v>
      </c>
      <c r="DC37">
        <f>Styrkeberegning_G[[#This Row],[X base venstre]]*-1</f>
        <v>2.8015817870135784</v>
      </c>
      <c r="DN37" s="59">
        <f t="shared" si="51"/>
        <v>27</v>
      </c>
      <c r="DO37" s="32">
        <f t="shared" si="52"/>
        <v>28</v>
      </c>
      <c r="DP37" s="59">
        <f t="shared" si="53"/>
        <v>4.913765787912717</v>
      </c>
      <c r="DQ37" s="59" t="e">
        <f t="shared" si="54"/>
        <v>#N/A</v>
      </c>
      <c r="DR37" s="59" t="e">
        <f t="shared" si="55"/>
        <v>#N/A</v>
      </c>
      <c r="DS37" s="59">
        <f t="shared" si="56"/>
        <v>4.6755489566712091E-2</v>
      </c>
      <c r="DT37" s="59" t="e">
        <f t="shared" si="57"/>
        <v>#N/A</v>
      </c>
      <c r="DU37" s="59" t="b">
        <f t="shared" si="58"/>
        <v>0</v>
      </c>
      <c r="DV37" s="59" t="b">
        <f t="shared" si="59"/>
        <v>1</v>
      </c>
      <c r="DW37" s="59" t="b">
        <f t="shared" si="60"/>
        <v>0</v>
      </c>
      <c r="DX37" s="59" t="b">
        <f t="shared" si="61"/>
        <v>1</v>
      </c>
      <c r="DY37" s="59">
        <f t="shared" si="62"/>
        <v>4.6755489566712091E-2</v>
      </c>
      <c r="DZ37" s="59" t="e">
        <f t="shared" si="63"/>
        <v>#N/A</v>
      </c>
      <c r="EA37" s="59">
        <f t="shared" si="64"/>
        <v>4.6755489566712091E-2</v>
      </c>
      <c r="EB37" s="60" t="str">
        <f t="shared" si="65"/>
        <v/>
      </c>
      <c r="EG37" s="59">
        <f t="shared" si="66"/>
        <v>27</v>
      </c>
      <c r="EH37" s="32">
        <f t="shared" si="67"/>
        <v>28</v>
      </c>
      <c r="EI37" s="59">
        <f t="shared" si="68"/>
        <v>-2.4434394979001315</v>
      </c>
      <c r="EJ37" s="59">
        <f t="shared" si="69"/>
        <v>2.0158347202276675E-2</v>
      </c>
      <c r="EK37" s="59" t="e">
        <f t="shared" si="70"/>
        <v>#N/A</v>
      </c>
      <c r="EL37" s="59" t="e">
        <f t="shared" si="71"/>
        <v>#N/A</v>
      </c>
      <c r="EM37" s="59" t="e">
        <f t="shared" si="72"/>
        <v>#N/A</v>
      </c>
      <c r="EN37" s="59" t="b">
        <f t="shared" si="73"/>
        <v>1</v>
      </c>
      <c r="EO37" s="59" t="b">
        <f t="shared" si="74"/>
        <v>0</v>
      </c>
      <c r="EP37" s="59" t="b">
        <f t="shared" si="75"/>
        <v>1</v>
      </c>
      <c r="EQ37" s="59" t="b">
        <f t="shared" si="76"/>
        <v>0</v>
      </c>
      <c r="ER37" s="59">
        <f t="shared" si="77"/>
        <v>2.0158347202276675E-2</v>
      </c>
      <c r="ES37" s="59">
        <f t="shared" si="78"/>
        <v>2.0158347202276675E-2</v>
      </c>
      <c r="ET37" s="59" t="e">
        <f t="shared" si="79"/>
        <v>#N/A</v>
      </c>
      <c r="EU37" s="60" t="str">
        <f t="shared" si="80"/>
        <v/>
      </c>
      <c r="EV3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7" s="32" t="e" cm="1">
        <f t="array" ref="EY37">IF($CR$3,INDEX(Eu_tabel_a[[#This Row],[Styrke venstre]:[Styrke tosidet]],EY$7),NA())</f>
        <v>#N/A</v>
      </c>
      <c r="EZ37" s="32" t="e">
        <f>IF(EY$3,IF(CHOOSE(EY$7,Eu_tabel_a[[#This Row],[x base]]&gt;0,Eu_tabel_a[[#This Row],[x base]]&lt;0,Eu_tabel_a[[#This Row],[x base]]=0),1,NA()),NA())</f>
        <v>#N/A</v>
      </c>
      <c r="FA37" s="32" t="e">
        <f>IF(CHOOSE(EY$7,Eu_tabel_a[[#This Row],[x base]]&gt;0,Eu_tabel_a[[#This Row],[x base]]&lt;0,Eu_tabel_a[[#This Row],[x base]]=0),Eu_tabel_a[[#This Row],[Styrke, aktiv]],NA())</f>
        <v>#N/A</v>
      </c>
      <c r="FB37" s="32" t="e">
        <f>IFERROR(IF($EY$3,Eu_tabel_a[[#This Row],[Styrke, aktiv]],NA()),NA())</f>
        <v>#N/A</v>
      </c>
      <c r="FC37" s="32" t="e">
        <f>IF(ISNA(Eu_tabel_a[[#This Row],[Sand negativ
Nulhypotese afvises
Korrekt]]),NA(),IF(EY$3,1,NA()))</f>
        <v>#N/A</v>
      </c>
      <c r="FD37" s="33" t="str" cm="1">
        <f t="array" ref="FD37">IFERROR(_xlfn.SWITCH(Eu_tabel_a[[#This Row],[Indeks]],_xlfn.IFNA(FB$2,-99),FB$5,_xlfn.IFNA(FB$3,-99),FB$6,_xlfn.IFNA(FB$4,-99),FB$7,""),"")</f>
        <v/>
      </c>
      <c r="FE37" s="32">
        <f>Eu_tabel_a[[#This Row],[x base]]*SQRT(Eu_a_h0_x*(1-Eu_a_h0_x)/Eu_a_n_x)+Eu_a_h0_x</f>
        <v>0</v>
      </c>
      <c r="FJ37" s="74" t="e">
        <f t="shared" si="18"/>
        <v>#N/A</v>
      </c>
      <c r="FK37" s="82" t="e">
        <f t="shared" si="113"/>
        <v>#DIV/0!</v>
      </c>
      <c r="FL37" s="7" t="e">
        <f t="shared" si="12"/>
        <v>#DIV/0!</v>
      </c>
      <c r="FM37" t="e">
        <f t="shared" si="114"/>
        <v>#DIV/0!</v>
      </c>
      <c r="FN37" s="8" t="e">
        <f t="shared" si="115"/>
        <v>#DIV/0!</v>
      </c>
      <c r="FO37" s="8" t="e">
        <f t="shared" si="116"/>
        <v>#DIV/0!</v>
      </c>
      <c r="FP37" s="81" t="e">
        <f t="shared" si="117"/>
        <v>#DIV/0!</v>
      </c>
      <c r="FQ37" s="74" t="e">
        <f t="shared" ca="1" si="13"/>
        <v>#N/A</v>
      </c>
      <c r="FR37" s="82" t="e" vm="3">
        <f t="shared" ca="1" si="19"/>
        <v>#VALUE!</v>
      </c>
      <c r="FS37" s="7" t="e" vm="3">
        <f t="shared" ca="1" si="14"/>
        <v>#VALUE!</v>
      </c>
      <c r="FT37" t="e" vm="3">
        <f t="shared" ca="1" si="8"/>
        <v>#VALUE!</v>
      </c>
      <c r="FU37" s="8" t="e" vm="3">
        <f t="shared" ca="1" si="9"/>
        <v>#VALUE!</v>
      </c>
      <c r="FV37" s="8" t="e" vm="3">
        <f t="shared" ca="1" si="10"/>
        <v>#VALUE!</v>
      </c>
      <c r="FW37" s="81" t="e" vm="3">
        <f t="shared" ca="1" si="11"/>
        <v>#VALUE!</v>
      </c>
      <c r="FX37" s="74" t="e">
        <f t="shared" si="15"/>
        <v>#N/A</v>
      </c>
      <c r="FY37" s="82" t="e">
        <f t="shared" si="20"/>
        <v>#N/A</v>
      </c>
      <c r="FZ37" s="7" t="e">
        <f t="shared" si="16"/>
        <v>#N/A</v>
      </c>
      <c r="GA37" t="e">
        <f t="shared" si="21"/>
        <v>#N/A</v>
      </c>
      <c r="GB37" s="8" t="e">
        <f t="shared" si="22"/>
        <v>#N/A</v>
      </c>
      <c r="GC37" s="8" t="e">
        <f t="shared" si="23"/>
        <v>#N/A</v>
      </c>
      <c r="GD37" s="81" t="e">
        <f t="shared" si="24"/>
        <v>#N/A</v>
      </c>
      <c r="GE37" s="74" t="e">
        <f t="shared" si="25"/>
        <v>#N/A</v>
      </c>
      <c r="GF37" s="82" t="e">
        <f t="shared" si="26"/>
        <v>#N/A</v>
      </c>
      <c r="GG37" s="7" t="e">
        <f t="shared" si="17"/>
        <v>#N/A</v>
      </c>
      <c r="GH37" t="e">
        <f t="shared" si="27"/>
        <v>#N/A</v>
      </c>
      <c r="GI37" s="8" t="e">
        <f t="shared" si="28"/>
        <v>#N/A</v>
      </c>
      <c r="GJ37" s="8" t="e">
        <f t="shared" si="29"/>
        <v>#N/A</v>
      </c>
      <c r="GK37" s="81" t="e">
        <f t="shared" si="30"/>
        <v>#N/A</v>
      </c>
      <c r="GL37" s="81"/>
      <c r="GM37" s="81"/>
      <c r="GP37" s="59">
        <f t="shared" si="81"/>
        <v>27</v>
      </c>
      <c r="GQ37" s="32">
        <f t="shared" si="82"/>
        <v>28</v>
      </c>
      <c r="GR37" s="59">
        <f t="shared" si="83"/>
        <v>-2.4434394979001315</v>
      </c>
      <c r="GS37" s="59">
        <f t="shared" si="84"/>
        <v>2.0158347202276675E-2</v>
      </c>
      <c r="GT37" s="59" t="e">
        <f t="shared" si="85"/>
        <v>#N/A</v>
      </c>
      <c r="GU37" s="59" t="e">
        <f t="shared" si="86"/>
        <v>#N/A</v>
      </c>
      <c r="GV37" s="59" t="e">
        <f t="shared" si="87"/>
        <v>#N/A</v>
      </c>
      <c r="GW37" s="59" t="b">
        <f t="shared" si="88"/>
        <v>1</v>
      </c>
      <c r="GX37" s="59" t="b">
        <f t="shared" si="89"/>
        <v>0</v>
      </c>
      <c r="GY37" s="59" t="b">
        <f t="shared" si="90"/>
        <v>1</v>
      </c>
      <c r="GZ37" s="59" t="b">
        <f t="shared" si="91"/>
        <v>0</v>
      </c>
      <c r="HA37" s="59">
        <f t="shared" si="92"/>
        <v>2.0158347202276675E-2</v>
      </c>
      <c r="HB37" s="59">
        <f t="shared" si="93"/>
        <v>2.0158347202276675E-2</v>
      </c>
      <c r="HC37" s="59" t="e">
        <f t="shared" si="94"/>
        <v>#N/A</v>
      </c>
      <c r="HD37" s="60" t="str">
        <f t="shared" si="95"/>
        <v/>
      </c>
      <c r="HJ37" s="59">
        <f t="shared" si="96"/>
        <v>27</v>
      </c>
      <c r="HK37" s="32">
        <f t="shared" si="97"/>
        <v>28</v>
      </c>
      <c r="HL37" s="59">
        <f t="shared" si="98"/>
        <v>-3.7837173807837985</v>
      </c>
      <c r="HM37" s="59" t="e">
        <f t="shared" si="99"/>
        <v>#N/A</v>
      </c>
      <c r="HN37" s="59">
        <f t="shared" si="100"/>
        <v>4.4769088118036685E-3</v>
      </c>
      <c r="HO37" s="59" t="e">
        <f t="shared" si="101"/>
        <v>#N/A</v>
      </c>
      <c r="HP37" s="59" t="e">
        <f t="shared" si="102"/>
        <v>#N/A</v>
      </c>
      <c r="HQ37" s="59" t="b">
        <f t="shared" si="103"/>
        <v>1</v>
      </c>
      <c r="HR37" s="59" t="b">
        <f t="shared" si="104"/>
        <v>0</v>
      </c>
      <c r="HS37" s="59" t="b">
        <f t="shared" si="105"/>
        <v>1</v>
      </c>
      <c r="HT37" s="59" t="b">
        <f t="shared" si="106"/>
        <v>0</v>
      </c>
      <c r="HU37" s="59">
        <f t="shared" si="107"/>
        <v>4.4769088118036685E-3</v>
      </c>
      <c r="HV37" s="59">
        <f t="shared" si="108"/>
        <v>4.4769088118036685E-3</v>
      </c>
      <c r="HW37" s="59" t="e">
        <f t="shared" si="109"/>
        <v>#N/A</v>
      </c>
      <c r="HX37" s="60" t="str">
        <f t="shared" si="110"/>
        <v/>
      </c>
    </row>
    <row r="38" spans="1:232" x14ac:dyDescent="0.2">
      <c r="A38" s="40"/>
      <c r="B38" s="39"/>
      <c r="C38" s="38"/>
      <c r="E38" s="53" t="str">
        <v>Konfidensniveau</v>
      </c>
      <c r="F38" s="63">
        <v>0.95</v>
      </c>
      <c r="H38" s="40"/>
      <c r="I38" s="39"/>
      <c r="J38" s="38"/>
      <c r="L38" s="53" t="str">
        <v>Konfidensniveau</v>
      </c>
      <c r="M38" s="56">
        <v>0.95</v>
      </c>
      <c r="N38" s="64"/>
      <c r="O38" s="40"/>
      <c r="P38" s="39"/>
      <c r="Q38" s="38"/>
      <c r="S38" s="53" t="str">
        <v>Konfidensniveau</v>
      </c>
      <c r="T38" s="73">
        <v>0.95</v>
      </c>
      <c r="V38" s="40"/>
      <c r="W38" s="39"/>
      <c r="X38" s="38"/>
      <c r="Z38" s="53" t="str">
        <v>Konfidensniveau</v>
      </c>
      <c r="AA38" s="73">
        <v>0.95</v>
      </c>
      <c r="AC38" s="40"/>
      <c r="AD38" s="39"/>
      <c r="AE38" s="38"/>
      <c r="AG38" s="53" t="str">
        <v>Konfidensniveau</v>
      </c>
      <c r="AH38" s="73">
        <v>0.95</v>
      </c>
      <c r="BE38" s="53"/>
      <c r="BJ38" s="57" t="e" cm="1">
        <f t="array" ref="BJ38">OR(AD42=_xlfn.ANCHORARRAY(#REF!))</f>
        <v>#REF!</v>
      </c>
      <c r="BL38" s="53" t="s">
        <v>250</v>
      </c>
      <c r="BM38" s="86" t="e" cm="1">
        <f t="array" ref="BM38">IF(NOT($BH$2),INDEX(E_a_valg[Parameter 1],E_a_aktiv),NA())</f>
        <v>#N/A</v>
      </c>
      <c r="BZ38" s="59">
        <f t="shared" si="36"/>
        <v>28</v>
      </c>
      <c r="CA38" s="32">
        <f>Eu_tabel_g[[#This Row],[Indeks]]+1</f>
        <v>29</v>
      </c>
      <c r="CB38" s="59">
        <f t="shared" si="37"/>
        <v>-2.4194842087050321</v>
      </c>
      <c r="CC38" s="59">
        <f t="shared" si="38"/>
        <v>2.1367366488433549E-2</v>
      </c>
      <c r="CD38" s="59" t="e">
        <f t="shared" si="39"/>
        <v>#N/A</v>
      </c>
      <c r="CE38" s="59" t="e">
        <f t="shared" si="40"/>
        <v>#N/A</v>
      </c>
      <c r="CF38" s="59" t="e">
        <f t="shared" si="41"/>
        <v>#N/A</v>
      </c>
      <c r="CG38" s="59" t="b">
        <f t="shared" si="42"/>
        <v>1</v>
      </c>
      <c r="CH38" s="59" t="b">
        <f t="shared" si="43"/>
        <v>0</v>
      </c>
      <c r="CI38" s="59" t="b">
        <f t="shared" si="44"/>
        <v>1</v>
      </c>
      <c r="CJ38" s="59" t="b">
        <f t="shared" si="45"/>
        <v>0</v>
      </c>
      <c r="CK38" s="59">
        <f t="shared" si="118"/>
        <v>2.1367366488433549E-2</v>
      </c>
      <c r="CL38" s="59">
        <f t="shared" si="47"/>
        <v>2.1367366488433549E-2</v>
      </c>
      <c r="CM38" s="59" t="e">
        <f t="shared" si="48"/>
        <v>#N/A</v>
      </c>
      <c r="CN38" s="60" t="str">
        <f t="shared" si="49"/>
        <v/>
      </c>
      <c r="CO38" s="32">
        <f>_xlfn.NORM.DIST(_xlfn.NORM.INV(1-Eu_g_konfidensniveau,0,1)-Eu_tabel_g[[#This Row],[x base]],0,1,TRUE)</f>
        <v>0.78072100945750522</v>
      </c>
      <c r="CP38" s="32">
        <f>1-_xlfn.NORM.DIST(_xlfn.NORM.INV(Eu_g_konfidensniveau,0,1)-Eu_tabel_g[[#This Row],[x base]],0,1,TRUE)</f>
        <v>2.4084507387889253E-5</v>
      </c>
      <c r="CQ38" s="32">
        <f>_xlfn.NORM.DIST(_xlfn.NORM.INV((1-Eu_g_konfidensniveau)/2,0,1)-Eu_tabel_g[[#This Row],[x base]],0,1,TRUE)+1-_xlfn.NORM.DIST(_xlfn.NORM.INV(1-(1-Eu_g_konfidensniveau)/2,0,1)-Eu_tabel_g[[#This Row],[x base]],0,1,TRUE)</f>
        <v>0.67707563287535322</v>
      </c>
      <c r="CR38" s="32" t="e" cm="1">
        <f t="array" ref="CR38">IF($CR$3,INDEX(Eu_tabel_g[[#This Row],[Styrke venstre]:[Styrke tosidet]],CR$7),NA())</f>
        <v>#N/A</v>
      </c>
      <c r="CS38" s="52" t="e">
        <f>Eu_tabel_g[[#This Row],[Falsk positiv
Nulhypotese accepteres
Fejltype 1]]</f>
        <v>#N/A</v>
      </c>
      <c r="CT38" s="52" t="e">
        <f>IF(CHOOSE(CR$7,Eu_tabel_g[[#This Row],[x base]]&gt;0,Eu_tabel_g[[#This Row],[x base]]&lt;0,Eu_tabel_g[[#This Row],[x base]]=0),Eu_tabel_g[[#This Row],[Styrke, aktiv]],NA())</f>
        <v>#N/A</v>
      </c>
      <c r="CU38" s="52" t="e">
        <f>IFERROR(IF($CR$3,Eu_tabel_g[[#This Row],[Styrke, aktiv]],NA()),NA())</f>
        <v>#N/A</v>
      </c>
      <c r="CV38" s="52" t="e">
        <f>IF(ISNA(Eu_tabel_g[[#This Row],[Sand negativ
Nulhypotese afvises
Korrekt]]),NA(),IF($CR$3,1,NA()))</f>
        <v>#N/A</v>
      </c>
      <c r="CW38" s="34" t="str" cm="1">
        <f t="array" ref="CW38">_xlfn.SWITCH(BZ38,_xlfn.IFNA(CU$2,-99),CU$5,_xlfn.IFNA(CU$3,-99),CU$6,_xlfn.IFNA(CU$4,-99),CU$7,"")</f>
        <v/>
      </c>
      <c r="DA38" s="7">
        <f t="shared" si="50"/>
        <v>0.8</v>
      </c>
      <c r="DB38">
        <f>IF(ROW(Styrkeberegning_G[[#This Row],[X base venstre]])=ROW(Styrkeberegning_G[[#Headers],[X base venstre]])+1,DB$7/(DA$7/$B$67),DB37/(DA37/$B$67))</f>
        <v>-2.8015817870135784</v>
      </c>
      <c r="DC38">
        <f>Styrkeberegning_G[[#This Row],[X base venstre]]*-1</f>
        <v>2.8015817870135784</v>
      </c>
      <c r="DN38" s="59">
        <f t="shared" si="51"/>
        <v>28</v>
      </c>
      <c r="DO38" s="32">
        <f t="shared" si="52"/>
        <v>29</v>
      </c>
      <c r="DP38" s="59">
        <f t="shared" si="53"/>
        <v>5.0278366443297182</v>
      </c>
      <c r="DQ38" s="59" t="e">
        <f t="shared" si="54"/>
        <v>#N/A</v>
      </c>
      <c r="DR38" s="59" t="e">
        <f t="shared" si="55"/>
        <v>#N/A</v>
      </c>
      <c r="DS38" s="59">
        <f t="shared" si="56"/>
        <v>4.8968028259221252E-2</v>
      </c>
      <c r="DT38" s="59" t="e">
        <f t="shared" si="57"/>
        <v>#N/A</v>
      </c>
      <c r="DU38" s="59" t="b">
        <f t="shared" si="58"/>
        <v>0</v>
      </c>
      <c r="DV38" s="59" t="b">
        <f t="shared" si="59"/>
        <v>1</v>
      </c>
      <c r="DW38" s="59" t="b">
        <f t="shared" si="60"/>
        <v>0</v>
      </c>
      <c r="DX38" s="59" t="b">
        <f t="shared" si="61"/>
        <v>1</v>
      </c>
      <c r="DY38" s="59">
        <f t="shared" si="62"/>
        <v>4.8968028259221252E-2</v>
      </c>
      <c r="DZ38" s="59" t="e">
        <f t="shared" si="63"/>
        <v>#N/A</v>
      </c>
      <c r="EA38" s="59">
        <f t="shared" si="64"/>
        <v>4.8968028259221252E-2</v>
      </c>
      <c r="EB38" s="60" t="str">
        <f t="shared" si="65"/>
        <v/>
      </c>
      <c r="EG38" s="59">
        <f t="shared" si="66"/>
        <v>28</v>
      </c>
      <c r="EH38" s="32">
        <f t="shared" si="67"/>
        <v>29</v>
      </c>
      <c r="EI38" s="59">
        <f t="shared" si="68"/>
        <v>-2.4194842087050321</v>
      </c>
      <c r="EJ38" s="59">
        <f t="shared" si="69"/>
        <v>2.1367366488433549E-2</v>
      </c>
      <c r="EK38" s="59" t="e">
        <f t="shared" si="70"/>
        <v>#N/A</v>
      </c>
      <c r="EL38" s="59" t="e">
        <f t="shared" si="71"/>
        <v>#N/A</v>
      </c>
      <c r="EM38" s="59" t="e">
        <f t="shared" si="72"/>
        <v>#N/A</v>
      </c>
      <c r="EN38" s="59" t="b">
        <f t="shared" si="73"/>
        <v>1</v>
      </c>
      <c r="EO38" s="59" t="b">
        <f t="shared" si="74"/>
        <v>0</v>
      </c>
      <c r="EP38" s="59" t="b">
        <f t="shared" si="75"/>
        <v>1</v>
      </c>
      <c r="EQ38" s="59" t="b">
        <f t="shared" si="76"/>
        <v>0</v>
      </c>
      <c r="ER38" s="59">
        <f t="shared" si="77"/>
        <v>2.1367366488433549E-2</v>
      </c>
      <c r="ES38" s="59">
        <f t="shared" si="78"/>
        <v>2.1367366488433549E-2</v>
      </c>
      <c r="ET38" s="59" t="e">
        <f t="shared" si="79"/>
        <v>#N/A</v>
      </c>
      <c r="EU38" s="60" t="str">
        <f t="shared" si="80"/>
        <v/>
      </c>
      <c r="EV3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8" s="32" t="e" cm="1">
        <f t="array" ref="EY38">IF($CR$3,INDEX(Eu_tabel_a[[#This Row],[Styrke venstre]:[Styrke tosidet]],EY$7),NA())</f>
        <v>#N/A</v>
      </c>
      <c r="EZ38" s="32" t="e">
        <f>IF(EY$3,IF(CHOOSE(EY$7,Eu_tabel_a[[#This Row],[x base]]&gt;0,Eu_tabel_a[[#This Row],[x base]]&lt;0,Eu_tabel_a[[#This Row],[x base]]=0),1,NA()),NA())</f>
        <v>#N/A</v>
      </c>
      <c r="FA38" s="32" t="e">
        <f>IF(CHOOSE(EY$7,Eu_tabel_a[[#This Row],[x base]]&gt;0,Eu_tabel_a[[#This Row],[x base]]&lt;0,Eu_tabel_a[[#This Row],[x base]]=0),Eu_tabel_a[[#This Row],[Styrke, aktiv]],NA())</f>
        <v>#N/A</v>
      </c>
      <c r="FB38" s="32" t="e">
        <f>IFERROR(IF($EY$3,Eu_tabel_a[[#This Row],[Styrke, aktiv]],NA()),NA())</f>
        <v>#N/A</v>
      </c>
      <c r="FC38" s="32" t="e">
        <f>IF(ISNA(Eu_tabel_a[[#This Row],[Sand negativ
Nulhypotese afvises
Korrekt]]),NA(),IF(EY$3,1,NA()))</f>
        <v>#N/A</v>
      </c>
      <c r="FD38" s="33" t="str" cm="1">
        <f t="array" ref="FD38">IFERROR(_xlfn.SWITCH(Eu_tabel_a[[#This Row],[Indeks]],_xlfn.IFNA(FB$2,-99),FB$5,_xlfn.IFNA(FB$3,-99),FB$6,_xlfn.IFNA(FB$4,-99),FB$7,""),"")</f>
        <v/>
      </c>
      <c r="FE38" s="32">
        <f>Eu_tabel_a[[#This Row],[x base]]*SQRT(Eu_a_h0_x*(1-Eu_a_h0_x)/Eu_a_n_x)+Eu_a_h0_x</f>
        <v>0</v>
      </c>
      <c r="FJ38" s="74" t="e">
        <f t="shared" si="18"/>
        <v>#N/A</v>
      </c>
      <c r="FK38" s="82" t="e">
        <f t="shared" si="113"/>
        <v>#DIV/0!</v>
      </c>
      <c r="FL38" s="7" t="e">
        <f t="shared" si="12"/>
        <v>#DIV/0!</v>
      </c>
      <c r="FM38" t="e">
        <f t="shared" si="114"/>
        <v>#DIV/0!</v>
      </c>
      <c r="FN38" s="8" t="e">
        <f t="shared" si="115"/>
        <v>#DIV/0!</v>
      </c>
      <c r="FO38" s="8" t="e">
        <f t="shared" si="116"/>
        <v>#DIV/0!</v>
      </c>
      <c r="FP38" s="81" t="e">
        <f t="shared" si="117"/>
        <v>#DIV/0!</v>
      </c>
      <c r="FQ38" s="74" t="e">
        <f t="shared" ca="1" si="13"/>
        <v>#N/A</v>
      </c>
      <c r="FR38" s="82" t="e" vm="3">
        <f t="shared" ca="1" si="19"/>
        <v>#VALUE!</v>
      </c>
      <c r="FS38" s="7" t="e" vm="3">
        <f t="shared" ca="1" si="14"/>
        <v>#VALUE!</v>
      </c>
      <c r="FT38" t="e" vm="3">
        <f t="shared" ca="1" si="8"/>
        <v>#VALUE!</v>
      </c>
      <c r="FU38" s="8" t="e" vm="3">
        <f t="shared" ca="1" si="9"/>
        <v>#VALUE!</v>
      </c>
      <c r="FV38" s="8" t="e" vm="3">
        <f t="shared" ca="1" si="10"/>
        <v>#VALUE!</v>
      </c>
      <c r="FW38" s="81" t="e" vm="3">
        <f t="shared" ca="1" si="11"/>
        <v>#VALUE!</v>
      </c>
      <c r="FX38" s="74" t="e">
        <f t="shared" si="15"/>
        <v>#N/A</v>
      </c>
      <c r="FY38" s="82" t="e">
        <f t="shared" si="20"/>
        <v>#N/A</v>
      </c>
      <c r="FZ38" s="7" t="e">
        <f t="shared" si="16"/>
        <v>#N/A</v>
      </c>
      <c r="GA38" t="e">
        <f t="shared" si="21"/>
        <v>#N/A</v>
      </c>
      <c r="GB38" s="8" t="e">
        <f t="shared" si="22"/>
        <v>#N/A</v>
      </c>
      <c r="GC38" s="8" t="e">
        <f t="shared" si="23"/>
        <v>#N/A</v>
      </c>
      <c r="GD38" s="81" t="e">
        <f t="shared" si="24"/>
        <v>#N/A</v>
      </c>
      <c r="GE38" s="74" t="e">
        <f t="shared" si="25"/>
        <v>#N/A</v>
      </c>
      <c r="GF38" s="82" t="e">
        <f t="shared" si="26"/>
        <v>#N/A</v>
      </c>
      <c r="GG38" s="7" t="e">
        <f t="shared" si="17"/>
        <v>#N/A</v>
      </c>
      <c r="GH38" t="e">
        <f t="shared" si="27"/>
        <v>#N/A</v>
      </c>
      <c r="GI38" s="8" t="e">
        <f t="shared" si="28"/>
        <v>#N/A</v>
      </c>
      <c r="GJ38" s="8" t="e">
        <f t="shared" si="29"/>
        <v>#N/A</v>
      </c>
      <c r="GK38" s="81" t="e">
        <f t="shared" si="30"/>
        <v>#N/A</v>
      </c>
      <c r="GL38" s="81"/>
      <c r="GM38" s="81"/>
      <c r="GP38" s="59">
        <f t="shared" si="81"/>
        <v>28</v>
      </c>
      <c r="GQ38" s="32">
        <f t="shared" si="82"/>
        <v>29</v>
      </c>
      <c r="GR38" s="59">
        <f t="shared" si="83"/>
        <v>-2.4194842087050321</v>
      </c>
      <c r="GS38" s="59">
        <f t="shared" si="84"/>
        <v>2.1367366488433549E-2</v>
      </c>
      <c r="GT38" s="59" t="e">
        <f t="shared" si="85"/>
        <v>#N/A</v>
      </c>
      <c r="GU38" s="59" t="e">
        <f t="shared" si="86"/>
        <v>#N/A</v>
      </c>
      <c r="GV38" s="59" t="e">
        <f t="shared" si="87"/>
        <v>#N/A</v>
      </c>
      <c r="GW38" s="59" t="b">
        <f t="shared" si="88"/>
        <v>1</v>
      </c>
      <c r="GX38" s="59" t="b">
        <f t="shared" si="89"/>
        <v>0</v>
      </c>
      <c r="GY38" s="59" t="b">
        <f t="shared" si="90"/>
        <v>1</v>
      </c>
      <c r="GZ38" s="59" t="b">
        <f t="shared" si="91"/>
        <v>0</v>
      </c>
      <c r="HA38" s="59">
        <f t="shared" si="92"/>
        <v>2.1367366488433549E-2</v>
      </c>
      <c r="HB38" s="59">
        <f t="shared" si="93"/>
        <v>2.1367366488433549E-2</v>
      </c>
      <c r="HC38" s="59" t="e">
        <f t="shared" si="94"/>
        <v>#N/A</v>
      </c>
      <c r="HD38" s="60" t="str">
        <f t="shared" si="95"/>
        <v/>
      </c>
      <c r="HJ38" s="59">
        <f t="shared" si="96"/>
        <v>28</v>
      </c>
      <c r="HK38" s="32">
        <f t="shared" si="97"/>
        <v>29</v>
      </c>
      <c r="HL38" s="59">
        <f t="shared" si="98"/>
        <v>-3.7466221123447414</v>
      </c>
      <c r="HM38" s="59" t="e">
        <f t="shared" si="99"/>
        <v>#N/A</v>
      </c>
      <c r="HN38" s="59">
        <f t="shared" si="100"/>
        <v>4.7194716422334568E-3</v>
      </c>
      <c r="HO38" s="59" t="e">
        <f t="shared" si="101"/>
        <v>#N/A</v>
      </c>
      <c r="HP38" s="59" t="e">
        <f t="shared" si="102"/>
        <v>#N/A</v>
      </c>
      <c r="HQ38" s="59" t="b">
        <f t="shared" si="103"/>
        <v>1</v>
      </c>
      <c r="HR38" s="59" t="b">
        <f t="shared" si="104"/>
        <v>0</v>
      </c>
      <c r="HS38" s="59" t="b">
        <f t="shared" si="105"/>
        <v>1</v>
      </c>
      <c r="HT38" s="59" t="b">
        <f t="shared" si="106"/>
        <v>0</v>
      </c>
      <c r="HU38" s="59">
        <f t="shared" si="107"/>
        <v>4.7194716422334568E-3</v>
      </c>
      <c r="HV38" s="59">
        <f t="shared" si="108"/>
        <v>4.7194716422334568E-3</v>
      </c>
      <c r="HW38" s="59" t="e">
        <f t="shared" si="109"/>
        <v>#N/A</v>
      </c>
      <c r="HX38" s="60" t="str">
        <f t="shared" si="110"/>
        <v/>
      </c>
    </row>
    <row r="39" spans="1:232" x14ac:dyDescent="0.2">
      <c r="E39" s="53" t="str">
        <v>Konfidensinterval nedre grænse</v>
      </c>
      <c r="F39" s="88">
        <v>-0.58278968089955363</v>
      </c>
      <c r="L39" s="53" t="str">
        <v>Konfidensinterval nedre grænse</v>
      </c>
      <c r="M39" s="58">
        <v>3.0509630363038913</v>
      </c>
      <c r="N39" s="64"/>
      <c r="S39" s="53" t="str">
        <v>Konfidensinterval nedre grænse</v>
      </c>
      <c r="T39" s="55">
        <v>0.20060094659432398</v>
      </c>
      <c r="Z39" s="53" t="str">
        <v>Konfidensinterval nedre grænse</v>
      </c>
      <c r="AA39" s="55">
        <v>1.08361049168533</v>
      </c>
      <c r="AG39" s="53" t="str">
        <v>Testfordeling</v>
      </c>
      <c r="AH39" s="54" t="str">
        <v>t-fordeling</v>
      </c>
      <c r="BL39" s="53" t="s">
        <v>251</v>
      </c>
      <c r="BM39" s="86" t="e" cm="1">
        <f t="array" ref="BM39">IF(NOT($BH$2),IF(NOT(ISBLANK(INDEX(E_a_valg[Parameter 2],E_a_aktiv))),INDEX(E_a_valg[Parameter 2],E_a_aktiv),NA()),NA())</f>
        <v>#N/A</v>
      </c>
      <c r="BZ39" s="59">
        <f t="shared" si="36"/>
        <v>29</v>
      </c>
      <c r="CA39" s="32">
        <f>Eu_tabel_g[[#This Row],[Indeks]]+1</f>
        <v>30</v>
      </c>
      <c r="CB39" s="59">
        <f t="shared" si="37"/>
        <v>-2.3955289195099327</v>
      </c>
      <c r="CC39" s="59">
        <f t="shared" si="38"/>
        <v>2.2635904575720501E-2</v>
      </c>
      <c r="CD39" s="59" t="e">
        <f t="shared" si="39"/>
        <v>#N/A</v>
      </c>
      <c r="CE39" s="59" t="e">
        <f t="shared" si="40"/>
        <v>#N/A</v>
      </c>
      <c r="CF39" s="59" t="e">
        <f t="shared" si="41"/>
        <v>#N/A</v>
      </c>
      <c r="CG39" s="59" t="b">
        <f t="shared" si="42"/>
        <v>1</v>
      </c>
      <c r="CH39" s="59" t="b">
        <f t="shared" si="43"/>
        <v>0</v>
      </c>
      <c r="CI39" s="59" t="b">
        <f t="shared" si="44"/>
        <v>1</v>
      </c>
      <c r="CJ39" s="59" t="b">
        <f t="shared" si="45"/>
        <v>0</v>
      </c>
      <c r="CK39" s="59">
        <f t="shared" si="118"/>
        <v>2.2635904575720501E-2</v>
      </c>
      <c r="CL39" s="59">
        <f t="shared" si="47"/>
        <v>2.2635904575720501E-2</v>
      </c>
      <c r="CM39" s="59" t="e">
        <f t="shared" si="48"/>
        <v>#N/A</v>
      </c>
      <c r="CN39" s="60" t="str">
        <f t="shared" si="49"/>
        <v/>
      </c>
      <c r="CO39" s="32">
        <f>_xlfn.NORM.DIST(_xlfn.NORM.INV(1-Eu_g_konfidensniveau,0,1)-Eu_tabel_g[[#This Row],[x base]],0,1,TRUE)</f>
        <v>0.77357595198661899</v>
      </c>
      <c r="CP39" s="32">
        <f>1-_xlfn.NORM.DIST(_xlfn.NORM.INV(Eu_g_konfidensniveau,0,1)-Eu_tabel_g[[#This Row],[x base]],0,1,TRUE)</f>
        <v>2.6682042684300633E-5</v>
      </c>
      <c r="CQ39" s="32">
        <f>_xlfn.NORM.DIST(_xlfn.NORM.INV((1-Eu_g_konfidensniveau)/2,0,1)-Eu_tabel_g[[#This Row],[x base]],0,1,TRUE)+1-_xlfn.NORM.DIST(_xlfn.NORM.INV(1-(1-Eu_g_konfidensniveau)/2,0,1)-Eu_tabel_g[[#This Row],[x base]],0,1,TRUE)</f>
        <v>0.66843043014353232</v>
      </c>
      <c r="CR39" s="32" t="e" cm="1">
        <f t="array" ref="CR39">IF($CR$3,INDEX(Eu_tabel_g[[#This Row],[Styrke venstre]:[Styrke tosidet]],CR$7),NA())</f>
        <v>#N/A</v>
      </c>
      <c r="CS39" s="52" t="e">
        <f>Eu_tabel_g[[#This Row],[Falsk positiv
Nulhypotese accepteres
Fejltype 1]]</f>
        <v>#N/A</v>
      </c>
      <c r="CT39" s="52" t="e">
        <f>IF(CHOOSE(CR$7,Eu_tabel_g[[#This Row],[x base]]&gt;0,Eu_tabel_g[[#This Row],[x base]]&lt;0,Eu_tabel_g[[#This Row],[x base]]=0),Eu_tabel_g[[#This Row],[Styrke, aktiv]],NA())</f>
        <v>#N/A</v>
      </c>
      <c r="CU39" s="52" t="e">
        <f>IFERROR(IF($CR$3,Eu_tabel_g[[#This Row],[Styrke, aktiv]],NA()),NA())</f>
        <v>#N/A</v>
      </c>
      <c r="CV39" s="52" t="e">
        <f>IF(ISNA(Eu_tabel_g[[#This Row],[Sand negativ
Nulhypotese afvises
Korrekt]]),NA(),IF($CR$3,1,NA()))</f>
        <v>#N/A</v>
      </c>
      <c r="CW39" s="34" t="str" cm="1">
        <f t="array" ref="CW39">_xlfn.SWITCH(BZ39,_xlfn.IFNA(CU$2,-99),CU$5,_xlfn.IFNA(CU$3,-99),CU$6,_xlfn.IFNA(CU$4,-99),CU$7,"")</f>
        <v/>
      </c>
      <c r="DA39" s="7">
        <f t="shared" si="50"/>
        <v>0.8</v>
      </c>
      <c r="DB39">
        <f>IF(ROW(Styrkeberegning_G[[#This Row],[X base venstre]])=ROW(Styrkeberegning_G[[#Headers],[X base venstre]])+1,DB$7/(DA$7/$B$67),DB38/(DA38/$B$67))</f>
        <v>-2.8015817870135784</v>
      </c>
      <c r="DC39">
        <f>Styrkeberegning_G[[#This Row],[X base venstre]]*-1</f>
        <v>2.8015817870135784</v>
      </c>
      <c r="DN39" s="59">
        <f t="shared" si="51"/>
        <v>29</v>
      </c>
      <c r="DO39" s="32">
        <f t="shared" si="52"/>
        <v>30</v>
      </c>
      <c r="DP39" s="59">
        <f t="shared" si="53"/>
        <v>5.1419075007467194</v>
      </c>
      <c r="DQ39" s="59" t="e">
        <f t="shared" si="54"/>
        <v>#N/A</v>
      </c>
      <c r="DR39" s="59" t="e">
        <f t="shared" si="55"/>
        <v>#N/A</v>
      </c>
      <c r="DS39" s="59">
        <f t="shared" si="56"/>
        <v>5.1166581130469804E-2</v>
      </c>
      <c r="DT39" s="59" t="e">
        <f t="shared" si="57"/>
        <v>#N/A</v>
      </c>
      <c r="DU39" s="59" t="b">
        <f t="shared" si="58"/>
        <v>0</v>
      </c>
      <c r="DV39" s="59" t="b">
        <f t="shared" si="59"/>
        <v>1</v>
      </c>
      <c r="DW39" s="59" t="b">
        <f t="shared" si="60"/>
        <v>0</v>
      </c>
      <c r="DX39" s="59" t="b">
        <f t="shared" si="61"/>
        <v>1</v>
      </c>
      <c r="DY39" s="59">
        <f t="shared" si="62"/>
        <v>5.1166581130469804E-2</v>
      </c>
      <c r="DZ39" s="59" t="e">
        <f t="shared" si="63"/>
        <v>#N/A</v>
      </c>
      <c r="EA39" s="59">
        <f t="shared" si="64"/>
        <v>5.1166581130469804E-2</v>
      </c>
      <c r="EB39" s="60" t="str">
        <f t="shared" si="65"/>
        <v/>
      </c>
      <c r="EG39" s="59">
        <f t="shared" si="66"/>
        <v>29</v>
      </c>
      <c r="EH39" s="32">
        <f t="shared" si="67"/>
        <v>30</v>
      </c>
      <c r="EI39" s="59">
        <f t="shared" si="68"/>
        <v>-2.3955289195099327</v>
      </c>
      <c r="EJ39" s="59">
        <f t="shared" si="69"/>
        <v>2.2635904575720501E-2</v>
      </c>
      <c r="EK39" s="59" t="e">
        <f t="shared" si="70"/>
        <v>#N/A</v>
      </c>
      <c r="EL39" s="59" t="e">
        <f t="shared" si="71"/>
        <v>#N/A</v>
      </c>
      <c r="EM39" s="59" t="e">
        <f t="shared" si="72"/>
        <v>#N/A</v>
      </c>
      <c r="EN39" s="59" t="b">
        <f t="shared" si="73"/>
        <v>1</v>
      </c>
      <c r="EO39" s="59" t="b">
        <f t="shared" si="74"/>
        <v>0</v>
      </c>
      <c r="EP39" s="59" t="b">
        <f t="shared" si="75"/>
        <v>1</v>
      </c>
      <c r="EQ39" s="59" t="b">
        <f t="shared" si="76"/>
        <v>0</v>
      </c>
      <c r="ER39" s="59">
        <f t="shared" si="77"/>
        <v>2.2635904575720501E-2</v>
      </c>
      <c r="ES39" s="59">
        <f t="shared" si="78"/>
        <v>2.2635904575720501E-2</v>
      </c>
      <c r="ET39" s="59" t="e">
        <f t="shared" si="79"/>
        <v>#N/A</v>
      </c>
      <c r="EU39" s="60" t="str">
        <f t="shared" si="80"/>
        <v/>
      </c>
      <c r="EV3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9" s="32" t="e" cm="1">
        <f t="array" ref="EY39">IF($CR$3,INDEX(Eu_tabel_a[[#This Row],[Styrke venstre]:[Styrke tosidet]],EY$7),NA())</f>
        <v>#N/A</v>
      </c>
      <c r="EZ39" s="32" t="e">
        <f>IF(EY$3,IF(CHOOSE(EY$7,Eu_tabel_a[[#This Row],[x base]]&gt;0,Eu_tabel_a[[#This Row],[x base]]&lt;0,Eu_tabel_a[[#This Row],[x base]]=0),1,NA()),NA())</f>
        <v>#N/A</v>
      </c>
      <c r="FA39" s="32" t="e">
        <f>IF(CHOOSE(EY$7,Eu_tabel_a[[#This Row],[x base]]&gt;0,Eu_tabel_a[[#This Row],[x base]]&lt;0,Eu_tabel_a[[#This Row],[x base]]=0),Eu_tabel_a[[#This Row],[Styrke, aktiv]],NA())</f>
        <v>#N/A</v>
      </c>
      <c r="FB39" s="32" t="e">
        <f>IFERROR(IF($EY$3,Eu_tabel_a[[#This Row],[Styrke, aktiv]],NA()),NA())</f>
        <v>#N/A</v>
      </c>
      <c r="FC39" s="32" t="e">
        <f>IF(ISNA(Eu_tabel_a[[#This Row],[Sand negativ
Nulhypotese afvises
Korrekt]]),NA(),IF(EY$3,1,NA()))</f>
        <v>#N/A</v>
      </c>
      <c r="FD39" s="33" t="str" cm="1">
        <f t="array" ref="FD39">IFERROR(_xlfn.SWITCH(Eu_tabel_a[[#This Row],[Indeks]],_xlfn.IFNA(FB$2,-99),FB$5,_xlfn.IFNA(FB$3,-99),FB$6,_xlfn.IFNA(FB$4,-99),FB$7,""),"")</f>
        <v/>
      </c>
      <c r="FE39" s="32">
        <f>Eu_tabel_a[[#This Row],[x base]]*SQRT(Eu_a_h0_x*(1-Eu_a_h0_x)/Eu_a_n_x)+Eu_a_h0_x</f>
        <v>0</v>
      </c>
      <c r="FJ39" s="74" t="e">
        <f t="shared" si="18"/>
        <v>#N/A</v>
      </c>
      <c r="FK39" s="82" t="e">
        <f t="shared" si="113"/>
        <v>#DIV/0!</v>
      </c>
      <c r="FL39" s="7" t="e">
        <f t="shared" si="12"/>
        <v>#DIV/0!</v>
      </c>
      <c r="FM39" t="e">
        <f t="shared" si="114"/>
        <v>#DIV/0!</v>
      </c>
      <c r="FN39" s="8" t="e">
        <f t="shared" si="115"/>
        <v>#DIV/0!</v>
      </c>
      <c r="FO39" s="8" t="e">
        <f t="shared" si="116"/>
        <v>#DIV/0!</v>
      </c>
      <c r="FP39" s="81" t="e">
        <f t="shared" si="117"/>
        <v>#DIV/0!</v>
      </c>
      <c r="FQ39" s="74" t="e">
        <f t="shared" ca="1" si="13"/>
        <v>#N/A</v>
      </c>
      <c r="FR39" s="82" t="e" vm="3">
        <f t="shared" ca="1" si="19"/>
        <v>#VALUE!</v>
      </c>
      <c r="FS39" s="7" t="e" vm="3">
        <f t="shared" ca="1" si="14"/>
        <v>#VALUE!</v>
      </c>
      <c r="FT39" t="e" vm="3">
        <f t="shared" ca="1" si="8"/>
        <v>#VALUE!</v>
      </c>
      <c r="FU39" s="8" t="e" vm="3">
        <f t="shared" ca="1" si="9"/>
        <v>#VALUE!</v>
      </c>
      <c r="FV39" s="8" t="e" vm="3">
        <f t="shared" ca="1" si="10"/>
        <v>#VALUE!</v>
      </c>
      <c r="FW39" s="81" t="e" vm="3">
        <f t="shared" ca="1" si="11"/>
        <v>#VALUE!</v>
      </c>
      <c r="FX39" s="74" t="e">
        <f t="shared" si="15"/>
        <v>#N/A</v>
      </c>
      <c r="FY39" s="82" t="e">
        <f t="shared" si="20"/>
        <v>#N/A</v>
      </c>
      <c r="FZ39" s="7" t="e">
        <f t="shared" si="16"/>
        <v>#N/A</v>
      </c>
      <c r="GA39" t="e">
        <f t="shared" si="21"/>
        <v>#N/A</v>
      </c>
      <c r="GB39" s="8" t="e">
        <f t="shared" si="22"/>
        <v>#N/A</v>
      </c>
      <c r="GC39" s="8" t="e">
        <f t="shared" si="23"/>
        <v>#N/A</v>
      </c>
      <c r="GD39" s="81" t="e">
        <f t="shared" si="24"/>
        <v>#N/A</v>
      </c>
      <c r="GE39" s="74" t="e">
        <f t="shared" si="25"/>
        <v>#N/A</v>
      </c>
      <c r="GF39" s="82" t="e">
        <f t="shared" si="26"/>
        <v>#N/A</v>
      </c>
      <c r="GG39" s="7" t="e">
        <f t="shared" si="17"/>
        <v>#N/A</v>
      </c>
      <c r="GH39" t="e">
        <f t="shared" si="27"/>
        <v>#N/A</v>
      </c>
      <c r="GI39" s="8" t="e">
        <f t="shared" si="28"/>
        <v>#N/A</v>
      </c>
      <c r="GJ39" s="8" t="e">
        <f t="shared" si="29"/>
        <v>#N/A</v>
      </c>
      <c r="GK39" s="81" t="e">
        <f t="shared" si="30"/>
        <v>#N/A</v>
      </c>
      <c r="GL39" s="81"/>
      <c r="GM39" s="81"/>
      <c r="GP39" s="59">
        <f t="shared" si="81"/>
        <v>29</v>
      </c>
      <c r="GQ39" s="32">
        <f t="shared" si="82"/>
        <v>30</v>
      </c>
      <c r="GR39" s="59">
        <f t="shared" si="83"/>
        <v>-2.3955289195099327</v>
      </c>
      <c r="GS39" s="59">
        <f t="shared" si="84"/>
        <v>2.2635904575720501E-2</v>
      </c>
      <c r="GT39" s="59" t="e">
        <f t="shared" si="85"/>
        <v>#N/A</v>
      </c>
      <c r="GU39" s="59" t="e">
        <f t="shared" si="86"/>
        <v>#N/A</v>
      </c>
      <c r="GV39" s="59" t="e">
        <f t="shared" si="87"/>
        <v>#N/A</v>
      </c>
      <c r="GW39" s="59" t="b">
        <f t="shared" si="88"/>
        <v>1</v>
      </c>
      <c r="GX39" s="59" t="b">
        <f t="shared" si="89"/>
        <v>0</v>
      </c>
      <c r="GY39" s="59" t="b">
        <f t="shared" si="90"/>
        <v>1</v>
      </c>
      <c r="GZ39" s="59" t="b">
        <f t="shared" si="91"/>
        <v>0</v>
      </c>
      <c r="HA39" s="59">
        <f t="shared" si="92"/>
        <v>2.2635904575720501E-2</v>
      </c>
      <c r="HB39" s="59">
        <f t="shared" si="93"/>
        <v>2.2635904575720501E-2</v>
      </c>
      <c r="HC39" s="59" t="e">
        <f t="shared" si="94"/>
        <v>#N/A</v>
      </c>
      <c r="HD39" s="60" t="str">
        <f t="shared" si="95"/>
        <v/>
      </c>
      <c r="HJ39" s="59">
        <f t="shared" si="96"/>
        <v>29</v>
      </c>
      <c r="HK39" s="32">
        <f t="shared" si="97"/>
        <v>30</v>
      </c>
      <c r="HL39" s="59">
        <f t="shared" si="98"/>
        <v>-3.7095268439056843</v>
      </c>
      <c r="HM39" s="59" t="e">
        <f t="shared" si="99"/>
        <v>#N/A</v>
      </c>
      <c r="HN39" s="59">
        <f t="shared" si="100"/>
        <v>4.9760476303971407E-3</v>
      </c>
      <c r="HO39" s="59" t="e">
        <f t="shared" si="101"/>
        <v>#N/A</v>
      </c>
      <c r="HP39" s="59" t="e">
        <f t="shared" si="102"/>
        <v>#N/A</v>
      </c>
      <c r="HQ39" s="59" t="b">
        <f t="shared" si="103"/>
        <v>1</v>
      </c>
      <c r="HR39" s="59" t="b">
        <f t="shared" si="104"/>
        <v>0</v>
      </c>
      <c r="HS39" s="59" t="b">
        <f t="shared" si="105"/>
        <v>1</v>
      </c>
      <c r="HT39" s="59" t="b">
        <f t="shared" si="106"/>
        <v>0</v>
      </c>
      <c r="HU39" s="59">
        <f t="shared" si="107"/>
        <v>4.9760476303971407E-3</v>
      </c>
      <c r="HV39" s="59">
        <f t="shared" si="108"/>
        <v>4.9760476303971407E-3</v>
      </c>
      <c r="HW39" s="59" t="e">
        <f t="shared" si="109"/>
        <v>#N/A</v>
      </c>
      <c r="HX39" s="60" t="str">
        <f t="shared" si="110"/>
        <v/>
      </c>
    </row>
    <row r="40" spans="1:232" x14ac:dyDescent="0.2">
      <c r="A40" s="3" t="s">
        <v>252</v>
      </c>
      <c r="E40" s="53" t="str">
        <v>Konfidensinterval øvre grænse</v>
      </c>
      <c r="F40" s="88">
        <v>4.2907985175414947</v>
      </c>
      <c r="H40" s="3" t="s">
        <v>252</v>
      </c>
      <c r="L40" s="53" t="str">
        <v>Konfidensinterval øvre grænse</v>
      </c>
      <c r="M40" s="58">
        <v>7.3125332181107092</v>
      </c>
      <c r="N40" s="64"/>
      <c r="O40" s="3" t="s">
        <v>252</v>
      </c>
      <c r="S40" s="53" t="str">
        <v>Konfidensinterval øvre grænse</v>
      </c>
      <c r="T40" s="55">
        <v>0.63273238673900933</v>
      </c>
      <c r="V40" s="3" t="s">
        <v>252</v>
      </c>
      <c r="Z40" s="53" t="str">
        <v>Konfidensinterval øvre grænse</v>
      </c>
      <c r="AA40" s="55">
        <v>2.6243983449566111</v>
      </c>
      <c r="AG40" s="53" t="str">
        <v>Første parameter i testfordeling</v>
      </c>
      <c r="AH40" s="55">
        <v>7</v>
      </c>
      <c r="BE40" s="53" t="s">
        <v>316</v>
      </c>
      <c r="BF40" s="57" t="str">
        <f>B41</f>
        <v>Eksempel 1 (interval)</v>
      </c>
      <c r="BG40" s="57" t="str">
        <f>I41</f>
        <v>Eksempel 2 (interval)</v>
      </c>
      <c r="BH40" s="57" t="str">
        <f>P41</f>
        <v>Eksempel 4 (nominal)</v>
      </c>
      <c r="BI40" s="57" t="str">
        <f>W41</f>
        <v>Eksempel 1 (interval)</v>
      </c>
      <c r="BJ40" s="57" t="str">
        <f>AD42</f>
        <v>Eksempel 2 (interval)</v>
      </c>
      <c r="BL40" s="53" t="s">
        <v>29</v>
      </c>
      <c r="BM40" s="86" t="e" cm="1">
        <f t="array" ref="BM40">IF(NOT($BH$2),INDEX(E_a_valg[Teststørrelse],E_a_aktiv),NA())</f>
        <v>#N/A</v>
      </c>
      <c r="BZ40" s="59">
        <f t="shared" si="36"/>
        <v>30</v>
      </c>
      <c r="CA40" s="32">
        <f>Eu_tabel_g[[#This Row],[Indeks]]+1</f>
        <v>31</v>
      </c>
      <c r="CB40" s="59">
        <f t="shared" si="37"/>
        <v>-2.3715736303148334</v>
      </c>
      <c r="CC40" s="59">
        <f t="shared" si="38"/>
        <v>2.3965996273642005E-2</v>
      </c>
      <c r="CD40" s="59" t="e">
        <f t="shared" si="39"/>
        <v>#N/A</v>
      </c>
      <c r="CE40" s="59" t="e">
        <f t="shared" si="40"/>
        <v>#N/A</v>
      </c>
      <c r="CF40" s="59" t="e">
        <f t="shared" si="41"/>
        <v>#N/A</v>
      </c>
      <c r="CG40" s="59" t="b">
        <f t="shared" si="42"/>
        <v>1</v>
      </c>
      <c r="CH40" s="59" t="b">
        <f t="shared" si="43"/>
        <v>0</v>
      </c>
      <c r="CI40" s="59" t="b">
        <f t="shared" si="44"/>
        <v>1</v>
      </c>
      <c r="CJ40" s="59" t="b">
        <f t="shared" si="45"/>
        <v>0</v>
      </c>
      <c r="CK40" s="59">
        <f t="shared" si="118"/>
        <v>2.3965996273642005E-2</v>
      </c>
      <c r="CL40" s="59">
        <f t="shared" si="47"/>
        <v>2.3965996273642005E-2</v>
      </c>
      <c r="CM40" s="59" t="e">
        <f t="shared" si="48"/>
        <v>#N/A</v>
      </c>
      <c r="CN40" s="60" t="str">
        <f t="shared" si="49"/>
        <v/>
      </c>
      <c r="CO40" s="32">
        <f>_xlfn.NORM.DIST(_xlfn.NORM.INV(1-Eu_g_konfidensniveau,0,1)-Eu_tabel_g[[#This Row],[x base]],0,1,TRUE)</f>
        <v>0.76630125152424844</v>
      </c>
      <c r="CP40" s="32">
        <f>1-_xlfn.NORM.DIST(_xlfn.NORM.INV(Eu_g_konfidensniveau,0,1)-Eu_tabel_g[[#This Row],[x base]],0,1,TRUE)</f>
        <v>2.9543545472243693E-5</v>
      </c>
      <c r="CQ40" s="32">
        <f>_xlfn.NORM.DIST(_xlfn.NORM.INV((1-Eu_g_konfidensniveau)/2,0,1)-Eu_tabel_g[[#This Row],[x base]],0,1,TRUE)+1-_xlfn.NORM.DIST(_xlfn.NORM.INV(1-(1-Eu_g_konfidensniveau)/2,0,1)-Eu_tabel_g[[#This Row],[x base]],0,1,TRUE)</f>
        <v>0.65969462333628126</v>
      </c>
      <c r="CR40" s="32" t="e" cm="1">
        <f t="array" ref="CR40">IF($CR$3,INDEX(Eu_tabel_g[[#This Row],[Styrke venstre]:[Styrke tosidet]],CR$7),NA())</f>
        <v>#N/A</v>
      </c>
      <c r="CS40" s="52" t="e">
        <f>Eu_tabel_g[[#This Row],[Falsk positiv
Nulhypotese accepteres
Fejltype 1]]</f>
        <v>#N/A</v>
      </c>
      <c r="CT40" s="52" t="e">
        <f>IF(CHOOSE(CR$7,Eu_tabel_g[[#This Row],[x base]]&gt;0,Eu_tabel_g[[#This Row],[x base]]&lt;0,Eu_tabel_g[[#This Row],[x base]]=0),Eu_tabel_g[[#This Row],[Styrke, aktiv]],NA())</f>
        <v>#N/A</v>
      </c>
      <c r="CU40" s="52" t="e">
        <f>IFERROR(IF($CR$3,Eu_tabel_g[[#This Row],[Styrke, aktiv]],NA()),NA())</f>
        <v>#N/A</v>
      </c>
      <c r="CV40" s="52" t="e">
        <f>IF(ISNA(Eu_tabel_g[[#This Row],[Sand negativ
Nulhypotese afvises
Korrekt]]),NA(),IF($CR$3,1,NA()))</f>
        <v>#N/A</v>
      </c>
      <c r="CW40" s="34" t="str" cm="1">
        <f t="array" ref="CW40">_xlfn.SWITCH(BZ40,_xlfn.IFNA(CU$2,-99),CU$5,_xlfn.IFNA(CU$3,-99),CU$6,_xlfn.IFNA(CU$4,-99),CU$7,"")</f>
        <v/>
      </c>
      <c r="DA40" s="7">
        <f t="shared" si="50"/>
        <v>0.8</v>
      </c>
      <c r="DB40">
        <f>IF(ROW(Styrkeberegning_G[[#This Row],[X base venstre]])=ROW(Styrkeberegning_G[[#Headers],[X base venstre]])+1,DB$7/(DA$7/$B$67),DB39/(DA39/$B$67))</f>
        <v>-2.8015817870135784</v>
      </c>
      <c r="DC40">
        <f>Styrkeberegning_G[[#This Row],[X base venstre]]*-1</f>
        <v>2.8015817870135784</v>
      </c>
      <c r="DN40" s="59">
        <f t="shared" si="51"/>
        <v>30</v>
      </c>
      <c r="DO40" s="32">
        <f t="shared" si="52"/>
        <v>31</v>
      </c>
      <c r="DP40" s="59">
        <f t="shared" si="53"/>
        <v>5.2559783571637206</v>
      </c>
      <c r="DQ40" s="59" t="e">
        <f t="shared" si="54"/>
        <v>#N/A</v>
      </c>
      <c r="DR40" s="59" t="e">
        <f t="shared" si="55"/>
        <v>#N/A</v>
      </c>
      <c r="DS40" s="59">
        <f t="shared" si="56"/>
        <v>5.3345539988300897E-2</v>
      </c>
      <c r="DT40" s="59" t="e">
        <f t="shared" si="57"/>
        <v>#N/A</v>
      </c>
      <c r="DU40" s="59" t="b">
        <f t="shared" si="58"/>
        <v>0</v>
      </c>
      <c r="DV40" s="59" t="b">
        <f t="shared" si="59"/>
        <v>1</v>
      </c>
      <c r="DW40" s="59" t="b">
        <f t="shared" si="60"/>
        <v>0</v>
      </c>
      <c r="DX40" s="59" t="b">
        <f t="shared" si="61"/>
        <v>1</v>
      </c>
      <c r="DY40" s="59">
        <f t="shared" si="62"/>
        <v>5.3345539988300897E-2</v>
      </c>
      <c r="DZ40" s="59" t="e">
        <f t="shared" si="63"/>
        <v>#N/A</v>
      </c>
      <c r="EA40" s="59">
        <f t="shared" si="64"/>
        <v>5.3345539988300897E-2</v>
      </c>
      <c r="EB40" s="60" t="str">
        <f t="shared" si="65"/>
        <v/>
      </c>
      <c r="EG40" s="59">
        <f t="shared" si="66"/>
        <v>30</v>
      </c>
      <c r="EH40" s="32">
        <f t="shared" si="67"/>
        <v>31</v>
      </c>
      <c r="EI40" s="59">
        <f t="shared" si="68"/>
        <v>-2.3715736303148334</v>
      </c>
      <c r="EJ40" s="59">
        <f t="shared" si="69"/>
        <v>2.3965996273642005E-2</v>
      </c>
      <c r="EK40" s="59" t="e">
        <f t="shared" si="70"/>
        <v>#N/A</v>
      </c>
      <c r="EL40" s="59" t="e">
        <f t="shared" si="71"/>
        <v>#N/A</v>
      </c>
      <c r="EM40" s="59" t="e">
        <f t="shared" si="72"/>
        <v>#N/A</v>
      </c>
      <c r="EN40" s="59" t="b">
        <f t="shared" si="73"/>
        <v>1</v>
      </c>
      <c r="EO40" s="59" t="b">
        <f t="shared" si="74"/>
        <v>0</v>
      </c>
      <c r="EP40" s="59" t="b">
        <f t="shared" si="75"/>
        <v>1</v>
      </c>
      <c r="EQ40" s="59" t="b">
        <f t="shared" si="76"/>
        <v>0</v>
      </c>
      <c r="ER40" s="59">
        <f t="shared" si="77"/>
        <v>2.3965996273642005E-2</v>
      </c>
      <c r="ES40" s="59">
        <f t="shared" si="78"/>
        <v>2.3965996273642005E-2</v>
      </c>
      <c r="ET40" s="59" t="e">
        <f t="shared" si="79"/>
        <v>#N/A</v>
      </c>
      <c r="EU40" s="60" t="str">
        <f t="shared" si="80"/>
        <v/>
      </c>
      <c r="EV4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0" s="32" t="e" cm="1">
        <f t="array" ref="EY40">IF($CR$3,INDEX(Eu_tabel_a[[#This Row],[Styrke venstre]:[Styrke tosidet]],EY$7),NA())</f>
        <v>#N/A</v>
      </c>
      <c r="EZ40" s="32" t="e">
        <f>IF(EY$3,IF(CHOOSE(EY$7,Eu_tabel_a[[#This Row],[x base]]&gt;0,Eu_tabel_a[[#This Row],[x base]]&lt;0,Eu_tabel_a[[#This Row],[x base]]=0),1,NA()),NA())</f>
        <v>#N/A</v>
      </c>
      <c r="FA40" s="32" t="e">
        <f>IF(CHOOSE(EY$7,Eu_tabel_a[[#This Row],[x base]]&gt;0,Eu_tabel_a[[#This Row],[x base]]&lt;0,Eu_tabel_a[[#This Row],[x base]]=0),Eu_tabel_a[[#This Row],[Styrke, aktiv]],NA())</f>
        <v>#N/A</v>
      </c>
      <c r="FB40" s="32" t="e">
        <f>IFERROR(IF($EY$3,Eu_tabel_a[[#This Row],[Styrke, aktiv]],NA()),NA())</f>
        <v>#N/A</v>
      </c>
      <c r="FC40" s="32" t="e">
        <f>IF(ISNA(Eu_tabel_a[[#This Row],[Sand negativ
Nulhypotese afvises
Korrekt]]),NA(),IF(EY$3,1,NA()))</f>
        <v>#N/A</v>
      </c>
      <c r="FD40" s="33" t="str" cm="1">
        <f t="array" ref="FD40">IFERROR(_xlfn.SWITCH(Eu_tabel_a[[#This Row],[Indeks]],_xlfn.IFNA(FB$2,-99),FB$5,_xlfn.IFNA(FB$3,-99),FB$6,_xlfn.IFNA(FB$4,-99),FB$7,""),"")</f>
        <v/>
      </c>
      <c r="FE40" s="32">
        <f>Eu_tabel_a[[#This Row],[x base]]*SQRT(Eu_a_h0_x*(1-Eu_a_h0_x)/Eu_a_n_x)+Eu_a_h0_x</f>
        <v>0</v>
      </c>
      <c r="FJ40" s="74" t="e">
        <f t="shared" si="18"/>
        <v>#N/A</v>
      </c>
      <c r="FK40" s="82" t="e">
        <f t="shared" si="113"/>
        <v>#DIV/0!</v>
      </c>
      <c r="FL40" s="7" t="e">
        <f t="shared" si="12"/>
        <v>#DIV/0!</v>
      </c>
      <c r="FM40" t="e">
        <f t="shared" si="114"/>
        <v>#DIV/0!</v>
      </c>
      <c r="FN40" s="8" t="e">
        <f t="shared" si="115"/>
        <v>#DIV/0!</v>
      </c>
      <c r="FO40" s="8" t="e">
        <f t="shared" si="116"/>
        <v>#DIV/0!</v>
      </c>
      <c r="FP40" s="81" t="e">
        <f t="shared" si="117"/>
        <v>#DIV/0!</v>
      </c>
      <c r="FQ40" s="74" t="e">
        <f t="shared" ca="1" si="13"/>
        <v>#N/A</v>
      </c>
      <c r="FR40" s="82" t="e" vm="3">
        <f t="shared" ca="1" si="19"/>
        <v>#VALUE!</v>
      </c>
      <c r="FS40" s="7" t="e" vm="3">
        <f t="shared" ca="1" si="14"/>
        <v>#VALUE!</v>
      </c>
      <c r="FT40" t="e" vm="3">
        <f t="shared" ca="1" si="8"/>
        <v>#VALUE!</v>
      </c>
      <c r="FU40" s="8" t="e" vm="3">
        <f t="shared" ca="1" si="9"/>
        <v>#VALUE!</v>
      </c>
      <c r="FV40" s="8" t="e" vm="3">
        <f t="shared" ca="1" si="10"/>
        <v>#VALUE!</v>
      </c>
      <c r="FW40" s="81" t="e" vm="3">
        <f t="shared" ca="1" si="11"/>
        <v>#VALUE!</v>
      </c>
      <c r="FX40" s="74" t="e">
        <f t="shared" si="15"/>
        <v>#N/A</v>
      </c>
      <c r="FY40" s="82" t="e">
        <f t="shared" si="20"/>
        <v>#N/A</v>
      </c>
      <c r="FZ40" s="7" t="e">
        <f t="shared" si="16"/>
        <v>#N/A</v>
      </c>
      <c r="GA40" t="e">
        <f t="shared" si="21"/>
        <v>#N/A</v>
      </c>
      <c r="GB40" s="8" t="e">
        <f t="shared" si="22"/>
        <v>#N/A</v>
      </c>
      <c r="GC40" s="8" t="e">
        <f t="shared" si="23"/>
        <v>#N/A</v>
      </c>
      <c r="GD40" s="81" t="e">
        <f t="shared" si="24"/>
        <v>#N/A</v>
      </c>
      <c r="GE40" s="74" t="e">
        <f t="shared" si="25"/>
        <v>#N/A</v>
      </c>
      <c r="GF40" s="82" t="e">
        <f t="shared" si="26"/>
        <v>#N/A</v>
      </c>
      <c r="GG40" s="7" t="e">
        <f t="shared" si="17"/>
        <v>#N/A</v>
      </c>
      <c r="GH40" t="e">
        <f t="shared" si="27"/>
        <v>#N/A</v>
      </c>
      <c r="GI40" s="8" t="e">
        <f t="shared" si="28"/>
        <v>#N/A</v>
      </c>
      <c r="GJ40" s="8" t="e">
        <f t="shared" si="29"/>
        <v>#N/A</v>
      </c>
      <c r="GK40" s="81" t="e">
        <f t="shared" si="30"/>
        <v>#N/A</v>
      </c>
      <c r="GL40" s="81"/>
      <c r="GM40" s="81"/>
      <c r="GP40" s="59">
        <f t="shared" si="81"/>
        <v>30</v>
      </c>
      <c r="GQ40" s="32">
        <f t="shared" si="82"/>
        <v>31</v>
      </c>
      <c r="GR40" s="59">
        <f t="shared" si="83"/>
        <v>-2.3715736303148334</v>
      </c>
      <c r="GS40" s="59">
        <f t="shared" si="84"/>
        <v>2.3965996273642005E-2</v>
      </c>
      <c r="GT40" s="59" t="e">
        <f t="shared" si="85"/>
        <v>#N/A</v>
      </c>
      <c r="GU40" s="59" t="e">
        <f t="shared" si="86"/>
        <v>#N/A</v>
      </c>
      <c r="GV40" s="59" t="e">
        <f t="shared" si="87"/>
        <v>#N/A</v>
      </c>
      <c r="GW40" s="59" t="b">
        <f t="shared" si="88"/>
        <v>1</v>
      </c>
      <c r="GX40" s="59" t="b">
        <f t="shared" si="89"/>
        <v>0</v>
      </c>
      <c r="GY40" s="59" t="b">
        <f t="shared" si="90"/>
        <v>1</v>
      </c>
      <c r="GZ40" s="59" t="b">
        <f t="shared" si="91"/>
        <v>0</v>
      </c>
      <c r="HA40" s="59">
        <f t="shared" si="92"/>
        <v>2.3965996273642005E-2</v>
      </c>
      <c r="HB40" s="59">
        <f t="shared" si="93"/>
        <v>2.3965996273642005E-2</v>
      </c>
      <c r="HC40" s="59" t="e">
        <f t="shared" si="94"/>
        <v>#N/A</v>
      </c>
      <c r="HD40" s="60" t="str">
        <f t="shared" si="95"/>
        <v/>
      </c>
      <c r="HJ40" s="59">
        <f t="shared" si="96"/>
        <v>30</v>
      </c>
      <c r="HK40" s="32">
        <f t="shared" si="97"/>
        <v>31</v>
      </c>
      <c r="HL40" s="59">
        <f t="shared" si="98"/>
        <v>-3.6724315754666277</v>
      </c>
      <c r="HM40" s="59" t="e">
        <f t="shared" si="99"/>
        <v>#N/A</v>
      </c>
      <c r="HN40" s="59">
        <f t="shared" si="100"/>
        <v>5.2474784393453646E-3</v>
      </c>
      <c r="HO40" s="59" t="e">
        <f t="shared" si="101"/>
        <v>#N/A</v>
      </c>
      <c r="HP40" s="59" t="e">
        <f t="shared" si="102"/>
        <v>#N/A</v>
      </c>
      <c r="HQ40" s="59" t="b">
        <f t="shared" si="103"/>
        <v>1</v>
      </c>
      <c r="HR40" s="59" t="b">
        <f t="shared" si="104"/>
        <v>0</v>
      </c>
      <c r="HS40" s="59" t="b">
        <f t="shared" si="105"/>
        <v>1</v>
      </c>
      <c r="HT40" s="59" t="b">
        <f t="shared" si="106"/>
        <v>0</v>
      </c>
      <c r="HU40" s="59">
        <f t="shared" si="107"/>
        <v>5.2474784393453646E-3</v>
      </c>
      <c r="HV40" s="59">
        <f t="shared" si="108"/>
        <v>5.2474784393453646E-3</v>
      </c>
      <c r="HW40" s="59" t="e">
        <f t="shared" si="109"/>
        <v>#N/A</v>
      </c>
      <c r="HX40" s="60" t="str">
        <f t="shared" si="110"/>
        <v/>
      </c>
    </row>
    <row r="41" spans="1:232" x14ac:dyDescent="0.2">
      <c r="A41" s="35" t="s">
        <v>7</v>
      </c>
      <c r="B41" s="28" t="s">
        <v>15</v>
      </c>
      <c r="E41" s="53"/>
      <c r="F41" s="88"/>
      <c r="H41" s="35" t="s">
        <v>7</v>
      </c>
      <c r="I41" s="28" t="s">
        <v>141</v>
      </c>
      <c r="L41" s="53"/>
      <c r="M41" s="54"/>
      <c r="N41" s="64"/>
      <c r="O41" s="35" t="s">
        <v>7</v>
      </c>
      <c r="P41" s="28" t="s">
        <v>144</v>
      </c>
      <c r="S41" s="53"/>
      <c r="T41" s="55"/>
      <c r="V41" s="35" t="s">
        <v>7</v>
      </c>
      <c r="W41" s="28" t="s">
        <v>15</v>
      </c>
      <c r="Z41" s="53"/>
      <c r="AA41" s="55"/>
      <c r="AC41" s="3" t="s">
        <v>253</v>
      </c>
      <c r="AE41" s="3" t="s">
        <v>327</v>
      </c>
      <c r="AG41" s="53" t="str">
        <v>Teststørrelse</v>
      </c>
      <c r="AH41" s="55">
        <v>1.7059050335879198</v>
      </c>
      <c r="BE41" s="53" t="s">
        <v>317</v>
      </c>
      <c r="BF41" s="57" cm="1">
        <f t="array" ref="BF41:BJ41">_xlfn.XMATCH(BF40:BJ40,DataHeaders,0)</f>
        <v>1</v>
      </c>
      <c r="BG41" s="57">
        <v>2</v>
      </c>
      <c r="BH41" s="57">
        <v>4</v>
      </c>
      <c r="BI41" s="57">
        <v>1</v>
      </c>
      <c r="BJ41" s="57">
        <v>2</v>
      </c>
      <c r="BL41" s="53" t="s">
        <v>209</v>
      </c>
      <c r="BM41" s="87" t="e" cm="1">
        <f t="array" ref="BM41">IF(NOT($BH$2),INDEX(E_a_valg[p-værdi],E_a_aktiv),NA())</f>
        <v>#N/A</v>
      </c>
      <c r="BZ41" s="59">
        <f t="shared" si="36"/>
        <v>31</v>
      </c>
      <c r="CA41" s="32">
        <f>Eu_tabel_g[[#This Row],[Indeks]]+1</f>
        <v>32</v>
      </c>
      <c r="CB41" s="59">
        <f t="shared" si="37"/>
        <v>-2.347618341119734</v>
      </c>
      <c r="CC41" s="59">
        <f t="shared" si="38"/>
        <v>2.5359687526847842E-2</v>
      </c>
      <c r="CD41" s="59" t="e">
        <f t="shared" si="39"/>
        <v>#N/A</v>
      </c>
      <c r="CE41" s="59" t="e">
        <f t="shared" si="40"/>
        <v>#N/A</v>
      </c>
      <c r="CF41" s="59" t="e">
        <f t="shared" si="41"/>
        <v>#N/A</v>
      </c>
      <c r="CG41" s="59" t="b">
        <f t="shared" si="42"/>
        <v>1</v>
      </c>
      <c r="CH41" s="59" t="b">
        <f t="shared" si="43"/>
        <v>0</v>
      </c>
      <c r="CI41" s="59" t="b">
        <f t="shared" si="44"/>
        <v>1</v>
      </c>
      <c r="CJ41" s="59" t="b">
        <f t="shared" si="45"/>
        <v>0</v>
      </c>
      <c r="CK41" s="59">
        <f t="shared" si="118"/>
        <v>2.5359687526847842E-2</v>
      </c>
      <c r="CL41" s="59">
        <f t="shared" si="47"/>
        <v>2.5359687526847842E-2</v>
      </c>
      <c r="CM41" s="59" t="e">
        <f t="shared" si="48"/>
        <v>#N/A</v>
      </c>
      <c r="CN41" s="60" t="str">
        <f t="shared" si="49"/>
        <v/>
      </c>
      <c r="CO41" s="32">
        <f>_xlfn.NORM.DIST(_xlfn.NORM.INV(1-Eu_g_konfidensniveau,0,1)-Eu_tabel_g[[#This Row],[x base]],0,1,TRUE)</f>
        <v>0.7588988047257339</v>
      </c>
      <c r="CP41" s="32">
        <f>1-_xlfn.NORM.DIST(_xlfn.NORM.INV(Eu_g_konfidensniveau,0,1)-Eu_tabel_g[[#This Row],[x base]],0,1,TRUE)</f>
        <v>3.2694032375379933E-5</v>
      </c>
      <c r="CQ41" s="32">
        <f>_xlfn.NORM.DIST(_xlfn.NORM.INV((1-Eu_g_konfidensniveau)/2,0,1)-Eu_tabel_g[[#This Row],[x base]],0,1,TRUE)+1-_xlfn.NORM.DIST(_xlfn.NORM.INV(1-(1-Eu_g_konfidensniveau)/2,0,1)-Eu_tabel_g[[#This Row],[x base]],0,1,TRUE)</f>
        <v>0.65087233365469499</v>
      </c>
      <c r="CR41" s="32" t="e" cm="1">
        <f t="array" ref="CR41">IF($CR$3,INDEX(Eu_tabel_g[[#This Row],[Styrke venstre]:[Styrke tosidet]],CR$7),NA())</f>
        <v>#N/A</v>
      </c>
      <c r="CS41" s="52" t="e">
        <f>Eu_tabel_g[[#This Row],[Falsk positiv
Nulhypotese accepteres
Fejltype 1]]</f>
        <v>#N/A</v>
      </c>
      <c r="CT41" s="52" t="e">
        <f>IF(CHOOSE(CR$7,Eu_tabel_g[[#This Row],[x base]]&gt;0,Eu_tabel_g[[#This Row],[x base]]&lt;0,Eu_tabel_g[[#This Row],[x base]]=0),Eu_tabel_g[[#This Row],[Styrke, aktiv]],NA())</f>
        <v>#N/A</v>
      </c>
      <c r="CU41" s="52" t="e">
        <f>IFERROR(IF($CR$3,Eu_tabel_g[[#This Row],[Styrke, aktiv]],NA()),NA())</f>
        <v>#N/A</v>
      </c>
      <c r="CV41" s="52" t="e">
        <f>IF(ISNA(Eu_tabel_g[[#This Row],[Sand negativ
Nulhypotese afvises
Korrekt]]),NA(),IF($CR$3,1,NA()))</f>
        <v>#N/A</v>
      </c>
      <c r="CW41" s="34" t="str" cm="1">
        <f t="array" ref="CW41">_xlfn.SWITCH(BZ41,_xlfn.IFNA(CU$2,-99),CU$5,_xlfn.IFNA(CU$3,-99),CU$6,_xlfn.IFNA(CU$4,-99),CU$7,"")</f>
        <v/>
      </c>
      <c r="DA41" s="7">
        <f t="shared" si="50"/>
        <v>0.8</v>
      </c>
      <c r="DB41">
        <f>IF(ROW(Styrkeberegning_G[[#This Row],[X base venstre]])=ROW(Styrkeberegning_G[[#Headers],[X base venstre]])+1,DB$7/(DA$7/$B$67),DB40/(DA40/$B$67))</f>
        <v>-2.8015817870135784</v>
      </c>
      <c r="DC41">
        <f>Styrkeberegning_G[[#This Row],[X base venstre]]*-1</f>
        <v>2.8015817870135784</v>
      </c>
      <c r="DN41" s="59">
        <f t="shared" si="51"/>
        <v>31</v>
      </c>
      <c r="DO41" s="32">
        <f t="shared" si="52"/>
        <v>32</v>
      </c>
      <c r="DP41" s="59">
        <f t="shared" si="53"/>
        <v>5.370049213580721</v>
      </c>
      <c r="DQ41" s="59" t="e">
        <f t="shared" si="54"/>
        <v>#N/A</v>
      </c>
      <c r="DR41" s="59" t="e">
        <f t="shared" si="55"/>
        <v>#N/A</v>
      </c>
      <c r="DS41" s="59">
        <f t="shared" si="56"/>
        <v>5.5499501574844977E-2</v>
      </c>
      <c r="DT41" s="59" t="e">
        <f t="shared" si="57"/>
        <v>#N/A</v>
      </c>
      <c r="DU41" s="59" t="b">
        <f t="shared" si="58"/>
        <v>0</v>
      </c>
      <c r="DV41" s="59" t="b">
        <f t="shared" si="59"/>
        <v>1</v>
      </c>
      <c r="DW41" s="59" t="b">
        <f t="shared" si="60"/>
        <v>0</v>
      </c>
      <c r="DX41" s="59" t="b">
        <f t="shared" si="61"/>
        <v>1</v>
      </c>
      <c r="DY41" s="59">
        <f t="shared" si="62"/>
        <v>5.5499501574844977E-2</v>
      </c>
      <c r="DZ41" s="59" t="e">
        <f t="shared" si="63"/>
        <v>#N/A</v>
      </c>
      <c r="EA41" s="59">
        <f t="shared" si="64"/>
        <v>5.5499501574844977E-2</v>
      </c>
      <c r="EB41" s="60" t="str">
        <f t="shared" si="65"/>
        <v/>
      </c>
      <c r="EG41" s="59">
        <f t="shared" si="66"/>
        <v>31</v>
      </c>
      <c r="EH41" s="32">
        <f t="shared" si="67"/>
        <v>32</v>
      </c>
      <c r="EI41" s="59">
        <f t="shared" si="68"/>
        <v>-2.347618341119734</v>
      </c>
      <c r="EJ41" s="59">
        <f t="shared" si="69"/>
        <v>2.5359687526847842E-2</v>
      </c>
      <c r="EK41" s="59" t="e">
        <f t="shared" si="70"/>
        <v>#N/A</v>
      </c>
      <c r="EL41" s="59" t="e">
        <f t="shared" si="71"/>
        <v>#N/A</v>
      </c>
      <c r="EM41" s="59" t="e">
        <f t="shared" si="72"/>
        <v>#N/A</v>
      </c>
      <c r="EN41" s="59" t="b">
        <f t="shared" si="73"/>
        <v>1</v>
      </c>
      <c r="EO41" s="59" t="b">
        <f t="shared" si="74"/>
        <v>0</v>
      </c>
      <c r="EP41" s="59" t="b">
        <f t="shared" si="75"/>
        <v>1</v>
      </c>
      <c r="EQ41" s="59" t="b">
        <f t="shared" si="76"/>
        <v>0</v>
      </c>
      <c r="ER41" s="59">
        <f t="shared" si="77"/>
        <v>2.5359687526847842E-2</v>
      </c>
      <c r="ES41" s="59">
        <f t="shared" si="78"/>
        <v>2.5359687526847842E-2</v>
      </c>
      <c r="ET41" s="59" t="e">
        <f t="shared" si="79"/>
        <v>#N/A</v>
      </c>
      <c r="EU41" s="60" t="str">
        <f t="shared" si="80"/>
        <v/>
      </c>
      <c r="EV4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1" s="32" t="e" cm="1">
        <f t="array" ref="EY41">IF($CR$3,INDEX(Eu_tabel_a[[#This Row],[Styrke venstre]:[Styrke tosidet]],EY$7),NA())</f>
        <v>#N/A</v>
      </c>
      <c r="EZ41" s="32" t="e">
        <f>IF(EY$3,IF(CHOOSE(EY$7,Eu_tabel_a[[#This Row],[x base]]&gt;0,Eu_tabel_a[[#This Row],[x base]]&lt;0,Eu_tabel_a[[#This Row],[x base]]=0),1,NA()),NA())</f>
        <v>#N/A</v>
      </c>
      <c r="FA41" s="32" t="e">
        <f>IF(CHOOSE(EY$7,Eu_tabel_a[[#This Row],[x base]]&gt;0,Eu_tabel_a[[#This Row],[x base]]&lt;0,Eu_tabel_a[[#This Row],[x base]]=0),Eu_tabel_a[[#This Row],[Styrke, aktiv]],NA())</f>
        <v>#N/A</v>
      </c>
      <c r="FB41" s="32" t="e">
        <f>IFERROR(IF($EY$3,Eu_tabel_a[[#This Row],[Styrke, aktiv]],NA()),NA())</f>
        <v>#N/A</v>
      </c>
      <c r="FC41" s="32" t="e">
        <f>IF(ISNA(Eu_tabel_a[[#This Row],[Sand negativ
Nulhypotese afvises
Korrekt]]),NA(),IF(EY$3,1,NA()))</f>
        <v>#N/A</v>
      </c>
      <c r="FD41" s="33" t="str" cm="1">
        <f t="array" ref="FD41">IFERROR(_xlfn.SWITCH(Eu_tabel_a[[#This Row],[Indeks]],_xlfn.IFNA(FB$2,-99),FB$5,_xlfn.IFNA(FB$3,-99),FB$6,_xlfn.IFNA(FB$4,-99),FB$7,""),"")</f>
        <v/>
      </c>
      <c r="FE41" s="32">
        <f>Eu_tabel_a[[#This Row],[x base]]*SQRT(Eu_a_h0_x*(1-Eu_a_h0_x)/Eu_a_n_x)+Eu_a_h0_x</f>
        <v>0</v>
      </c>
      <c r="FJ41" s="74" t="e">
        <f t="shared" si="18"/>
        <v>#N/A</v>
      </c>
      <c r="FK41" s="82" t="e">
        <f t="shared" si="113"/>
        <v>#DIV/0!</v>
      </c>
      <c r="FL41" s="7" t="e">
        <f t="shared" si="12"/>
        <v>#DIV/0!</v>
      </c>
      <c r="FM41" t="e">
        <f t="shared" si="114"/>
        <v>#DIV/0!</v>
      </c>
      <c r="FN41" s="8" t="e">
        <f t="shared" si="115"/>
        <v>#DIV/0!</v>
      </c>
      <c r="FO41" s="8" t="e">
        <f t="shared" si="116"/>
        <v>#DIV/0!</v>
      </c>
      <c r="FP41" s="81" t="e">
        <f t="shared" si="117"/>
        <v>#DIV/0!</v>
      </c>
      <c r="FQ41" s="74" t="e">
        <f t="shared" ca="1" si="13"/>
        <v>#N/A</v>
      </c>
      <c r="FR41" s="82" t="e" vm="3">
        <f t="shared" ca="1" si="19"/>
        <v>#VALUE!</v>
      </c>
      <c r="FS41" s="7" t="e" vm="3">
        <f t="shared" ca="1" si="14"/>
        <v>#VALUE!</v>
      </c>
      <c r="FT41" t="e" vm="3">
        <f t="shared" ca="1" si="8"/>
        <v>#VALUE!</v>
      </c>
      <c r="FU41" s="8" t="e" vm="3">
        <f t="shared" ca="1" si="9"/>
        <v>#VALUE!</v>
      </c>
      <c r="FV41" s="8" t="e" vm="3">
        <f t="shared" ca="1" si="10"/>
        <v>#VALUE!</v>
      </c>
      <c r="FW41" s="81" t="e" vm="3">
        <f t="shared" ca="1" si="11"/>
        <v>#VALUE!</v>
      </c>
      <c r="FX41" s="74" t="e">
        <f t="shared" si="15"/>
        <v>#N/A</v>
      </c>
      <c r="FY41" s="82" t="e">
        <f t="shared" si="20"/>
        <v>#N/A</v>
      </c>
      <c r="FZ41" s="7" t="e">
        <f t="shared" si="16"/>
        <v>#N/A</v>
      </c>
      <c r="GA41" t="e">
        <f t="shared" si="21"/>
        <v>#N/A</v>
      </c>
      <c r="GB41" s="8" t="e">
        <f t="shared" si="22"/>
        <v>#N/A</v>
      </c>
      <c r="GC41" s="8" t="e">
        <f t="shared" si="23"/>
        <v>#N/A</v>
      </c>
      <c r="GD41" s="81" t="e">
        <f t="shared" si="24"/>
        <v>#N/A</v>
      </c>
      <c r="GE41" s="74" t="e">
        <f t="shared" si="25"/>
        <v>#N/A</v>
      </c>
      <c r="GF41" s="82" t="e">
        <f t="shared" si="26"/>
        <v>#N/A</v>
      </c>
      <c r="GG41" s="7" t="e">
        <f t="shared" si="17"/>
        <v>#N/A</v>
      </c>
      <c r="GH41" t="e">
        <f t="shared" si="27"/>
        <v>#N/A</v>
      </c>
      <c r="GI41" s="8" t="e">
        <f t="shared" si="28"/>
        <v>#N/A</v>
      </c>
      <c r="GJ41" s="8" t="e">
        <f t="shared" si="29"/>
        <v>#N/A</v>
      </c>
      <c r="GK41" s="81" t="e">
        <f t="shared" si="30"/>
        <v>#N/A</v>
      </c>
      <c r="GL41" s="81"/>
      <c r="GM41" s="81"/>
      <c r="GP41" s="59">
        <f t="shared" si="81"/>
        <v>31</v>
      </c>
      <c r="GQ41" s="32">
        <f t="shared" si="82"/>
        <v>32</v>
      </c>
      <c r="GR41" s="59">
        <f t="shared" si="83"/>
        <v>-2.347618341119734</v>
      </c>
      <c r="GS41" s="59">
        <f t="shared" si="84"/>
        <v>2.5359687526847842E-2</v>
      </c>
      <c r="GT41" s="59" t="e">
        <f t="shared" si="85"/>
        <v>#N/A</v>
      </c>
      <c r="GU41" s="59" t="e">
        <f t="shared" si="86"/>
        <v>#N/A</v>
      </c>
      <c r="GV41" s="59" t="e">
        <f t="shared" si="87"/>
        <v>#N/A</v>
      </c>
      <c r="GW41" s="59" t="b">
        <f t="shared" si="88"/>
        <v>1</v>
      </c>
      <c r="GX41" s="59" t="b">
        <f t="shared" si="89"/>
        <v>0</v>
      </c>
      <c r="GY41" s="59" t="b">
        <f t="shared" si="90"/>
        <v>1</v>
      </c>
      <c r="GZ41" s="59" t="b">
        <f t="shared" si="91"/>
        <v>0</v>
      </c>
      <c r="HA41" s="59">
        <f t="shared" si="92"/>
        <v>2.5359687526847842E-2</v>
      </c>
      <c r="HB41" s="59">
        <f t="shared" si="93"/>
        <v>2.5359687526847842E-2</v>
      </c>
      <c r="HC41" s="59" t="e">
        <f t="shared" si="94"/>
        <v>#N/A</v>
      </c>
      <c r="HD41" s="60" t="str">
        <f t="shared" si="95"/>
        <v/>
      </c>
      <c r="HJ41" s="59">
        <f t="shared" si="96"/>
        <v>31</v>
      </c>
      <c r="HK41" s="32">
        <f t="shared" si="97"/>
        <v>32</v>
      </c>
      <c r="HL41" s="59">
        <f t="shared" si="98"/>
        <v>-3.635336307027571</v>
      </c>
      <c r="HM41" s="59" t="e">
        <f t="shared" si="99"/>
        <v>#N/A</v>
      </c>
      <c r="HN41" s="59">
        <f t="shared" si="100"/>
        <v>5.5346566224468898E-3</v>
      </c>
      <c r="HO41" s="59" t="e">
        <f t="shared" si="101"/>
        <v>#N/A</v>
      </c>
      <c r="HP41" s="59" t="e">
        <f t="shared" si="102"/>
        <v>#N/A</v>
      </c>
      <c r="HQ41" s="59" t="b">
        <f t="shared" si="103"/>
        <v>1</v>
      </c>
      <c r="HR41" s="59" t="b">
        <f t="shared" si="104"/>
        <v>0</v>
      </c>
      <c r="HS41" s="59" t="b">
        <f t="shared" si="105"/>
        <v>1</v>
      </c>
      <c r="HT41" s="59" t="b">
        <f t="shared" si="106"/>
        <v>0</v>
      </c>
      <c r="HU41" s="59">
        <f t="shared" si="107"/>
        <v>5.5346566224468898E-3</v>
      </c>
      <c r="HV41" s="59">
        <f t="shared" si="108"/>
        <v>5.5346566224468898E-3</v>
      </c>
      <c r="HW41" s="59" t="e">
        <f t="shared" si="109"/>
        <v>#N/A</v>
      </c>
      <c r="HX41" s="60" t="str">
        <f t="shared" si="110"/>
        <v/>
      </c>
    </row>
    <row r="42" spans="1:232" x14ac:dyDescent="0.2">
      <c r="A42" s="35" t="s">
        <v>229</v>
      </c>
      <c r="B42" s="69">
        <f>AVERAGE(_xlfn.ANCHORARRAY(BF43))</f>
        <v>1.8540044183209705</v>
      </c>
      <c r="E42" s="53"/>
      <c r="F42" s="88"/>
      <c r="H42" s="35" t="s">
        <v>230</v>
      </c>
      <c r="I42" s="69">
        <f>_xlfn.STDEV.S(_xlfn.ANCHORARRAY(BG43))</f>
        <v>4.2847095293134156</v>
      </c>
      <c r="L42" s="53"/>
      <c r="M42" s="58"/>
      <c r="N42" s="64"/>
      <c r="O42" s="35" t="s">
        <v>232</v>
      </c>
      <c r="P42" s="68">
        <f>COUNTIF(_xlfn.ANCHORARRAY(BH43),TRUE)/COUNTA(_xlfn.ANCHORARRAY(BH43))</f>
        <v>0.41666666666666669</v>
      </c>
      <c r="S42" s="53"/>
      <c r="T42" s="55"/>
      <c r="V42" s="53" t="s">
        <v>236</v>
      </c>
      <c r="W42" s="57">
        <f>AVERAGE(_xlfn.ANCHORARRAY(BI43))</f>
        <v>1.8540044183209705</v>
      </c>
      <c r="Z42" s="53"/>
      <c r="AA42" s="55"/>
      <c r="AC42" s="35" t="s">
        <v>7</v>
      </c>
      <c r="AD42" s="28" t="s">
        <v>141</v>
      </c>
      <c r="AE42" s="66" t="e">
        <f>IF(BJ38,"Værdier hentet fra lineær regression","Værdier ikke fundet i lineær regression")</f>
        <v>#REF!</v>
      </c>
      <c r="AG42" s="53" t="str">
        <v>P-værdi</v>
      </c>
      <c r="AH42" s="73">
        <v>0.93410377293293312</v>
      </c>
      <c r="BE42" s="53" t="s">
        <v>16</v>
      </c>
      <c r="BF42" s="57" cm="1">
        <f t="array" ref="BF42:BJ42">INDEX(DataBeregning!B5:CW5,_xlfn.ANCHORARRAY(BF41))</f>
        <v>12</v>
      </c>
      <c r="BG42" s="57">
        <v>12</v>
      </c>
      <c r="BH42" s="57">
        <v>12</v>
      </c>
      <c r="BI42" s="57">
        <v>12</v>
      </c>
      <c r="BJ42" s="57">
        <v>12</v>
      </c>
      <c r="BL42" s="53" t="s">
        <v>248</v>
      </c>
      <c r="BM42" s="87" t="e" cm="1">
        <f t="array" ref="BM42">IF(NOT($BH$2),IF(INDEX(E_a_valg[Nulhypotese kan ikke afvises],E_a_aktiv),"Nulhypotese kan ikke afvises","Nulhypotese afvises"),NA())</f>
        <v>#N/A</v>
      </c>
      <c r="BZ42" s="59">
        <f t="shared" si="36"/>
        <v>32</v>
      </c>
      <c r="CA42" s="32">
        <f>Eu_tabel_g[[#This Row],[Indeks]]+1</f>
        <v>33</v>
      </c>
      <c r="CB42" s="59">
        <f t="shared" si="37"/>
        <v>-2.3236630519246346</v>
      </c>
      <c r="CC42" s="59">
        <f t="shared" si="38"/>
        <v>2.681903123843965E-2</v>
      </c>
      <c r="CD42" s="59" t="e">
        <f t="shared" si="39"/>
        <v>#N/A</v>
      </c>
      <c r="CE42" s="59" t="e">
        <f t="shared" si="40"/>
        <v>#N/A</v>
      </c>
      <c r="CF42" s="59" t="e">
        <f t="shared" si="41"/>
        <v>#N/A</v>
      </c>
      <c r="CG42" s="59" t="b">
        <f t="shared" si="42"/>
        <v>1</v>
      </c>
      <c r="CH42" s="59" t="b">
        <f t="shared" si="43"/>
        <v>0</v>
      </c>
      <c r="CI42" s="59" t="b">
        <f t="shared" si="44"/>
        <v>1</v>
      </c>
      <c r="CJ42" s="59" t="b">
        <f t="shared" si="45"/>
        <v>0</v>
      </c>
      <c r="CK42" s="59">
        <f t="shared" si="118"/>
        <v>2.681903123843965E-2</v>
      </c>
      <c r="CL42" s="59">
        <f t="shared" si="47"/>
        <v>2.681903123843965E-2</v>
      </c>
      <c r="CM42" s="59" t="e">
        <f t="shared" si="48"/>
        <v>#N/A</v>
      </c>
      <c r="CN42" s="60" t="str">
        <f t="shared" si="49"/>
        <v/>
      </c>
      <c r="CO42" s="32">
        <f>_xlfn.NORM.DIST(_xlfn.NORM.INV(1-Eu_g_konfidensniveau,0,1)-Eu_tabel_g[[#This Row],[x base]],0,1,TRUE)</f>
        <v>0.75137068940614915</v>
      </c>
      <c r="CP42" s="32">
        <f>1-_xlfn.NORM.DIST(_xlfn.NORM.INV(Eu_g_konfidensniveau,0,1)-Eu_tabel_g[[#This Row],[x base]],0,1,TRUE)</f>
        <v>3.6160698152931658E-5</v>
      </c>
      <c r="CQ42" s="32">
        <f>_xlfn.NORM.DIST(_xlfn.NORM.INV((1-Eu_g_konfidensniveau)/2,0,1)-Eu_tabel_g[[#This Row],[x base]],0,1,TRUE)+1-_xlfn.NORM.DIST(_xlfn.NORM.INV(1-(1-Eu_g_konfidensniveau)/2,0,1)-Eu_tabel_g[[#This Row],[x base]],0,1,TRUE)</f>
        <v>0.64196782362632765</v>
      </c>
      <c r="CR42" s="32" t="e" cm="1">
        <f t="array" ref="CR42">IF($CR$3,INDEX(Eu_tabel_g[[#This Row],[Styrke venstre]:[Styrke tosidet]],CR$7),NA())</f>
        <v>#N/A</v>
      </c>
      <c r="CS42" s="52" t="e">
        <f>Eu_tabel_g[[#This Row],[Falsk positiv
Nulhypotese accepteres
Fejltype 1]]</f>
        <v>#N/A</v>
      </c>
      <c r="CT42" s="52" t="e">
        <f>IF(CHOOSE(CR$7,Eu_tabel_g[[#This Row],[x base]]&gt;0,Eu_tabel_g[[#This Row],[x base]]&lt;0,Eu_tabel_g[[#This Row],[x base]]=0),Eu_tabel_g[[#This Row],[Styrke, aktiv]],NA())</f>
        <v>#N/A</v>
      </c>
      <c r="CU42" s="52" t="e">
        <f>IFERROR(IF($CR$3,Eu_tabel_g[[#This Row],[Styrke, aktiv]],NA()),NA())</f>
        <v>#N/A</v>
      </c>
      <c r="CV42" s="52" t="e">
        <f>IF(ISNA(Eu_tabel_g[[#This Row],[Sand negativ
Nulhypotese afvises
Korrekt]]),NA(),IF($CR$3,1,NA()))</f>
        <v>#N/A</v>
      </c>
      <c r="CW42" s="34" t="str" cm="1">
        <f t="array" ref="CW42">_xlfn.SWITCH(BZ42,_xlfn.IFNA(CU$2,-99),CU$5,_xlfn.IFNA(CU$3,-99),CU$6,_xlfn.IFNA(CU$4,-99),CU$7,"")</f>
        <v/>
      </c>
      <c r="DA42" s="7">
        <f t="shared" si="50"/>
        <v>0.8</v>
      </c>
      <c r="DB42">
        <f>IF(ROW(Styrkeberegning_G[[#This Row],[X base venstre]])=ROW(Styrkeberegning_G[[#Headers],[X base venstre]])+1,DB$7/(DA$7/$B$67),DB41/(DA41/$B$67))</f>
        <v>-2.8015817870135784</v>
      </c>
      <c r="DC42">
        <f>Styrkeberegning_G[[#This Row],[X base venstre]]*-1</f>
        <v>2.8015817870135784</v>
      </c>
      <c r="DN42" s="59">
        <f t="shared" si="51"/>
        <v>32</v>
      </c>
      <c r="DO42" s="32">
        <f t="shared" si="52"/>
        <v>33</v>
      </c>
      <c r="DP42" s="59">
        <f t="shared" si="53"/>
        <v>5.4841200699977222</v>
      </c>
      <c r="DQ42" s="59" t="e">
        <f t="shared" si="54"/>
        <v>#N/A</v>
      </c>
      <c r="DR42" s="59" t="e">
        <f t="shared" si="55"/>
        <v>#N/A</v>
      </c>
      <c r="DS42" s="59">
        <f t="shared" si="56"/>
        <v>5.7623284774130229E-2</v>
      </c>
      <c r="DT42" s="59" t="e">
        <f t="shared" si="57"/>
        <v>#N/A</v>
      </c>
      <c r="DU42" s="59" t="b">
        <f t="shared" si="58"/>
        <v>0</v>
      </c>
      <c r="DV42" s="59" t="b">
        <f t="shared" si="59"/>
        <v>1</v>
      </c>
      <c r="DW42" s="59" t="b">
        <f t="shared" si="60"/>
        <v>0</v>
      </c>
      <c r="DX42" s="59" t="b">
        <f t="shared" si="61"/>
        <v>1</v>
      </c>
      <c r="DY42" s="59">
        <f t="shared" si="62"/>
        <v>5.7623284774130229E-2</v>
      </c>
      <c r="DZ42" s="59" t="e">
        <f t="shared" si="63"/>
        <v>#N/A</v>
      </c>
      <c r="EA42" s="59">
        <f t="shared" si="64"/>
        <v>5.7623284774130229E-2</v>
      </c>
      <c r="EB42" s="60" t="str">
        <f t="shared" si="65"/>
        <v/>
      </c>
      <c r="EG42" s="59">
        <f t="shared" si="66"/>
        <v>32</v>
      </c>
      <c r="EH42" s="32">
        <f t="shared" si="67"/>
        <v>33</v>
      </c>
      <c r="EI42" s="59">
        <f t="shared" si="68"/>
        <v>-2.3236630519246346</v>
      </c>
      <c r="EJ42" s="59">
        <f t="shared" si="69"/>
        <v>2.681903123843965E-2</v>
      </c>
      <c r="EK42" s="59" t="e">
        <f t="shared" si="70"/>
        <v>#N/A</v>
      </c>
      <c r="EL42" s="59" t="e">
        <f t="shared" si="71"/>
        <v>#N/A</v>
      </c>
      <c r="EM42" s="59" t="e">
        <f t="shared" si="72"/>
        <v>#N/A</v>
      </c>
      <c r="EN42" s="59" t="b">
        <f t="shared" si="73"/>
        <v>1</v>
      </c>
      <c r="EO42" s="59" t="b">
        <f t="shared" si="74"/>
        <v>0</v>
      </c>
      <c r="EP42" s="59" t="b">
        <f t="shared" si="75"/>
        <v>1</v>
      </c>
      <c r="EQ42" s="59" t="b">
        <f t="shared" si="76"/>
        <v>0</v>
      </c>
      <c r="ER42" s="59">
        <f t="shared" si="77"/>
        <v>2.681903123843965E-2</v>
      </c>
      <c r="ES42" s="59">
        <f t="shared" si="78"/>
        <v>2.681903123843965E-2</v>
      </c>
      <c r="ET42" s="59" t="e">
        <f t="shared" si="79"/>
        <v>#N/A</v>
      </c>
      <c r="EU42" s="60" t="str">
        <f t="shared" si="80"/>
        <v/>
      </c>
      <c r="EV4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2" s="32" t="e" cm="1">
        <f t="array" ref="EY42">IF($CR$3,INDEX(Eu_tabel_a[[#This Row],[Styrke venstre]:[Styrke tosidet]],EY$7),NA())</f>
        <v>#N/A</v>
      </c>
      <c r="EZ42" s="32" t="e">
        <f>IF(EY$3,IF(CHOOSE(EY$7,Eu_tabel_a[[#This Row],[x base]]&gt;0,Eu_tabel_a[[#This Row],[x base]]&lt;0,Eu_tabel_a[[#This Row],[x base]]=0),1,NA()),NA())</f>
        <v>#N/A</v>
      </c>
      <c r="FA42" s="32" t="e">
        <f>IF(CHOOSE(EY$7,Eu_tabel_a[[#This Row],[x base]]&gt;0,Eu_tabel_a[[#This Row],[x base]]&lt;0,Eu_tabel_a[[#This Row],[x base]]=0),Eu_tabel_a[[#This Row],[Styrke, aktiv]],NA())</f>
        <v>#N/A</v>
      </c>
      <c r="FB42" s="32" t="e">
        <f>IFERROR(IF($EY$3,Eu_tabel_a[[#This Row],[Styrke, aktiv]],NA()),NA())</f>
        <v>#N/A</v>
      </c>
      <c r="FC42" s="32" t="e">
        <f>IF(ISNA(Eu_tabel_a[[#This Row],[Sand negativ
Nulhypotese afvises
Korrekt]]),NA(),IF(EY$3,1,NA()))</f>
        <v>#N/A</v>
      </c>
      <c r="FD42" s="33" t="str" cm="1">
        <f t="array" ref="FD42">IFERROR(_xlfn.SWITCH(Eu_tabel_a[[#This Row],[Indeks]],_xlfn.IFNA(FB$2,-99),FB$5,_xlfn.IFNA(FB$3,-99),FB$6,_xlfn.IFNA(FB$4,-99),FB$7,""),"")</f>
        <v/>
      </c>
      <c r="FE42" s="32">
        <f>Eu_tabel_a[[#This Row],[x base]]*SQRT(Eu_a_h0_x*(1-Eu_a_h0_x)/Eu_a_n_x)+Eu_a_h0_x</f>
        <v>0</v>
      </c>
      <c r="FJ42" s="74" t="e">
        <f t="shared" si="18"/>
        <v>#N/A</v>
      </c>
      <c r="FK42" s="82" t="e">
        <f t="shared" si="113"/>
        <v>#DIV/0!</v>
      </c>
      <c r="FL42" s="7" t="e">
        <f t="shared" si="12"/>
        <v>#DIV/0!</v>
      </c>
      <c r="FM42" t="e">
        <f t="shared" si="114"/>
        <v>#DIV/0!</v>
      </c>
      <c r="FN42" s="8" t="e">
        <f t="shared" si="115"/>
        <v>#DIV/0!</v>
      </c>
      <c r="FO42" s="8" t="e">
        <f t="shared" si="116"/>
        <v>#DIV/0!</v>
      </c>
      <c r="FP42" s="81" t="e">
        <f t="shared" si="117"/>
        <v>#DIV/0!</v>
      </c>
      <c r="FQ42" s="74" t="e">
        <f t="shared" ca="1" si="13"/>
        <v>#N/A</v>
      </c>
      <c r="FR42" s="82" t="e" vm="3">
        <f t="shared" ca="1" si="19"/>
        <v>#VALUE!</v>
      </c>
      <c r="FS42" s="7" t="e" vm="3">
        <f t="shared" ca="1" si="14"/>
        <v>#VALUE!</v>
      </c>
      <c r="FT42" t="e" vm="3">
        <f t="shared" ca="1" si="8"/>
        <v>#VALUE!</v>
      </c>
      <c r="FU42" s="8" t="e" vm="3">
        <f t="shared" ca="1" si="9"/>
        <v>#VALUE!</v>
      </c>
      <c r="FV42" s="8" t="e" vm="3">
        <f t="shared" ca="1" si="10"/>
        <v>#VALUE!</v>
      </c>
      <c r="FW42" s="81" t="e" vm="3">
        <f t="shared" ca="1" si="11"/>
        <v>#VALUE!</v>
      </c>
      <c r="FX42" s="74" t="e">
        <f t="shared" si="15"/>
        <v>#N/A</v>
      </c>
      <c r="FY42" s="82" t="e">
        <f t="shared" si="20"/>
        <v>#N/A</v>
      </c>
      <c r="FZ42" s="7" t="e">
        <f t="shared" si="16"/>
        <v>#N/A</v>
      </c>
      <c r="GA42" t="e">
        <f t="shared" si="21"/>
        <v>#N/A</v>
      </c>
      <c r="GB42" s="8" t="e">
        <f t="shared" si="22"/>
        <v>#N/A</v>
      </c>
      <c r="GC42" s="8" t="e">
        <f t="shared" si="23"/>
        <v>#N/A</v>
      </c>
      <c r="GD42" s="81" t="e">
        <f t="shared" si="24"/>
        <v>#N/A</v>
      </c>
      <c r="GE42" s="74" t="e">
        <f t="shared" si="25"/>
        <v>#N/A</v>
      </c>
      <c r="GF42" s="82" t="e">
        <f t="shared" si="26"/>
        <v>#N/A</v>
      </c>
      <c r="GG42" s="7" t="e">
        <f t="shared" si="17"/>
        <v>#N/A</v>
      </c>
      <c r="GH42" t="e">
        <f t="shared" si="27"/>
        <v>#N/A</v>
      </c>
      <c r="GI42" s="8" t="e">
        <f t="shared" si="28"/>
        <v>#N/A</v>
      </c>
      <c r="GJ42" s="8" t="e">
        <f t="shared" si="29"/>
        <v>#N/A</v>
      </c>
      <c r="GK42" s="81" t="e">
        <f t="shared" si="30"/>
        <v>#N/A</v>
      </c>
      <c r="GL42" s="81"/>
      <c r="GM42" s="81"/>
      <c r="GP42" s="59">
        <f t="shared" si="81"/>
        <v>32</v>
      </c>
      <c r="GQ42" s="32">
        <f t="shared" si="82"/>
        <v>33</v>
      </c>
      <c r="GR42" s="59">
        <f t="shared" si="83"/>
        <v>-2.3236630519246346</v>
      </c>
      <c r="GS42" s="59">
        <f t="shared" si="84"/>
        <v>2.681903123843965E-2</v>
      </c>
      <c r="GT42" s="59" t="e">
        <f t="shared" si="85"/>
        <v>#N/A</v>
      </c>
      <c r="GU42" s="59" t="e">
        <f t="shared" si="86"/>
        <v>#N/A</v>
      </c>
      <c r="GV42" s="59" t="e">
        <f t="shared" si="87"/>
        <v>#N/A</v>
      </c>
      <c r="GW42" s="59" t="b">
        <f t="shared" si="88"/>
        <v>1</v>
      </c>
      <c r="GX42" s="59" t="b">
        <f t="shared" si="89"/>
        <v>0</v>
      </c>
      <c r="GY42" s="59" t="b">
        <f t="shared" si="90"/>
        <v>1</v>
      </c>
      <c r="GZ42" s="59" t="b">
        <f t="shared" si="91"/>
        <v>0</v>
      </c>
      <c r="HA42" s="59">
        <f t="shared" si="92"/>
        <v>2.681903123843965E-2</v>
      </c>
      <c r="HB42" s="59">
        <f t="shared" si="93"/>
        <v>2.681903123843965E-2</v>
      </c>
      <c r="HC42" s="59" t="e">
        <f t="shared" si="94"/>
        <v>#N/A</v>
      </c>
      <c r="HD42" s="60" t="str">
        <f t="shared" si="95"/>
        <v/>
      </c>
      <c r="HJ42" s="59">
        <f t="shared" si="96"/>
        <v>32</v>
      </c>
      <c r="HK42" s="32">
        <f t="shared" si="97"/>
        <v>33</v>
      </c>
      <c r="HL42" s="59">
        <f t="shared" si="98"/>
        <v>-3.598241038588514</v>
      </c>
      <c r="HM42" s="59" t="e">
        <f t="shared" si="99"/>
        <v>#N/A</v>
      </c>
      <c r="HN42" s="59">
        <f t="shared" si="100"/>
        <v>5.8385285622718358E-3</v>
      </c>
      <c r="HO42" s="59" t="e">
        <f t="shared" si="101"/>
        <v>#N/A</v>
      </c>
      <c r="HP42" s="59" t="e">
        <f t="shared" si="102"/>
        <v>#N/A</v>
      </c>
      <c r="HQ42" s="59" t="b">
        <f t="shared" si="103"/>
        <v>1</v>
      </c>
      <c r="HR42" s="59" t="b">
        <f t="shared" si="104"/>
        <v>0</v>
      </c>
      <c r="HS42" s="59" t="b">
        <f t="shared" si="105"/>
        <v>1</v>
      </c>
      <c r="HT42" s="59" t="b">
        <f t="shared" si="106"/>
        <v>0</v>
      </c>
      <c r="HU42" s="59">
        <f t="shared" si="107"/>
        <v>5.8385285622718358E-3</v>
      </c>
      <c r="HV42" s="59">
        <f t="shared" si="108"/>
        <v>5.8385285622718358E-3</v>
      </c>
      <c r="HW42" s="59" t="e">
        <f t="shared" si="109"/>
        <v>#N/A</v>
      </c>
      <c r="HX42" s="60" t="str">
        <f t="shared" si="110"/>
        <v/>
      </c>
    </row>
    <row r="43" spans="1:232" x14ac:dyDescent="0.2">
      <c r="A43" s="35" t="s">
        <v>217</v>
      </c>
      <c r="B43" s="70"/>
      <c r="E43" s="53"/>
      <c r="F43" s="88"/>
      <c r="H43" s="35" t="s">
        <v>228</v>
      </c>
      <c r="I43" s="70"/>
      <c r="L43" s="53"/>
      <c r="M43" s="56"/>
      <c r="N43" s="64"/>
      <c r="O43" s="35" t="s">
        <v>233</v>
      </c>
      <c r="P43" s="67"/>
      <c r="S43" s="53"/>
      <c r="T43" s="73"/>
      <c r="V43" s="53" t="s">
        <v>235</v>
      </c>
      <c r="W43" s="67"/>
      <c r="Z43" s="53"/>
      <c r="AA43" s="73"/>
      <c r="AC43" s="35" t="s">
        <v>241</v>
      </c>
      <c r="AD43" s="57" t="e">
        <f>IF(BJ38,INDEX(_xlfn.ANCHORARRAY(#REF!),MATCH(AD42,_xlfn.ANCHORARRAY(#REF!))),NA())</f>
        <v>#REF!</v>
      </c>
      <c r="AG43" s="53" t="str">
        <v>Konklusion om nulhypotese</v>
      </c>
      <c r="AH43" s="54" t="str">
        <v>Nulhypotese kan ikke afvises</v>
      </c>
      <c r="BE43" s="84" t="s">
        <v>318</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59">
        <f t="shared" si="36"/>
        <v>33</v>
      </c>
      <c r="CA43" s="32">
        <f>Eu_tabel_g[[#This Row],[Indeks]]+1</f>
        <v>34</v>
      </c>
      <c r="CB43" s="59">
        <f t="shared" si="37"/>
        <v>-2.2997077627295353</v>
      </c>
      <c r="CC43" s="59">
        <f t="shared" si="38"/>
        <v>2.8346082828649768E-2</v>
      </c>
      <c r="CD43" s="59" t="e">
        <f t="shared" si="39"/>
        <v>#N/A</v>
      </c>
      <c r="CE43" s="59" t="e">
        <f t="shared" si="40"/>
        <v>#N/A</v>
      </c>
      <c r="CF43" s="59" t="e">
        <f t="shared" si="41"/>
        <v>#N/A</v>
      </c>
      <c r="CG43" s="59" t="b">
        <f t="shared" si="42"/>
        <v>1</v>
      </c>
      <c r="CH43" s="59" t="b">
        <f t="shared" si="43"/>
        <v>0</v>
      </c>
      <c r="CI43" s="59" t="b">
        <f t="shared" si="44"/>
        <v>1</v>
      </c>
      <c r="CJ43" s="59" t="b">
        <f t="shared" si="45"/>
        <v>0</v>
      </c>
      <c r="CK43" s="59">
        <f t="shared" si="118"/>
        <v>2.8346082828649768E-2</v>
      </c>
      <c r="CL43" s="59">
        <f t="shared" si="47"/>
        <v>2.8346082828649768E-2</v>
      </c>
      <c r="CM43" s="59" t="e">
        <f t="shared" si="48"/>
        <v>#N/A</v>
      </c>
      <c r="CN43" s="60" t="str">
        <f t="shared" si="49"/>
        <v/>
      </c>
      <c r="CO43" s="32">
        <f>_xlfn.NORM.DIST(_xlfn.NORM.INV(1-Eu_g_konfidensniveau,0,1)-Eu_tabel_g[[#This Row],[x base]],0,1,TRUE)</f>
        <v>0.74371916406168304</v>
      </c>
      <c r="CP43" s="32">
        <f>1-_xlfn.NORM.DIST(_xlfn.NORM.INV(Eu_g_konfidensniveau,0,1)-Eu_tabel_g[[#This Row],[x base]],0,1,TRUE)</f>
        <v>3.9973085832145649E-5</v>
      </c>
      <c r="CQ43" s="32">
        <f>_xlfn.NORM.DIST(_xlfn.NORM.INV((1-Eu_g_konfidensniveau)/2,0,1)-Eu_tabel_g[[#This Row],[x base]],0,1,TRUE)+1-_xlfn.NORM.DIST(_xlfn.NORM.INV(1-(1-Eu_g_konfidensniveau)/2,0,1)-Eu_tabel_g[[#This Row],[x base]],0,1,TRUE)</f>
        <v>0.63298549116825475</v>
      </c>
      <c r="CR43" s="32" t="e" cm="1">
        <f t="array" ref="CR43">IF($CR$3,INDEX(Eu_tabel_g[[#This Row],[Styrke venstre]:[Styrke tosidet]],CR$7),NA())</f>
        <v>#N/A</v>
      </c>
      <c r="CS43" s="52" t="e">
        <f>Eu_tabel_g[[#This Row],[Falsk positiv
Nulhypotese accepteres
Fejltype 1]]</f>
        <v>#N/A</v>
      </c>
      <c r="CT43" s="52" t="e">
        <f>IF(CHOOSE(CR$7,Eu_tabel_g[[#This Row],[x base]]&gt;0,Eu_tabel_g[[#This Row],[x base]]&lt;0,Eu_tabel_g[[#This Row],[x base]]=0),Eu_tabel_g[[#This Row],[Styrke, aktiv]],NA())</f>
        <v>#N/A</v>
      </c>
      <c r="CU43" s="52" t="e">
        <f>IFERROR(IF($CR$3,Eu_tabel_g[[#This Row],[Styrke, aktiv]],NA()),NA())</f>
        <v>#N/A</v>
      </c>
      <c r="CV43" s="52" t="e">
        <f>IF(ISNA(Eu_tabel_g[[#This Row],[Sand negativ
Nulhypotese afvises
Korrekt]]),NA(),IF($CR$3,1,NA()))</f>
        <v>#N/A</v>
      </c>
      <c r="CW43" s="34" t="str" cm="1">
        <f t="array" ref="CW43">_xlfn.SWITCH(BZ43,_xlfn.IFNA(CU$2,-99),CU$5,_xlfn.IFNA(CU$3,-99),CU$6,_xlfn.IFNA(CU$4,-99),CU$7,"")</f>
        <v/>
      </c>
      <c r="DA43" s="7">
        <f t="shared" si="50"/>
        <v>0.8</v>
      </c>
      <c r="DB43">
        <f>IF(ROW(Styrkeberegning_G[[#This Row],[X base venstre]])=ROW(Styrkeberegning_G[[#Headers],[X base venstre]])+1,DB$7/(DA$7/$B$67),DB42/(DA42/$B$67))</f>
        <v>-2.8015817870135784</v>
      </c>
      <c r="DC43">
        <f>Styrkeberegning_G[[#This Row],[X base venstre]]*-1</f>
        <v>2.8015817870135784</v>
      </c>
      <c r="DN43" s="59">
        <f t="shared" si="51"/>
        <v>33</v>
      </c>
      <c r="DO43" s="32">
        <f t="shared" si="52"/>
        <v>34</v>
      </c>
      <c r="DP43" s="59">
        <f t="shared" si="53"/>
        <v>5.5981909264147234</v>
      </c>
      <c r="DQ43" s="59" t="e">
        <f t="shared" si="54"/>
        <v>#N/A</v>
      </c>
      <c r="DR43" s="59" t="e">
        <f t="shared" si="55"/>
        <v>#N/A</v>
      </c>
      <c r="DS43" s="59">
        <f t="shared" si="56"/>
        <v>5.9711945362308241E-2</v>
      </c>
      <c r="DT43" s="59" t="e">
        <f t="shared" si="57"/>
        <v>#N/A</v>
      </c>
      <c r="DU43" s="59" t="b">
        <f t="shared" si="58"/>
        <v>0</v>
      </c>
      <c r="DV43" s="59" t="b">
        <f t="shared" si="59"/>
        <v>1</v>
      </c>
      <c r="DW43" s="59" t="b">
        <f t="shared" si="60"/>
        <v>0</v>
      </c>
      <c r="DX43" s="59" t="b">
        <f t="shared" si="61"/>
        <v>1</v>
      </c>
      <c r="DY43" s="59">
        <f t="shared" si="62"/>
        <v>5.9711945362308241E-2</v>
      </c>
      <c r="DZ43" s="59" t="e">
        <f t="shared" si="63"/>
        <v>#N/A</v>
      </c>
      <c r="EA43" s="59">
        <f t="shared" si="64"/>
        <v>5.9711945362308241E-2</v>
      </c>
      <c r="EB43" s="60" t="str">
        <f t="shared" si="65"/>
        <v/>
      </c>
      <c r="EG43" s="59">
        <f t="shared" si="66"/>
        <v>33</v>
      </c>
      <c r="EH43" s="32">
        <f t="shared" si="67"/>
        <v>34</v>
      </c>
      <c r="EI43" s="59">
        <f t="shared" si="68"/>
        <v>-2.2997077627295353</v>
      </c>
      <c r="EJ43" s="59">
        <f t="shared" si="69"/>
        <v>2.8346082828649768E-2</v>
      </c>
      <c r="EK43" s="59" t="e">
        <f t="shared" si="70"/>
        <v>#N/A</v>
      </c>
      <c r="EL43" s="59" t="e">
        <f t="shared" si="71"/>
        <v>#N/A</v>
      </c>
      <c r="EM43" s="59" t="e">
        <f t="shared" si="72"/>
        <v>#N/A</v>
      </c>
      <c r="EN43" s="59" t="b">
        <f t="shared" si="73"/>
        <v>1</v>
      </c>
      <c r="EO43" s="59" t="b">
        <f t="shared" si="74"/>
        <v>0</v>
      </c>
      <c r="EP43" s="59" t="b">
        <f t="shared" si="75"/>
        <v>1</v>
      </c>
      <c r="EQ43" s="59" t="b">
        <f t="shared" si="76"/>
        <v>0</v>
      </c>
      <c r="ER43" s="59">
        <f t="shared" si="77"/>
        <v>2.8346082828649768E-2</v>
      </c>
      <c r="ES43" s="59">
        <f t="shared" si="78"/>
        <v>2.8346082828649768E-2</v>
      </c>
      <c r="ET43" s="59" t="e">
        <f t="shared" si="79"/>
        <v>#N/A</v>
      </c>
      <c r="EU43" s="60" t="str">
        <f t="shared" si="80"/>
        <v/>
      </c>
      <c r="EV4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3" s="32" t="e" cm="1">
        <f t="array" ref="EY43">IF($CR$3,INDEX(Eu_tabel_a[[#This Row],[Styrke venstre]:[Styrke tosidet]],EY$7),NA())</f>
        <v>#N/A</v>
      </c>
      <c r="EZ43" s="32" t="e">
        <f>IF(EY$3,IF(CHOOSE(EY$7,Eu_tabel_a[[#This Row],[x base]]&gt;0,Eu_tabel_a[[#This Row],[x base]]&lt;0,Eu_tabel_a[[#This Row],[x base]]=0),1,NA()),NA())</f>
        <v>#N/A</v>
      </c>
      <c r="FA43" s="32" t="e">
        <f>IF(CHOOSE(EY$7,Eu_tabel_a[[#This Row],[x base]]&gt;0,Eu_tabel_a[[#This Row],[x base]]&lt;0,Eu_tabel_a[[#This Row],[x base]]=0),Eu_tabel_a[[#This Row],[Styrke, aktiv]],NA())</f>
        <v>#N/A</v>
      </c>
      <c r="FB43" s="32" t="e">
        <f>IFERROR(IF($EY$3,Eu_tabel_a[[#This Row],[Styrke, aktiv]],NA()),NA())</f>
        <v>#N/A</v>
      </c>
      <c r="FC43" s="32" t="e">
        <f>IF(ISNA(Eu_tabel_a[[#This Row],[Sand negativ
Nulhypotese afvises
Korrekt]]),NA(),IF(EY$3,1,NA()))</f>
        <v>#N/A</v>
      </c>
      <c r="FD43" s="33" t="str" cm="1">
        <f t="array" ref="FD43">IFERROR(_xlfn.SWITCH(Eu_tabel_a[[#This Row],[Indeks]],_xlfn.IFNA(FB$2,-99),FB$5,_xlfn.IFNA(FB$3,-99),FB$6,_xlfn.IFNA(FB$4,-99),FB$7,""),"")</f>
        <v/>
      </c>
      <c r="FE43" s="32">
        <f>Eu_tabel_a[[#This Row],[x base]]*SQRT(Eu_a_h0_x*(1-Eu_a_h0_x)/Eu_a_n_x)+Eu_a_h0_x</f>
        <v>0</v>
      </c>
      <c r="FJ43" s="74" t="e">
        <f t="shared" si="18"/>
        <v>#N/A</v>
      </c>
      <c r="FK43" s="82" t="e">
        <f t="shared" si="113"/>
        <v>#DIV/0!</v>
      </c>
      <c r="FL43" s="7" t="e">
        <f t="shared" si="12"/>
        <v>#DIV/0!</v>
      </c>
      <c r="FM43" t="e">
        <f t="shared" si="114"/>
        <v>#DIV/0!</v>
      </c>
      <c r="FN43" s="8" t="e">
        <f t="shared" si="115"/>
        <v>#DIV/0!</v>
      </c>
      <c r="FO43" s="8" t="e">
        <f t="shared" si="116"/>
        <v>#DIV/0!</v>
      </c>
      <c r="FP43" s="81" t="e">
        <f t="shared" si="117"/>
        <v>#DIV/0!</v>
      </c>
      <c r="FQ43" s="74" t="e">
        <f t="shared" ca="1" si="13"/>
        <v>#N/A</v>
      </c>
      <c r="FR43" s="82" t="e" vm="3">
        <f t="shared" ca="1" si="19"/>
        <v>#VALUE!</v>
      </c>
      <c r="FS43" s="7" t="e" vm="3">
        <f t="shared" ca="1" si="14"/>
        <v>#VALUE!</v>
      </c>
      <c r="FT43" t="e" vm="3">
        <f t="shared" ca="1" si="8"/>
        <v>#VALUE!</v>
      </c>
      <c r="FU43" s="8" t="e" vm="3">
        <f t="shared" ca="1" si="9"/>
        <v>#VALUE!</v>
      </c>
      <c r="FV43" s="8" t="e" vm="3">
        <f t="shared" ca="1" si="10"/>
        <v>#VALUE!</v>
      </c>
      <c r="FW43" s="81" t="e" vm="3">
        <f t="shared" ca="1" si="11"/>
        <v>#VALUE!</v>
      </c>
      <c r="FX43" s="74" t="e">
        <f t="shared" si="15"/>
        <v>#N/A</v>
      </c>
      <c r="FY43" s="82" t="e">
        <f t="shared" si="20"/>
        <v>#N/A</v>
      </c>
      <c r="FZ43" s="7" t="e">
        <f t="shared" si="16"/>
        <v>#N/A</v>
      </c>
      <c r="GA43" t="e">
        <f t="shared" si="21"/>
        <v>#N/A</v>
      </c>
      <c r="GB43" s="8" t="e">
        <f t="shared" si="22"/>
        <v>#N/A</v>
      </c>
      <c r="GC43" s="8" t="e">
        <f t="shared" si="23"/>
        <v>#N/A</v>
      </c>
      <c r="GD43" s="81" t="e">
        <f t="shared" si="24"/>
        <v>#N/A</v>
      </c>
      <c r="GE43" s="74" t="e">
        <f t="shared" si="25"/>
        <v>#N/A</v>
      </c>
      <c r="GF43" s="82" t="e">
        <f t="shared" si="26"/>
        <v>#N/A</v>
      </c>
      <c r="GG43" s="7" t="e">
        <f t="shared" si="17"/>
        <v>#N/A</v>
      </c>
      <c r="GH43" t="e">
        <f t="shared" si="27"/>
        <v>#N/A</v>
      </c>
      <c r="GI43" s="8" t="e">
        <f t="shared" si="28"/>
        <v>#N/A</v>
      </c>
      <c r="GJ43" s="8" t="e">
        <f t="shared" si="29"/>
        <v>#N/A</v>
      </c>
      <c r="GK43" s="81" t="e">
        <f t="shared" si="30"/>
        <v>#N/A</v>
      </c>
      <c r="GL43" s="81"/>
      <c r="GM43" s="81"/>
      <c r="GP43" s="59">
        <f t="shared" si="81"/>
        <v>33</v>
      </c>
      <c r="GQ43" s="32">
        <f t="shared" si="82"/>
        <v>34</v>
      </c>
      <c r="GR43" s="59">
        <f t="shared" si="83"/>
        <v>-2.2997077627295353</v>
      </c>
      <c r="GS43" s="59">
        <f t="shared" si="84"/>
        <v>2.8346082828649768E-2</v>
      </c>
      <c r="GT43" s="59" t="e">
        <f t="shared" si="85"/>
        <v>#N/A</v>
      </c>
      <c r="GU43" s="59" t="e">
        <f t="shared" si="86"/>
        <v>#N/A</v>
      </c>
      <c r="GV43" s="59" t="e">
        <f t="shared" si="87"/>
        <v>#N/A</v>
      </c>
      <c r="GW43" s="59" t="b">
        <f t="shared" si="88"/>
        <v>1</v>
      </c>
      <c r="GX43" s="59" t="b">
        <f t="shared" si="89"/>
        <v>0</v>
      </c>
      <c r="GY43" s="59" t="b">
        <f t="shared" si="90"/>
        <v>1</v>
      </c>
      <c r="GZ43" s="59" t="b">
        <f t="shared" si="91"/>
        <v>0</v>
      </c>
      <c r="HA43" s="59">
        <f t="shared" si="92"/>
        <v>2.8346082828649768E-2</v>
      </c>
      <c r="HB43" s="59">
        <f t="shared" si="93"/>
        <v>2.8346082828649768E-2</v>
      </c>
      <c r="HC43" s="59" t="e">
        <f t="shared" si="94"/>
        <v>#N/A</v>
      </c>
      <c r="HD43" s="60" t="str">
        <f t="shared" si="95"/>
        <v/>
      </c>
      <c r="HJ43" s="59">
        <f t="shared" si="96"/>
        <v>33</v>
      </c>
      <c r="HK43" s="32">
        <f t="shared" si="97"/>
        <v>34</v>
      </c>
      <c r="HL43" s="59">
        <f t="shared" si="98"/>
        <v>-3.5611457701494569</v>
      </c>
      <c r="HM43" s="59" t="e">
        <f t="shared" si="99"/>
        <v>#N/A</v>
      </c>
      <c r="HN43" s="59">
        <f t="shared" si="100"/>
        <v>6.160097552727048E-3</v>
      </c>
      <c r="HO43" s="59" t="e">
        <f t="shared" si="101"/>
        <v>#N/A</v>
      </c>
      <c r="HP43" s="59" t="e">
        <f t="shared" si="102"/>
        <v>#N/A</v>
      </c>
      <c r="HQ43" s="59" t="b">
        <f t="shared" si="103"/>
        <v>1</v>
      </c>
      <c r="HR43" s="59" t="b">
        <f t="shared" si="104"/>
        <v>0</v>
      </c>
      <c r="HS43" s="59" t="b">
        <f t="shared" si="105"/>
        <v>1</v>
      </c>
      <c r="HT43" s="59" t="b">
        <f t="shared" si="106"/>
        <v>0</v>
      </c>
      <c r="HU43" s="59">
        <f t="shared" si="107"/>
        <v>6.160097552727048E-3</v>
      </c>
      <c r="HV43" s="59">
        <f t="shared" si="108"/>
        <v>6.160097552727048E-3</v>
      </c>
      <c r="HW43" s="59" t="e">
        <f t="shared" si="109"/>
        <v>#N/A</v>
      </c>
      <c r="HX43" s="60" t="str">
        <f t="shared" si="110"/>
        <v/>
      </c>
    </row>
    <row r="44" spans="1:232" x14ac:dyDescent="0.2">
      <c r="A44" s="35" t="s">
        <v>230</v>
      </c>
      <c r="B44" s="69">
        <f>_xlfn.STDEV.S(_xlfn.ANCHORARRAY(BF43))</f>
        <v>4.3068660656276769</v>
      </c>
      <c r="E44" s="53"/>
      <c r="F44" s="88"/>
      <c r="H44" s="35" t="s">
        <v>207</v>
      </c>
      <c r="I44" s="57">
        <f>COUNT(_xlfn.ANCHORARRAY(BG43))</f>
        <v>12</v>
      </c>
      <c r="L44" s="53"/>
      <c r="M44" s="54"/>
      <c r="N44" s="64"/>
      <c r="O44" s="35" t="s">
        <v>207</v>
      </c>
      <c r="P44" s="57">
        <f>COUNTA(_xlfn.ANCHORARRAY(BH43))</f>
        <v>12</v>
      </c>
      <c r="S44" s="53"/>
      <c r="T44" s="54"/>
      <c r="V44" s="53" t="s">
        <v>207</v>
      </c>
      <c r="W44" s="57">
        <f>COUNT(_xlfn.ANCHORARRAY(BI43))</f>
        <v>12</v>
      </c>
      <c r="Z44" s="53"/>
      <c r="AA44" s="54"/>
      <c r="AC44" s="35" t="s">
        <v>242</v>
      </c>
      <c r="AD44" s="67"/>
      <c r="AG44" s="53"/>
      <c r="AH44" s="54"/>
      <c r="BF44">
        <v>-1.1469596428732241</v>
      </c>
      <c r="BG44">
        <v>-3.2725647568992748</v>
      </c>
      <c r="BH44" t="b">
        <v>1</v>
      </c>
      <c r="BI44">
        <v>-1.1469596428732241</v>
      </c>
      <c r="BJ44">
        <v>-3.2725647568992748</v>
      </c>
      <c r="BL44" s="53" t="s">
        <v>42</v>
      </c>
      <c r="BM44" s="86" t="str" cm="1">
        <f t="array" ref="BM44">INDEX(E_i_valg[Parameter],E_i_aktiv)</f>
        <v>Intensitet</v>
      </c>
      <c r="BZ44" s="59">
        <f t="shared" si="36"/>
        <v>34</v>
      </c>
      <c r="CA44" s="32">
        <f>Eu_tabel_g[[#This Row],[Indeks]]+1</f>
        <v>35</v>
      </c>
      <c r="CB44" s="59">
        <f t="shared" si="37"/>
        <v>-2.2757524735344363</v>
      </c>
      <c r="CC44" s="59">
        <f t="shared" si="38"/>
        <v>2.9942895529230493E-2</v>
      </c>
      <c r="CD44" s="59" t="e">
        <f t="shared" si="39"/>
        <v>#N/A</v>
      </c>
      <c r="CE44" s="59" t="e">
        <f t="shared" si="40"/>
        <v>#N/A</v>
      </c>
      <c r="CF44" s="59" t="e">
        <f t="shared" si="41"/>
        <v>#N/A</v>
      </c>
      <c r="CG44" s="59" t="b">
        <f t="shared" si="42"/>
        <v>1</v>
      </c>
      <c r="CH44" s="59" t="b">
        <f t="shared" si="43"/>
        <v>0</v>
      </c>
      <c r="CI44" s="59" t="b">
        <f t="shared" si="44"/>
        <v>1</v>
      </c>
      <c r="CJ44" s="59" t="b">
        <f t="shared" si="45"/>
        <v>0</v>
      </c>
      <c r="CK44" s="59">
        <f t="shared" si="118"/>
        <v>2.9942895529230493E-2</v>
      </c>
      <c r="CL44" s="59">
        <f t="shared" si="47"/>
        <v>2.9942895529230493E-2</v>
      </c>
      <c r="CM44" s="59" t="e">
        <f t="shared" si="48"/>
        <v>#N/A</v>
      </c>
      <c r="CN44" s="60" t="str">
        <f t="shared" si="49"/>
        <v/>
      </c>
      <c r="CO44" s="32">
        <f>_xlfn.NORM.DIST(_xlfn.NORM.INV(1-Eu_g_konfidensniveau,0,1)-Eu_tabel_g[[#This Row],[x base]],0,1,TRUE)</f>
        <v>0.73594666696484901</v>
      </c>
      <c r="CP44" s="32">
        <f>1-_xlfn.NORM.DIST(_xlfn.NORM.INV(Eu_g_konfidensniveau,0,1)-Eu_tabel_g[[#This Row],[x base]],0,1,TRUE)</f>
        <v>4.416326825673611E-5</v>
      </c>
      <c r="CQ44" s="32">
        <f>_xlfn.NORM.DIST(_xlfn.NORM.INV((1-Eu_g_konfidensniveau)/2,0,1)-Eu_tabel_g[[#This Row],[x base]],0,1,TRUE)+1-_xlfn.NORM.DIST(_xlfn.NORM.INV(1-(1-Eu_g_konfidensniveau)/2,0,1)-Eu_tabel_g[[#This Row],[x base]],0,1,TRUE)</f>
        <v>0.62392986328924072</v>
      </c>
      <c r="CR44" s="32" t="e" cm="1">
        <f t="array" ref="CR44">IF($CR$3,INDEX(Eu_tabel_g[[#This Row],[Styrke venstre]:[Styrke tosidet]],CR$7),NA())</f>
        <v>#N/A</v>
      </c>
      <c r="CS44" s="52" t="e">
        <f>Eu_tabel_g[[#This Row],[Falsk positiv
Nulhypotese accepteres
Fejltype 1]]</f>
        <v>#N/A</v>
      </c>
      <c r="CT44" s="52" t="e">
        <f>IF(CHOOSE(CR$7,Eu_tabel_g[[#This Row],[x base]]&gt;0,Eu_tabel_g[[#This Row],[x base]]&lt;0,Eu_tabel_g[[#This Row],[x base]]=0),Eu_tabel_g[[#This Row],[Styrke, aktiv]],NA())</f>
        <v>#N/A</v>
      </c>
      <c r="CU44" s="52" t="e">
        <f>IFERROR(IF($CR$3,Eu_tabel_g[[#This Row],[Styrke, aktiv]],NA()),NA())</f>
        <v>#N/A</v>
      </c>
      <c r="CV44" s="52" t="e">
        <f>IF(ISNA(Eu_tabel_g[[#This Row],[Sand negativ
Nulhypotese afvises
Korrekt]]),NA(),IF($CR$3,1,NA()))</f>
        <v>#N/A</v>
      </c>
      <c r="CW44" s="34" t="str" cm="1">
        <f t="array" ref="CW44">_xlfn.SWITCH(BZ44,_xlfn.IFNA(CU$2,-99),CU$5,_xlfn.IFNA(CU$3,-99),CU$6,_xlfn.IFNA(CU$4,-99),CU$7,"")</f>
        <v/>
      </c>
      <c r="DA44" s="7">
        <f t="shared" si="50"/>
        <v>0.8</v>
      </c>
      <c r="DB44">
        <f>IF(ROW(Styrkeberegning_G[[#This Row],[X base venstre]])=ROW(Styrkeberegning_G[[#Headers],[X base venstre]])+1,DB$7/(DA$7/$B$67),DB43/(DA43/$B$67))</f>
        <v>-2.8015817870135784</v>
      </c>
      <c r="DC44">
        <f>Styrkeberegning_G[[#This Row],[X base venstre]]*-1</f>
        <v>2.8015817870135784</v>
      </c>
      <c r="DN44" s="59">
        <f t="shared" si="51"/>
        <v>34</v>
      </c>
      <c r="DO44" s="32">
        <f t="shared" si="52"/>
        <v>35</v>
      </c>
      <c r="DP44" s="59">
        <f t="shared" si="53"/>
        <v>5.7122617828317246</v>
      </c>
      <c r="DQ44" s="59" t="e">
        <f t="shared" si="54"/>
        <v>#N/A</v>
      </c>
      <c r="DR44" s="59" t="e">
        <f t="shared" si="55"/>
        <v>#N/A</v>
      </c>
      <c r="DS44" s="59">
        <f t="shared" si="56"/>
        <v>6.1760788406504986E-2</v>
      </c>
      <c r="DT44" s="59" t="e">
        <f t="shared" si="57"/>
        <v>#N/A</v>
      </c>
      <c r="DU44" s="59" t="b">
        <f t="shared" si="58"/>
        <v>0</v>
      </c>
      <c r="DV44" s="59" t="b">
        <f t="shared" si="59"/>
        <v>1</v>
      </c>
      <c r="DW44" s="59" t="b">
        <f t="shared" si="60"/>
        <v>0</v>
      </c>
      <c r="DX44" s="59" t="b">
        <f t="shared" si="61"/>
        <v>1</v>
      </c>
      <c r="DY44" s="59">
        <f t="shared" si="62"/>
        <v>6.1760788406504986E-2</v>
      </c>
      <c r="DZ44" s="59" t="e">
        <f t="shared" si="63"/>
        <v>#N/A</v>
      </c>
      <c r="EA44" s="59">
        <f t="shared" si="64"/>
        <v>6.1760788406504986E-2</v>
      </c>
      <c r="EB44" s="60" t="str">
        <f t="shared" si="65"/>
        <v/>
      </c>
      <c r="EG44" s="59">
        <f t="shared" si="66"/>
        <v>34</v>
      </c>
      <c r="EH44" s="32">
        <f t="shared" si="67"/>
        <v>35</v>
      </c>
      <c r="EI44" s="59">
        <f t="shared" si="68"/>
        <v>-2.2757524735344363</v>
      </c>
      <c r="EJ44" s="59">
        <f t="shared" si="69"/>
        <v>2.9942895529230493E-2</v>
      </c>
      <c r="EK44" s="59" t="e">
        <f t="shared" si="70"/>
        <v>#N/A</v>
      </c>
      <c r="EL44" s="59" t="e">
        <f t="shared" si="71"/>
        <v>#N/A</v>
      </c>
      <c r="EM44" s="59" t="e">
        <f t="shared" si="72"/>
        <v>#N/A</v>
      </c>
      <c r="EN44" s="59" t="b">
        <f t="shared" si="73"/>
        <v>1</v>
      </c>
      <c r="EO44" s="59" t="b">
        <f t="shared" si="74"/>
        <v>0</v>
      </c>
      <c r="EP44" s="59" t="b">
        <f t="shared" si="75"/>
        <v>1</v>
      </c>
      <c r="EQ44" s="59" t="b">
        <f t="shared" si="76"/>
        <v>0</v>
      </c>
      <c r="ER44" s="59">
        <f t="shared" si="77"/>
        <v>2.9942895529230493E-2</v>
      </c>
      <c r="ES44" s="59">
        <f t="shared" si="78"/>
        <v>2.9942895529230493E-2</v>
      </c>
      <c r="ET44" s="59" t="e">
        <f t="shared" si="79"/>
        <v>#N/A</v>
      </c>
      <c r="EU44" s="60" t="str">
        <f t="shared" si="80"/>
        <v/>
      </c>
      <c r="EV4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4" s="32" t="e" cm="1">
        <f t="array" ref="EY44">IF($CR$3,INDEX(Eu_tabel_a[[#This Row],[Styrke venstre]:[Styrke tosidet]],EY$7),NA())</f>
        <v>#N/A</v>
      </c>
      <c r="EZ44" s="32" t="e">
        <f>IF(EY$3,IF(CHOOSE(EY$7,Eu_tabel_a[[#This Row],[x base]]&gt;0,Eu_tabel_a[[#This Row],[x base]]&lt;0,Eu_tabel_a[[#This Row],[x base]]=0),1,NA()),NA())</f>
        <v>#N/A</v>
      </c>
      <c r="FA44" s="32" t="e">
        <f>IF(CHOOSE(EY$7,Eu_tabel_a[[#This Row],[x base]]&gt;0,Eu_tabel_a[[#This Row],[x base]]&lt;0,Eu_tabel_a[[#This Row],[x base]]=0),Eu_tabel_a[[#This Row],[Styrke, aktiv]],NA())</f>
        <v>#N/A</v>
      </c>
      <c r="FB44" s="32" t="e">
        <f>IFERROR(IF($EY$3,Eu_tabel_a[[#This Row],[Styrke, aktiv]],NA()),NA())</f>
        <v>#N/A</v>
      </c>
      <c r="FC44" s="32" t="e">
        <f>IF(ISNA(Eu_tabel_a[[#This Row],[Sand negativ
Nulhypotese afvises
Korrekt]]),NA(),IF(EY$3,1,NA()))</f>
        <v>#N/A</v>
      </c>
      <c r="FD44" s="33" t="str" cm="1">
        <f t="array" ref="FD44">IFERROR(_xlfn.SWITCH(Eu_tabel_a[[#This Row],[Indeks]],_xlfn.IFNA(FB$2,-99),FB$5,_xlfn.IFNA(FB$3,-99),FB$6,_xlfn.IFNA(FB$4,-99),FB$7,""),"")</f>
        <v/>
      </c>
      <c r="FE44" s="32">
        <f>Eu_tabel_a[[#This Row],[x base]]*SQRT(Eu_a_h0_x*(1-Eu_a_h0_x)/Eu_a_n_x)+Eu_a_h0_x</f>
        <v>0</v>
      </c>
      <c r="FJ44" s="74" t="e">
        <f t="shared" si="18"/>
        <v>#N/A</v>
      </c>
      <c r="FK44" s="82" t="e">
        <f t="shared" si="113"/>
        <v>#DIV/0!</v>
      </c>
      <c r="FL44" s="7" t="e">
        <f t="shared" si="12"/>
        <v>#DIV/0!</v>
      </c>
      <c r="FM44" t="e">
        <f t="shared" si="114"/>
        <v>#DIV/0!</v>
      </c>
      <c r="FN44" s="8" t="e">
        <f t="shared" si="115"/>
        <v>#DIV/0!</v>
      </c>
      <c r="FO44" s="8" t="e">
        <f t="shared" si="116"/>
        <v>#DIV/0!</v>
      </c>
      <c r="FP44" s="81" t="e">
        <f t="shared" si="117"/>
        <v>#DIV/0!</v>
      </c>
      <c r="FQ44" s="74" t="e">
        <f t="shared" ca="1" si="13"/>
        <v>#N/A</v>
      </c>
      <c r="FR44" s="82" t="e" vm="3">
        <f t="shared" ca="1" si="19"/>
        <v>#VALUE!</v>
      </c>
      <c r="FS44" s="7" t="e" vm="3">
        <f t="shared" ca="1" si="14"/>
        <v>#VALUE!</v>
      </c>
      <c r="FT44" t="e" vm="3">
        <f t="shared" ca="1" si="8"/>
        <v>#VALUE!</v>
      </c>
      <c r="FU44" s="8" t="e" vm="3">
        <f t="shared" ca="1" si="9"/>
        <v>#VALUE!</v>
      </c>
      <c r="FV44" s="8" t="e" vm="3">
        <f t="shared" ca="1" si="10"/>
        <v>#VALUE!</v>
      </c>
      <c r="FW44" s="81" t="e" vm="3">
        <f t="shared" ca="1" si="11"/>
        <v>#VALUE!</v>
      </c>
      <c r="FX44" s="74" t="e">
        <f t="shared" si="15"/>
        <v>#N/A</v>
      </c>
      <c r="FY44" s="82" t="e">
        <f t="shared" si="20"/>
        <v>#N/A</v>
      </c>
      <c r="FZ44" s="7" t="e">
        <f t="shared" si="16"/>
        <v>#N/A</v>
      </c>
      <c r="GA44" t="e">
        <f t="shared" si="21"/>
        <v>#N/A</v>
      </c>
      <c r="GB44" s="8" t="e">
        <f t="shared" si="22"/>
        <v>#N/A</v>
      </c>
      <c r="GC44" s="8" t="e">
        <f t="shared" si="23"/>
        <v>#N/A</v>
      </c>
      <c r="GD44" s="81" t="e">
        <f t="shared" si="24"/>
        <v>#N/A</v>
      </c>
      <c r="GE44" s="74" t="e">
        <f t="shared" si="25"/>
        <v>#N/A</v>
      </c>
      <c r="GF44" s="82" t="e">
        <f t="shared" si="26"/>
        <v>#N/A</v>
      </c>
      <c r="GG44" s="7" t="e">
        <f t="shared" si="17"/>
        <v>#N/A</v>
      </c>
      <c r="GH44" t="e">
        <f t="shared" si="27"/>
        <v>#N/A</v>
      </c>
      <c r="GI44" s="8" t="e">
        <f t="shared" si="28"/>
        <v>#N/A</v>
      </c>
      <c r="GJ44" s="8" t="e">
        <f t="shared" si="29"/>
        <v>#N/A</v>
      </c>
      <c r="GK44" s="81" t="e">
        <f t="shared" si="30"/>
        <v>#N/A</v>
      </c>
      <c r="GL44" s="81"/>
      <c r="GM44" s="81"/>
      <c r="GP44" s="59">
        <f t="shared" si="81"/>
        <v>34</v>
      </c>
      <c r="GQ44" s="32">
        <f t="shared" si="82"/>
        <v>35</v>
      </c>
      <c r="GR44" s="59">
        <f t="shared" si="83"/>
        <v>-2.2757524735344363</v>
      </c>
      <c r="GS44" s="59">
        <f t="shared" si="84"/>
        <v>2.9942895529230493E-2</v>
      </c>
      <c r="GT44" s="59" t="e">
        <f t="shared" si="85"/>
        <v>#N/A</v>
      </c>
      <c r="GU44" s="59" t="e">
        <f t="shared" si="86"/>
        <v>#N/A</v>
      </c>
      <c r="GV44" s="59" t="e">
        <f t="shared" si="87"/>
        <v>#N/A</v>
      </c>
      <c r="GW44" s="59" t="b">
        <f t="shared" si="88"/>
        <v>1</v>
      </c>
      <c r="GX44" s="59" t="b">
        <f t="shared" si="89"/>
        <v>0</v>
      </c>
      <c r="GY44" s="59" t="b">
        <f t="shared" si="90"/>
        <v>1</v>
      </c>
      <c r="GZ44" s="59" t="b">
        <f t="shared" si="91"/>
        <v>0</v>
      </c>
      <c r="HA44" s="59">
        <f t="shared" si="92"/>
        <v>2.9942895529230493E-2</v>
      </c>
      <c r="HB44" s="59">
        <f t="shared" si="93"/>
        <v>2.9942895529230493E-2</v>
      </c>
      <c r="HC44" s="59" t="e">
        <f t="shared" si="94"/>
        <v>#N/A</v>
      </c>
      <c r="HD44" s="60" t="str">
        <f t="shared" si="95"/>
        <v/>
      </c>
      <c r="HJ44" s="59">
        <f t="shared" si="96"/>
        <v>34</v>
      </c>
      <c r="HK44" s="32">
        <f t="shared" si="97"/>
        <v>35</v>
      </c>
      <c r="HL44" s="59">
        <f t="shared" si="98"/>
        <v>-3.5240505017104002</v>
      </c>
      <c r="HM44" s="59" t="e">
        <f t="shared" si="99"/>
        <v>#N/A</v>
      </c>
      <c r="HN44" s="59">
        <f t="shared" si="100"/>
        <v>6.5004270274693883E-3</v>
      </c>
      <c r="HO44" s="59" t="e">
        <f t="shared" si="101"/>
        <v>#N/A</v>
      </c>
      <c r="HP44" s="59" t="e">
        <f t="shared" si="102"/>
        <v>#N/A</v>
      </c>
      <c r="HQ44" s="59" t="b">
        <f t="shared" si="103"/>
        <v>1</v>
      </c>
      <c r="HR44" s="59" t="b">
        <f t="shared" si="104"/>
        <v>0</v>
      </c>
      <c r="HS44" s="59" t="b">
        <f t="shared" si="105"/>
        <v>1</v>
      </c>
      <c r="HT44" s="59" t="b">
        <f t="shared" si="106"/>
        <v>0</v>
      </c>
      <c r="HU44" s="59">
        <f t="shared" si="107"/>
        <v>6.5004270274693883E-3</v>
      </c>
      <c r="HV44" s="59">
        <f t="shared" si="108"/>
        <v>6.5004270274693883E-3</v>
      </c>
      <c r="HW44" s="59" t="e">
        <f t="shared" si="109"/>
        <v>#N/A</v>
      </c>
      <c r="HX44" s="60" t="str">
        <f t="shared" si="110"/>
        <v/>
      </c>
    </row>
    <row r="45" spans="1:232" x14ac:dyDescent="0.2">
      <c r="A45" s="35" t="s">
        <v>216</v>
      </c>
      <c r="B45" s="70"/>
      <c r="E45" s="53"/>
      <c r="F45" s="63"/>
      <c r="L45" s="53"/>
      <c r="M45" s="54"/>
      <c r="N45" s="65"/>
      <c r="S45" s="53"/>
      <c r="T45" s="54"/>
      <c r="Z45" s="53"/>
      <c r="AA45" s="54"/>
      <c r="AC45" s="35" t="s">
        <v>243</v>
      </c>
      <c r="AD45" s="57" t="e" cm="1">
        <f t="array" ref="AD45">IF(BJ38,INDEX(_xlfn.ANCHORARRAY(#REF!),MATCH(AD42,_xlfn.ANCHORARRAY(#REF!))+1),NA())</f>
        <v>#REF!</v>
      </c>
      <c r="AG45" s="53"/>
      <c r="AH45" s="54"/>
      <c r="BF45">
        <v>-0.40935481016144565</v>
      </c>
      <c r="BG45">
        <v>2.0315172703350726</v>
      </c>
      <c r="BH45" t="b">
        <v>0</v>
      </c>
      <c r="BI45">
        <v>-0.40935481016144565</v>
      </c>
      <c r="BJ45">
        <v>2.0315172703350726</v>
      </c>
      <c r="BL45" s="53" t="s">
        <v>49</v>
      </c>
      <c r="BM45" s="86" t="str" cm="1">
        <f t="array" ref="BM45">INDEX(E_i_valg[Hypotesetype],E_i_aktiv)</f>
        <v>Konfidensinterval</v>
      </c>
      <c r="BZ45" s="59">
        <f t="shared" si="36"/>
        <v>35</v>
      </c>
      <c r="CA45" s="32">
        <f>Eu_tabel_g[[#This Row],[Indeks]]+1</f>
        <v>36</v>
      </c>
      <c r="CB45" s="59">
        <f t="shared" si="37"/>
        <v>-2.2517971843393365</v>
      </c>
      <c r="CC45" s="59">
        <f t="shared" si="38"/>
        <v>3.161151541500333E-2</v>
      </c>
      <c r="CD45" s="59" t="e">
        <f t="shared" si="39"/>
        <v>#N/A</v>
      </c>
      <c r="CE45" s="59" t="e">
        <f t="shared" si="40"/>
        <v>#N/A</v>
      </c>
      <c r="CF45" s="59" t="e">
        <f t="shared" si="41"/>
        <v>#N/A</v>
      </c>
      <c r="CG45" s="59" t="b">
        <f t="shared" si="42"/>
        <v>1</v>
      </c>
      <c r="CH45" s="59" t="b">
        <f t="shared" si="43"/>
        <v>0</v>
      </c>
      <c r="CI45" s="59" t="b">
        <f t="shared" si="44"/>
        <v>1</v>
      </c>
      <c r="CJ45" s="59" t="b">
        <f t="shared" si="45"/>
        <v>0</v>
      </c>
      <c r="CK45" s="59">
        <f t="shared" si="118"/>
        <v>3.161151541500333E-2</v>
      </c>
      <c r="CL45" s="59">
        <f t="shared" si="47"/>
        <v>3.161151541500333E-2</v>
      </c>
      <c r="CM45" s="59" t="e">
        <f t="shared" si="48"/>
        <v>#N/A</v>
      </c>
      <c r="CN45" s="60" t="str">
        <f t="shared" si="49"/>
        <v/>
      </c>
      <c r="CO45" s="32">
        <f>_xlfn.NORM.DIST(_xlfn.NORM.INV(1-Eu_g_konfidensniveau,0,1)-Eu_tabel_g[[#This Row],[x base]],0,1,TRUE)</f>
        <v>0.72805581482902693</v>
      </c>
      <c r="CP45" s="32">
        <f>1-_xlfn.NORM.DIST(_xlfn.NORM.INV(Eu_g_konfidensniveau,0,1)-Eu_tabel_g[[#This Row],[x base]],0,1,TRUE)</f>
        <v>4.8766041650272207E-5</v>
      </c>
      <c r="CQ45" s="32">
        <f>_xlfn.NORM.DIST(_xlfn.NORM.INV((1-Eu_g_konfidensniveau)/2,0,1)-Eu_tabel_g[[#This Row],[x base]],0,1,TRUE)+1-_xlfn.NORM.DIST(_xlfn.NORM.INV(1-(1-Eu_g_konfidensniveau)/2,0,1)-Eu_tabel_g[[#This Row],[x base]],0,1,TRUE)</f>
        <v>0.6148055894464014</v>
      </c>
      <c r="CR45" s="32" t="e" cm="1">
        <f t="array" ref="CR45">IF($CR$3,INDEX(Eu_tabel_g[[#This Row],[Styrke venstre]:[Styrke tosidet]],CR$7),NA())</f>
        <v>#N/A</v>
      </c>
      <c r="CS45" s="52" t="e">
        <f>Eu_tabel_g[[#This Row],[Falsk positiv
Nulhypotese accepteres
Fejltype 1]]</f>
        <v>#N/A</v>
      </c>
      <c r="CT45" s="52" t="e">
        <f>IF(CHOOSE(CR$7,Eu_tabel_g[[#This Row],[x base]]&gt;0,Eu_tabel_g[[#This Row],[x base]]&lt;0,Eu_tabel_g[[#This Row],[x base]]=0),Eu_tabel_g[[#This Row],[Styrke, aktiv]],NA())</f>
        <v>#N/A</v>
      </c>
      <c r="CU45" s="52" t="e">
        <f>IFERROR(IF($CR$3,Eu_tabel_g[[#This Row],[Styrke, aktiv]],NA()),NA())</f>
        <v>#N/A</v>
      </c>
      <c r="CV45" s="52" t="e">
        <f>IF(ISNA(Eu_tabel_g[[#This Row],[Sand negativ
Nulhypotese afvises
Korrekt]]),NA(),IF($CR$3,1,NA()))</f>
        <v>#N/A</v>
      </c>
      <c r="CW45" s="34" t="str" cm="1">
        <f t="array" ref="CW45">_xlfn.SWITCH(BZ45,_xlfn.IFNA(CU$2,-99),CU$5,_xlfn.IFNA(CU$3,-99),CU$6,_xlfn.IFNA(CU$4,-99),CU$7,"")</f>
        <v/>
      </c>
      <c r="DA45" s="7">
        <f t="shared" si="50"/>
        <v>0.8</v>
      </c>
      <c r="DB45">
        <f>IF(ROW(Styrkeberegning_G[[#This Row],[X base venstre]])=ROW(Styrkeberegning_G[[#Headers],[X base venstre]])+1,DB$7/(DA$7/$B$67),DB44/(DA44/$B$67))</f>
        <v>-2.8015817870135784</v>
      </c>
      <c r="DC45">
        <f>Styrkeberegning_G[[#This Row],[X base venstre]]*-1</f>
        <v>2.8015817870135784</v>
      </c>
      <c r="DN45" s="59">
        <f t="shared" si="51"/>
        <v>35</v>
      </c>
      <c r="DO45" s="32">
        <f t="shared" si="52"/>
        <v>36</v>
      </c>
      <c r="DP45" s="59">
        <f t="shared" si="53"/>
        <v>5.8263326392487258</v>
      </c>
      <c r="DQ45" s="59" t="e">
        <f t="shared" si="54"/>
        <v>#N/A</v>
      </c>
      <c r="DR45" s="59" t="e">
        <f t="shared" si="55"/>
        <v>#N/A</v>
      </c>
      <c r="DS45" s="59">
        <f t="shared" si="56"/>
        <v>6.3765378426136568E-2</v>
      </c>
      <c r="DT45" s="59" t="e">
        <f t="shared" si="57"/>
        <v>#N/A</v>
      </c>
      <c r="DU45" s="59" t="b">
        <f t="shared" si="58"/>
        <v>0</v>
      </c>
      <c r="DV45" s="59" t="b">
        <f t="shared" si="59"/>
        <v>1</v>
      </c>
      <c r="DW45" s="59" t="b">
        <f t="shared" si="60"/>
        <v>0</v>
      </c>
      <c r="DX45" s="59" t="b">
        <f t="shared" si="61"/>
        <v>1</v>
      </c>
      <c r="DY45" s="59">
        <f t="shared" si="62"/>
        <v>6.3765378426136568E-2</v>
      </c>
      <c r="DZ45" s="59" t="e">
        <f t="shared" si="63"/>
        <v>#N/A</v>
      </c>
      <c r="EA45" s="59">
        <f t="shared" si="64"/>
        <v>6.3765378426136568E-2</v>
      </c>
      <c r="EB45" s="60" t="str">
        <f t="shared" si="65"/>
        <v/>
      </c>
      <c r="EG45" s="59">
        <f t="shared" si="66"/>
        <v>35</v>
      </c>
      <c r="EH45" s="32">
        <f t="shared" si="67"/>
        <v>36</v>
      </c>
      <c r="EI45" s="59">
        <f t="shared" si="68"/>
        <v>-2.2517971843393365</v>
      </c>
      <c r="EJ45" s="59">
        <f t="shared" si="69"/>
        <v>3.161151541500333E-2</v>
      </c>
      <c r="EK45" s="59" t="e">
        <f t="shared" si="70"/>
        <v>#N/A</v>
      </c>
      <c r="EL45" s="59" t="e">
        <f t="shared" si="71"/>
        <v>#N/A</v>
      </c>
      <c r="EM45" s="59" t="e">
        <f t="shared" si="72"/>
        <v>#N/A</v>
      </c>
      <c r="EN45" s="59" t="b">
        <f t="shared" si="73"/>
        <v>1</v>
      </c>
      <c r="EO45" s="59" t="b">
        <f t="shared" si="74"/>
        <v>0</v>
      </c>
      <c r="EP45" s="59" t="b">
        <f t="shared" si="75"/>
        <v>1</v>
      </c>
      <c r="EQ45" s="59" t="b">
        <f t="shared" si="76"/>
        <v>0</v>
      </c>
      <c r="ER45" s="59">
        <f t="shared" si="77"/>
        <v>3.161151541500333E-2</v>
      </c>
      <c r="ES45" s="59">
        <f t="shared" si="78"/>
        <v>3.161151541500333E-2</v>
      </c>
      <c r="ET45" s="59" t="e">
        <f t="shared" si="79"/>
        <v>#N/A</v>
      </c>
      <c r="EU45" s="60" t="str">
        <f t="shared" si="80"/>
        <v/>
      </c>
      <c r="EV4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5" s="32" t="e" cm="1">
        <f t="array" ref="EY45">IF($CR$3,INDEX(Eu_tabel_a[[#This Row],[Styrke venstre]:[Styrke tosidet]],EY$7),NA())</f>
        <v>#N/A</v>
      </c>
      <c r="EZ45" s="32" t="e">
        <f>IF(EY$3,IF(CHOOSE(EY$7,Eu_tabel_a[[#This Row],[x base]]&gt;0,Eu_tabel_a[[#This Row],[x base]]&lt;0,Eu_tabel_a[[#This Row],[x base]]=0),1,NA()),NA())</f>
        <v>#N/A</v>
      </c>
      <c r="FA45" s="32" t="e">
        <f>IF(CHOOSE(EY$7,Eu_tabel_a[[#This Row],[x base]]&gt;0,Eu_tabel_a[[#This Row],[x base]]&lt;0,Eu_tabel_a[[#This Row],[x base]]=0),Eu_tabel_a[[#This Row],[Styrke, aktiv]],NA())</f>
        <v>#N/A</v>
      </c>
      <c r="FB45" s="32" t="e">
        <f>IFERROR(IF($EY$3,Eu_tabel_a[[#This Row],[Styrke, aktiv]],NA()),NA())</f>
        <v>#N/A</v>
      </c>
      <c r="FC45" s="32" t="e">
        <f>IF(ISNA(Eu_tabel_a[[#This Row],[Sand negativ
Nulhypotese afvises
Korrekt]]),NA(),IF(EY$3,1,NA()))</f>
        <v>#N/A</v>
      </c>
      <c r="FD45" s="33" t="str" cm="1">
        <f t="array" ref="FD45">IFERROR(_xlfn.SWITCH(Eu_tabel_a[[#This Row],[Indeks]],_xlfn.IFNA(FB$2,-99),FB$5,_xlfn.IFNA(FB$3,-99),FB$6,_xlfn.IFNA(FB$4,-99),FB$7,""),"")</f>
        <v/>
      </c>
      <c r="FE45" s="32">
        <f>Eu_tabel_a[[#This Row],[x base]]*SQRT(Eu_a_h0_x*(1-Eu_a_h0_x)/Eu_a_n_x)+Eu_a_h0_x</f>
        <v>0</v>
      </c>
      <c r="FJ45" s="74" t="e">
        <f t="shared" si="18"/>
        <v>#N/A</v>
      </c>
      <c r="FK45" s="82" t="e">
        <f t="shared" si="113"/>
        <v>#DIV/0!</v>
      </c>
      <c r="FL45" s="7" t="e">
        <f t="shared" si="12"/>
        <v>#DIV/0!</v>
      </c>
      <c r="FM45" t="e">
        <f t="shared" si="114"/>
        <v>#DIV/0!</v>
      </c>
      <c r="FN45" s="8" t="e">
        <f t="shared" si="115"/>
        <v>#DIV/0!</v>
      </c>
      <c r="FO45" s="8" t="e">
        <f t="shared" si="116"/>
        <v>#DIV/0!</v>
      </c>
      <c r="FP45" s="81" t="e">
        <f t="shared" si="117"/>
        <v>#DIV/0!</v>
      </c>
      <c r="FQ45" s="74" t="e">
        <f t="shared" ca="1" si="13"/>
        <v>#N/A</v>
      </c>
      <c r="FR45" s="82" t="e" vm="3">
        <f t="shared" ca="1" si="19"/>
        <v>#VALUE!</v>
      </c>
      <c r="FS45" s="7" t="e" vm="3">
        <f t="shared" ca="1" si="14"/>
        <v>#VALUE!</v>
      </c>
      <c r="FT45" t="e" vm="3">
        <f t="shared" ca="1" si="8"/>
        <v>#VALUE!</v>
      </c>
      <c r="FU45" s="8" t="e" vm="3">
        <f t="shared" ca="1" si="9"/>
        <v>#VALUE!</v>
      </c>
      <c r="FV45" s="8" t="e" vm="3">
        <f t="shared" ca="1" si="10"/>
        <v>#VALUE!</v>
      </c>
      <c r="FW45" s="81" t="e" vm="3">
        <f t="shared" ca="1" si="11"/>
        <v>#VALUE!</v>
      </c>
      <c r="FX45" s="74" t="e">
        <f t="shared" si="15"/>
        <v>#N/A</v>
      </c>
      <c r="FY45" s="82" t="e">
        <f t="shared" si="20"/>
        <v>#N/A</v>
      </c>
      <c r="FZ45" s="7" t="e">
        <f t="shared" si="16"/>
        <v>#N/A</v>
      </c>
      <c r="GA45" t="e">
        <f t="shared" si="21"/>
        <v>#N/A</v>
      </c>
      <c r="GB45" s="8" t="e">
        <f t="shared" si="22"/>
        <v>#N/A</v>
      </c>
      <c r="GC45" s="8" t="e">
        <f t="shared" si="23"/>
        <v>#N/A</v>
      </c>
      <c r="GD45" s="81" t="e">
        <f t="shared" si="24"/>
        <v>#N/A</v>
      </c>
      <c r="GE45" s="74" t="e">
        <f t="shared" si="25"/>
        <v>#N/A</v>
      </c>
      <c r="GF45" s="82" t="e">
        <f t="shared" si="26"/>
        <v>#N/A</v>
      </c>
      <c r="GG45" s="7" t="e">
        <f t="shared" si="17"/>
        <v>#N/A</v>
      </c>
      <c r="GH45" t="e">
        <f t="shared" si="27"/>
        <v>#N/A</v>
      </c>
      <c r="GI45" s="8" t="e">
        <f t="shared" si="28"/>
        <v>#N/A</v>
      </c>
      <c r="GJ45" s="8" t="e">
        <f t="shared" si="29"/>
        <v>#N/A</v>
      </c>
      <c r="GK45" s="81" t="e">
        <f t="shared" si="30"/>
        <v>#N/A</v>
      </c>
      <c r="GL45" s="81"/>
      <c r="GM45" s="81"/>
      <c r="GP45" s="59">
        <f t="shared" si="81"/>
        <v>35</v>
      </c>
      <c r="GQ45" s="32">
        <f t="shared" si="82"/>
        <v>36</v>
      </c>
      <c r="GR45" s="59">
        <f t="shared" si="83"/>
        <v>-2.2517971843393365</v>
      </c>
      <c r="GS45" s="59">
        <f t="shared" si="84"/>
        <v>3.161151541500333E-2</v>
      </c>
      <c r="GT45" s="59" t="e">
        <f t="shared" si="85"/>
        <v>#N/A</v>
      </c>
      <c r="GU45" s="59" t="e">
        <f t="shared" si="86"/>
        <v>#N/A</v>
      </c>
      <c r="GV45" s="59" t="e">
        <f t="shared" si="87"/>
        <v>#N/A</v>
      </c>
      <c r="GW45" s="59" t="b">
        <f t="shared" si="88"/>
        <v>1</v>
      </c>
      <c r="GX45" s="59" t="b">
        <f t="shared" si="89"/>
        <v>0</v>
      </c>
      <c r="GY45" s="59" t="b">
        <f t="shared" si="90"/>
        <v>1</v>
      </c>
      <c r="GZ45" s="59" t="b">
        <f t="shared" si="91"/>
        <v>0</v>
      </c>
      <c r="HA45" s="59">
        <f t="shared" si="92"/>
        <v>3.161151541500333E-2</v>
      </c>
      <c r="HB45" s="59">
        <f t="shared" si="93"/>
        <v>3.161151541500333E-2</v>
      </c>
      <c r="HC45" s="59" t="e">
        <f t="shared" si="94"/>
        <v>#N/A</v>
      </c>
      <c r="HD45" s="60" t="str">
        <f t="shared" si="95"/>
        <v/>
      </c>
      <c r="HJ45" s="59">
        <f t="shared" si="96"/>
        <v>35</v>
      </c>
      <c r="HK45" s="32">
        <f t="shared" si="97"/>
        <v>36</v>
      </c>
      <c r="HL45" s="59">
        <f t="shared" si="98"/>
        <v>-3.4869552332713436</v>
      </c>
      <c r="HM45" s="59" t="e">
        <f t="shared" si="99"/>
        <v>#N/A</v>
      </c>
      <c r="HN45" s="59">
        <f t="shared" si="100"/>
        <v>6.8606439370502287E-3</v>
      </c>
      <c r="HO45" s="59" t="e">
        <f t="shared" si="101"/>
        <v>#N/A</v>
      </c>
      <c r="HP45" s="59" t="e">
        <f t="shared" si="102"/>
        <v>#N/A</v>
      </c>
      <c r="HQ45" s="59" t="b">
        <f t="shared" si="103"/>
        <v>1</v>
      </c>
      <c r="HR45" s="59" t="b">
        <f t="shared" si="104"/>
        <v>0</v>
      </c>
      <c r="HS45" s="59" t="b">
        <f t="shared" si="105"/>
        <v>1</v>
      </c>
      <c r="HT45" s="59" t="b">
        <f t="shared" si="106"/>
        <v>0</v>
      </c>
      <c r="HU45" s="59">
        <f t="shared" si="107"/>
        <v>6.8606439370502287E-3</v>
      </c>
      <c r="HV45" s="59">
        <f t="shared" si="108"/>
        <v>6.8606439370502287E-3</v>
      </c>
      <c r="HW45" s="59" t="e">
        <f t="shared" si="109"/>
        <v>#N/A</v>
      </c>
      <c r="HX45" s="60" t="str">
        <f t="shared" si="110"/>
        <v/>
      </c>
    </row>
    <row r="46" spans="1:232" x14ac:dyDescent="0.2">
      <c r="A46" s="35" t="s">
        <v>207</v>
      </c>
      <c r="B46" s="57">
        <f>COUNT(_xlfn.ANCHORARRAY(BF43))</f>
        <v>12</v>
      </c>
      <c r="E46" s="53"/>
      <c r="F46" s="63"/>
      <c r="L46" s="53"/>
      <c r="M46" s="54"/>
      <c r="N46" s="65"/>
      <c r="S46" s="53"/>
      <c r="T46" s="54"/>
      <c r="Z46" s="53"/>
      <c r="AA46" s="54"/>
      <c r="AC46" s="35" t="s">
        <v>207</v>
      </c>
      <c r="AD46" s="57" t="e">
        <f>IF(BJ38,#REF!,NA())</f>
        <v>#REF!</v>
      </c>
      <c r="AG46" s="53"/>
      <c r="AH46" s="54"/>
      <c r="BF46">
        <v>-1.479592604535932</v>
      </c>
      <c r="BG46">
        <v>-2.2379718387660041</v>
      </c>
      <c r="BH46" t="b">
        <v>0</v>
      </c>
      <c r="BI46">
        <v>-1.479592604535932</v>
      </c>
      <c r="BJ46">
        <v>-2.2379718387660041</v>
      </c>
      <c r="BL46" s="53" t="s">
        <v>108</v>
      </c>
      <c r="BM46" s="86" t="str" cm="1">
        <f t="array" ref="BM46">INDEX(E_i_valg[Beregningsmetode],E_i_aktiv)</f>
        <v>Normalfordeling</v>
      </c>
      <c r="BZ46" s="59">
        <f t="shared" si="36"/>
        <v>36</v>
      </c>
      <c r="CA46" s="32">
        <f>Eu_tabel_g[[#This Row],[Indeks]]+1</f>
        <v>37</v>
      </c>
      <c r="CB46" s="59">
        <f t="shared" si="37"/>
        <v>-2.2278418951442376</v>
      </c>
      <c r="CC46" s="59">
        <f t="shared" si="38"/>
        <v>3.3353976175184367E-2</v>
      </c>
      <c r="CD46" s="59" t="e">
        <f t="shared" si="39"/>
        <v>#N/A</v>
      </c>
      <c r="CE46" s="59" t="e">
        <f t="shared" si="40"/>
        <v>#N/A</v>
      </c>
      <c r="CF46" s="59" t="e">
        <f t="shared" si="41"/>
        <v>#N/A</v>
      </c>
      <c r="CG46" s="59" t="b">
        <f t="shared" si="42"/>
        <v>1</v>
      </c>
      <c r="CH46" s="59" t="b">
        <f t="shared" si="43"/>
        <v>0</v>
      </c>
      <c r="CI46" s="59" t="b">
        <f t="shared" si="44"/>
        <v>1</v>
      </c>
      <c r="CJ46" s="59" t="b">
        <f t="shared" si="45"/>
        <v>0</v>
      </c>
      <c r="CK46" s="59">
        <f t="shared" si="118"/>
        <v>3.3353976175184367E-2</v>
      </c>
      <c r="CL46" s="59">
        <f t="shared" si="47"/>
        <v>3.3353976175184367E-2</v>
      </c>
      <c r="CM46" s="59" t="e">
        <f t="shared" si="48"/>
        <v>#N/A</v>
      </c>
      <c r="CN46" s="60" t="str">
        <f t="shared" si="49"/>
        <v/>
      </c>
      <c r="CO46" s="32">
        <f>_xlfn.NORM.DIST(_xlfn.NORM.INV(1-Eu_g_konfidensniveau,0,1)-Eu_tabel_g[[#This Row],[x base]],0,1,TRUE)</f>
        <v>0.72004940103926862</v>
      </c>
      <c r="CP46" s="32">
        <f>1-_xlfn.NORM.DIST(_xlfn.NORM.INV(Eu_g_konfidensniveau,0,1)-Eu_tabel_g[[#This Row],[x base]],0,1,TRUE)</f>
        <v>5.3819131802024245E-5</v>
      </c>
      <c r="CQ46" s="32">
        <f>_xlfn.NORM.DIST(_xlfn.NORM.INV((1-Eu_g_konfidensniveau)/2,0,1)-Eu_tabel_g[[#This Row],[x base]],0,1,TRUE)+1-_xlfn.NORM.DIST(_xlfn.NORM.INV(1-(1-Eu_g_konfidensniveau)/2,0,1)-Eu_tabel_g[[#This Row],[x base]],0,1,TRUE)</f>
        <v>0.60561743457312678</v>
      </c>
      <c r="CR46" s="32" t="e" cm="1">
        <f t="array" ref="CR46">IF($CR$3,INDEX(Eu_tabel_g[[#This Row],[Styrke venstre]:[Styrke tosidet]],CR$7),NA())</f>
        <v>#N/A</v>
      </c>
      <c r="CS46" s="52" t="e">
        <f>Eu_tabel_g[[#This Row],[Falsk positiv
Nulhypotese accepteres
Fejltype 1]]</f>
        <v>#N/A</v>
      </c>
      <c r="CT46" s="52" t="e">
        <f>IF(CHOOSE(CR$7,Eu_tabel_g[[#This Row],[x base]]&gt;0,Eu_tabel_g[[#This Row],[x base]]&lt;0,Eu_tabel_g[[#This Row],[x base]]=0),Eu_tabel_g[[#This Row],[Styrke, aktiv]],NA())</f>
        <v>#N/A</v>
      </c>
      <c r="CU46" s="52" t="e">
        <f>IFERROR(IF($CR$3,Eu_tabel_g[[#This Row],[Styrke, aktiv]],NA()),NA())</f>
        <v>#N/A</v>
      </c>
      <c r="CV46" s="52" t="e">
        <f>IF(ISNA(Eu_tabel_g[[#This Row],[Sand negativ
Nulhypotese afvises
Korrekt]]),NA(),IF($CR$3,1,NA()))</f>
        <v>#N/A</v>
      </c>
      <c r="CW46" s="34" t="str" cm="1">
        <f t="array" ref="CW46">_xlfn.SWITCH(BZ46,_xlfn.IFNA(CU$2,-99),CU$5,_xlfn.IFNA(CU$3,-99),CU$6,_xlfn.IFNA(CU$4,-99),CU$7,"")</f>
        <v/>
      </c>
      <c r="DA46" s="7">
        <f t="shared" si="50"/>
        <v>0.8</v>
      </c>
      <c r="DB46">
        <f>IF(ROW(Styrkeberegning_G[[#This Row],[X base venstre]])=ROW(Styrkeberegning_G[[#Headers],[X base venstre]])+1,DB$7/(DA$7/$B$67),DB45/(DA45/$B$67))</f>
        <v>-2.8015817870135784</v>
      </c>
      <c r="DC46">
        <f>Styrkeberegning_G[[#This Row],[X base venstre]]*-1</f>
        <v>2.8015817870135784</v>
      </c>
      <c r="DN46" s="59">
        <f t="shared" si="51"/>
        <v>36</v>
      </c>
      <c r="DO46" s="32">
        <f t="shared" si="52"/>
        <v>37</v>
      </c>
      <c r="DP46" s="59">
        <f t="shared" si="53"/>
        <v>5.940403495665727</v>
      </c>
      <c r="DQ46" s="59" t="e">
        <f t="shared" si="54"/>
        <v>#N/A</v>
      </c>
      <c r="DR46" s="59" t="e">
        <f t="shared" si="55"/>
        <v>#N/A</v>
      </c>
      <c r="DS46" s="59">
        <f t="shared" si="56"/>
        <v>6.5721547436379868E-2</v>
      </c>
      <c r="DT46" s="59" t="e">
        <f t="shared" si="57"/>
        <v>#N/A</v>
      </c>
      <c r="DU46" s="59" t="b">
        <f t="shared" si="58"/>
        <v>0</v>
      </c>
      <c r="DV46" s="59" t="b">
        <f t="shared" si="59"/>
        <v>1</v>
      </c>
      <c r="DW46" s="59" t="b">
        <f t="shared" si="60"/>
        <v>0</v>
      </c>
      <c r="DX46" s="59" t="b">
        <f t="shared" si="61"/>
        <v>1</v>
      </c>
      <c r="DY46" s="59">
        <f t="shared" si="62"/>
        <v>6.5721547436379868E-2</v>
      </c>
      <c r="DZ46" s="59" t="e">
        <f t="shared" si="63"/>
        <v>#N/A</v>
      </c>
      <c r="EA46" s="59">
        <f t="shared" si="64"/>
        <v>6.5721547436379868E-2</v>
      </c>
      <c r="EB46" s="60" t="str">
        <f t="shared" si="65"/>
        <v/>
      </c>
      <c r="EG46" s="59">
        <f t="shared" si="66"/>
        <v>36</v>
      </c>
      <c r="EH46" s="32">
        <f t="shared" si="67"/>
        <v>37</v>
      </c>
      <c r="EI46" s="59">
        <f t="shared" si="68"/>
        <v>-2.2278418951442376</v>
      </c>
      <c r="EJ46" s="59">
        <f t="shared" si="69"/>
        <v>3.3353976175184367E-2</v>
      </c>
      <c r="EK46" s="59" t="e">
        <f t="shared" si="70"/>
        <v>#N/A</v>
      </c>
      <c r="EL46" s="59" t="e">
        <f t="shared" si="71"/>
        <v>#N/A</v>
      </c>
      <c r="EM46" s="59" t="e">
        <f t="shared" si="72"/>
        <v>#N/A</v>
      </c>
      <c r="EN46" s="59" t="b">
        <f t="shared" si="73"/>
        <v>1</v>
      </c>
      <c r="EO46" s="59" t="b">
        <f t="shared" si="74"/>
        <v>0</v>
      </c>
      <c r="EP46" s="59" t="b">
        <f t="shared" si="75"/>
        <v>1</v>
      </c>
      <c r="EQ46" s="59" t="b">
        <f t="shared" si="76"/>
        <v>0</v>
      </c>
      <c r="ER46" s="59">
        <f t="shared" si="77"/>
        <v>3.3353976175184367E-2</v>
      </c>
      <c r="ES46" s="59">
        <f t="shared" si="78"/>
        <v>3.3353976175184367E-2</v>
      </c>
      <c r="ET46" s="59" t="e">
        <f t="shared" si="79"/>
        <v>#N/A</v>
      </c>
      <c r="EU46" s="60" t="str">
        <f t="shared" si="80"/>
        <v/>
      </c>
      <c r="EV4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6" s="32" t="e" cm="1">
        <f t="array" ref="EY46">IF($CR$3,INDEX(Eu_tabel_a[[#This Row],[Styrke venstre]:[Styrke tosidet]],EY$7),NA())</f>
        <v>#N/A</v>
      </c>
      <c r="EZ46" s="32" t="e">
        <f>IF(EY$3,IF(CHOOSE(EY$7,Eu_tabel_a[[#This Row],[x base]]&gt;0,Eu_tabel_a[[#This Row],[x base]]&lt;0,Eu_tabel_a[[#This Row],[x base]]=0),1,NA()),NA())</f>
        <v>#N/A</v>
      </c>
      <c r="FA46" s="32" t="e">
        <f>IF(CHOOSE(EY$7,Eu_tabel_a[[#This Row],[x base]]&gt;0,Eu_tabel_a[[#This Row],[x base]]&lt;0,Eu_tabel_a[[#This Row],[x base]]=0),Eu_tabel_a[[#This Row],[Styrke, aktiv]],NA())</f>
        <v>#N/A</v>
      </c>
      <c r="FB46" s="32" t="e">
        <f>IFERROR(IF($EY$3,Eu_tabel_a[[#This Row],[Styrke, aktiv]],NA()),NA())</f>
        <v>#N/A</v>
      </c>
      <c r="FC46" s="32" t="e">
        <f>IF(ISNA(Eu_tabel_a[[#This Row],[Sand negativ
Nulhypotese afvises
Korrekt]]),NA(),IF(EY$3,1,NA()))</f>
        <v>#N/A</v>
      </c>
      <c r="FD46" s="33" t="str" cm="1">
        <f t="array" ref="FD46">IFERROR(_xlfn.SWITCH(Eu_tabel_a[[#This Row],[Indeks]],_xlfn.IFNA(FB$2,-99),FB$5,_xlfn.IFNA(FB$3,-99),FB$6,_xlfn.IFNA(FB$4,-99),FB$7,""),"")</f>
        <v/>
      </c>
      <c r="FE46" s="32">
        <f>Eu_tabel_a[[#This Row],[x base]]*SQRT(Eu_a_h0_x*(1-Eu_a_h0_x)/Eu_a_n_x)+Eu_a_h0_x</f>
        <v>0</v>
      </c>
      <c r="FJ46" s="74" t="e">
        <f t="shared" si="18"/>
        <v>#N/A</v>
      </c>
      <c r="FK46" s="82" t="e">
        <f t="shared" si="113"/>
        <v>#DIV/0!</v>
      </c>
      <c r="FL46" s="7" t="e">
        <f t="shared" si="12"/>
        <v>#DIV/0!</v>
      </c>
      <c r="FM46" t="e">
        <f t="shared" si="114"/>
        <v>#DIV/0!</v>
      </c>
      <c r="FN46" s="8" t="e">
        <f t="shared" si="115"/>
        <v>#DIV/0!</v>
      </c>
      <c r="FO46" s="8" t="e">
        <f t="shared" si="116"/>
        <v>#DIV/0!</v>
      </c>
      <c r="FP46" s="81" t="e">
        <f t="shared" si="117"/>
        <v>#DIV/0!</v>
      </c>
      <c r="FQ46" s="74" t="e">
        <f t="shared" ca="1" si="13"/>
        <v>#N/A</v>
      </c>
      <c r="FR46" s="82" t="e" vm="3">
        <f t="shared" ca="1" si="19"/>
        <v>#VALUE!</v>
      </c>
      <c r="FS46" s="7" t="e" vm="3">
        <f t="shared" ca="1" si="14"/>
        <v>#VALUE!</v>
      </c>
      <c r="FT46" t="e" vm="3">
        <f t="shared" ca="1" si="8"/>
        <v>#VALUE!</v>
      </c>
      <c r="FU46" s="8" t="e" vm="3">
        <f t="shared" ca="1" si="9"/>
        <v>#VALUE!</v>
      </c>
      <c r="FV46" s="8" t="e" vm="3">
        <f t="shared" ca="1" si="10"/>
        <v>#VALUE!</v>
      </c>
      <c r="FW46" s="81" t="e" vm="3">
        <f t="shared" ca="1" si="11"/>
        <v>#VALUE!</v>
      </c>
      <c r="FX46" s="74" t="e">
        <f t="shared" si="15"/>
        <v>#N/A</v>
      </c>
      <c r="FY46" s="82" t="e">
        <f t="shared" si="20"/>
        <v>#N/A</v>
      </c>
      <c r="FZ46" s="7" t="e">
        <f t="shared" si="16"/>
        <v>#N/A</v>
      </c>
      <c r="GA46" t="e">
        <f t="shared" si="21"/>
        <v>#N/A</v>
      </c>
      <c r="GB46" s="8" t="e">
        <f t="shared" si="22"/>
        <v>#N/A</v>
      </c>
      <c r="GC46" s="8" t="e">
        <f t="shared" si="23"/>
        <v>#N/A</v>
      </c>
      <c r="GD46" s="81" t="e">
        <f t="shared" si="24"/>
        <v>#N/A</v>
      </c>
      <c r="GE46" s="74" t="e">
        <f t="shared" si="25"/>
        <v>#N/A</v>
      </c>
      <c r="GF46" s="82" t="e">
        <f t="shared" si="26"/>
        <v>#N/A</v>
      </c>
      <c r="GG46" s="7" t="e">
        <f t="shared" si="17"/>
        <v>#N/A</v>
      </c>
      <c r="GH46" t="e">
        <f t="shared" si="27"/>
        <v>#N/A</v>
      </c>
      <c r="GI46" s="8" t="e">
        <f t="shared" si="28"/>
        <v>#N/A</v>
      </c>
      <c r="GJ46" s="8" t="e">
        <f t="shared" si="29"/>
        <v>#N/A</v>
      </c>
      <c r="GK46" s="81" t="e">
        <f t="shared" si="30"/>
        <v>#N/A</v>
      </c>
      <c r="GL46" s="81"/>
      <c r="GM46" s="81"/>
      <c r="GP46" s="59">
        <f t="shared" si="81"/>
        <v>36</v>
      </c>
      <c r="GQ46" s="32">
        <f t="shared" si="82"/>
        <v>37</v>
      </c>
      <c r="GR46" s="59">
        <f t="shared" si="83"/>
        <v>-2.2278418951442376</v>
      </c>
      <c r="GS46" s="59">
        <f t="shared" si="84"/>
        <v>3.3353976175184367E-2</v>
      </c>
      <c r="GT46" s="59" t="e">
        <f t="shared" si="85"/>
        <v>#N/A</v>
      </c>
      <c r="GU46" s="59" t="e">
        <f t="shared" si="86"/>
        <v>#N/A</v>
      </c>
      <c r="GV46" s="59" t="e">
        <f t="shared" si="87"/>
        <v>#N/A</v>
      </c>
      <c r="GW46" s="59" t="b">
        <f t="shared" si="88"/>
        <v>1</v>
      </c>
      <c r="GX46" s="59" t="b">
        <f t="shared" si="89"/>
        <v>0</v>
      </c>
      <c r="GY46" s="59" t="b">
        <f t="shared" si="90"/>
        <v>1</v>
      </c>
      <c r="GZ46" s="59" t="b">
        <f t="shared" si="91"/>
        <v>0</v>
      </c>
      <c r="HA46" s="59">
        <f t="shared" si="92"/>
        <v>3.3353976175184367E-2</v>
      </c>
      <c r="HB46" s="59">
        <f t="shared" si="93"/>
        <v>3.3353976175184367E-2</v>
      </c>
      <c r="HC46" s="59" t="e">
        <f t="shared" si="94"/>
        <v>#N/A</v>
      </c>
      <c r="HD46" s="60" t="str">
        <f t="shared" si="95"/>
        <v/>
      </c>
      <c r="HJ46" s="59">
        <f t="shared" si="96"/>
        <v>36</v>
      </c>
      <c r="HK46" s="32">
        <f t="shared" si="97"/>
        <v>37</v>
      </c>
      <c r="HL46" s="59">
        <f t="shared" si="98"/>
        <v>-3.4498599648322865</v>
      </c>
      <c r="HM46" s="59" t="e">
        <f t="shared" si="99"/>
        <v>#N/A</v>
      </c>
      <c r="HN46" s="59">
        <f t="shared" si="100"/>
        <v>7.2419422765507783E-3</v>
      </c>
      <c r="HO46" s="59" t="e">
        <f t="shared" si="101"/>
        <v>#N/A</v>
      </c>
      <c r="HP46" s="59" t="e">
        <f t="shared" si="102"/>
        <v>#N/A</v>
      </c>
      <c r="HQ46" s="59" t="b">
        <f t="shared" si="103"/>
        <v>1</v>
      </c>
      <c r="HR46" s="59" t="b">
        <f t="shared" si="104"/>
        <v>0</v>
      </c>
      <c r="HS46" s="59" t="b">
        <f t="shared" si="105"/>
        <v>1</v>
      </c>
      <c r="HT46" s="59" t="b">
        <f t="shared" si="106"/>
        <v>0</v>
      </c>
      <c r="HU46" s="59">
        <f t="shared" si="107"/>
        <v>7.2419422765507783E-3</v>
      </c>
      <c r="HV46" s="59">
        <f t="shared" si="108"/>
        <v>7.2419422765507783E-3</v>
      </c>
      <c r="HW46" s="59" t="e">
        <f t="shared" si="109"/>
        <v>#N/A</v>
      </c>
      <c r="HX46" s="60" t="str">
        <f t="shared" si="110"/>
        <v/>
      </c>
    </row>
    <row r="47" spans="1:232" x14ac:dyDescent="0.2">
      <c r="AC47" s="35" t="s">
        <v>240</v>
      </c>
      <c r="AD47" s="57" t="e">
        <f>IF(BJ38,#REF!,NA())</f>
        <v>#REF!</v>
      </c>
      <c r="BF47">
        <v>1.8110756828005981</v>
      </c>
      <c r="BG47">
        <v>4</v>
      </c>
      <c r="BH47" t="b">
        <v>0</v>
      </c>
      <c r="BI47">
        <v>1.8110756828005981</v>
      </c>
      <c r="BJ47">
        <v>4</v>
      </c>
      <c r="BL47" s="53" t="s">
        <v>4</v>
      </c>
      <c r="BM47" s="87">
        <f>Eu_i_konfidensniveau</f>
        <v>0.95</v>
      </c>
      <c r="BZ47" s="59">
        <f t="shared" si="36"/>
        <v>37</v>
      </c>
      <c r="CA47" s="32">
        <f>Eu_tabel_g[[#This Row],[Indeks]]+1</f>
        <v>38</v>
      </c>
      <c r="CB47" s="59">
        <f t="shared" si="37"/>
        <v>-2.2038866059491382</v>
      </c>
      <c r="CC47" s="59">
        <f t="shared" si="38"/>
        <v>3.5172293628326232E-2</v>
      </c>
      <c r="CD47" s="59" t="e">
        <f t="shared" si="39"/>
        <v>#N/A</v>
      </c>
      <c r="CE47" s="59" t="e">
        <f t="shared" si="40"/>
        <v>#N/A</v>
      </c>
      <c r="CF47" s="59" t="e">
        <f t="shared" si="41"/>
        <v>#N/A</v>
      </c>
      <c r="CG47" s="59" t="b">
        <f t="shared" si="42"/>
        <v>1</v>
      </c>
      <c r="CH47" s="59" t="b">
        <f t="shared" si="43"/>
        <v>0</v>
      </c>
      <c r="CI47" s="59" t="b">
        <f t="shared" si="44"/>
        <v>1</v>
      </c>
      <c r="CJ47" s="59" t="b">
        <f t="shared" si="45"/>
        <v>0</v>
      </c>
      <c r="CK47" s="59">
        <f t="shared" si="118"/>
        <v>3.5172293628326232E-2</v>
      </c>
      <c r="CL47" s="59">
        <f t="shared" si="47"/>
        <v>3.5172293628326232E-2</v>
      </c>
      <c r="CM47" s="59" t="e">
        <f t="shared" si="48"/>
        <v>#N/A</v>
      </c>
      <c r="CN47" s="60" t="str">
        <f t="shared" si="49"/>
        <v/>
      </c>
      <c r="CO47" s="32">
        <f>_xlfn.NORM.DIST(_xlfn.NORM.INV(1-Eu_g_konfidensniveau,0,1)-Eu_tabel_g[[#This Row],[x base]],0,1,TRUE)</f>
        <v>0.71193039344774511</v>
      </c>
      <c r="CP47" s="32">
        <f>1-_xlfn.NORM.DIST(_xlfn.NORM.INV(Eu_g_konfidensniveau,0,1)-Eu_tabel_g[[#This Row],[x base]],0,1,TRUE)</f>
        <v>5.9363413504986973E-5</v>
      </c>
      <c r="CQ47" s="32">
        <f>_xlfn.NORM.DIST(_xlfn.NORM.INV((1-Eu_g_konfidensniveau)/2,0,1)-Eu_tabel_g[[#This Row],[x base]],0,1,TRUE)+1-_xlfn.NORM.DIST(_xlfn.NORM.INV(1-(1-Eu_g_konfidensniveau)/2,0,1)-Eu_tabel_g[[#This Row],[x base]],0,1,TRUE)</f>
        <v>0.59637027179631996</v>
      </c>
      <c r="CR47" s="32" t="e" cm="1">
        <f t="array" ref="CR47">IF($CR$3,INDEX(Eu_tabel_g[[#This Row],[Styrke venstre]:[Styrke tosidet]],CR$7),NA())</f>
        <v>#N/A</v>
      </c>
      <c r="CS47" s="52" t="e">
        <f>Eu_tabel_g[[#This Row],[Falsk positiv
Nulhypotese accepteres
Fejltype 1]]</f>
        <v>#N/A</v>
      </c>
      <c r="CT47" s="52" t="e">
        <f>IF(CHOOSE(CR$7,Eu_tabel_g[[#This Row],[x base]]&gt;0,Eu_tabel_g[[#This Row],[x base]]&lt;0,Eu_tabel_g[[#This Row],[x base]]=0),Eu_tabel_g[[#This Row],[Styrke, aktiv]],NA())</f>
        <v>#N/A</v>
      </c>
      <c r="CU47" s="52" t="e">
        <f>IFERROR(IF($CR$3,Eu_tabel_g[[#This Row],[Styrke, aktiv]],NA()),NA())</f>
        <v>#N/A</v>
      </c>
      <c r="CV47" s="52" t="e">
        <f>IF(ISNA(Eu_tabel_g[[#This Row],[Sand negativ
Nulhypotese afvises
Korrekt]]),NA(),IF($CR$3,1,NA()))</f>
        <v>#N/A</v>
      </c>
      <c r="CW47" s="34" t="str" cm="1">
        <f t="array" ref="CW47">_xlfn.SWITCH(BZ47,_xlfn.IFNA(CU$2,-99),CU$5,_xlfn.IFNA(CU$3,-99),CU$6,_xlfn.IFNA(CU$4,-99),CU$7,"")</f>
        <v/>
      </c>
      <c r="DA47" s="7">
        <f t="shared" si="50"/>
        <v>0.8</v>
      </c>
      <c r="DB47">
        <f>IF(ROW(Styrkeberegning_G[[#This Row],[X base venstre]])=ROW(Styrkeberegning_G[[#Headers],[X base venstre]])+1,DB$7/(DA$7/$B$67),DB46/(DA46/$B$67))</f>
        <v>-2.8015817870135784</v>
      </c>
      <c r="DC47">
        <f>Styrkeberegning_G[[#This Row],[X base venstre]]*-1</f>
        <v>2.8015817870135784</v>
      </c>
      <c r="DN47" s="59">
        <f t="shared" si="51"/>
        <v>37</v>
      </c>
      <c r="DO47" s="32">
        <f t="shared" si="52"/>
        <v>38</v>
      </c>
      <c r="DP47" s="59">
        <f t="shared" si="53"/>
        <v>6.0544743520827273</v>
      </c>
      <c r="DQ47" s="59" t="e">
        <f t="shared" si="54"/>
        <v>#N/A</v>
      </c>
      <c r="DR47" s="59" t="e">
        <f t="shared" si="55"/>
        <v>#N/A</v>
      </c>
      <c r="DS47" s="59">
        <f t="shared" si="56"/>
        <v>6.7625400997576274E-2</v>
      </c>
      <c r="DT47" s="59" t="e">
        <f t="shared" si="57"/>
        <v>#N/A</v>
      </c>
      <c r="DU47" s="59" t="b">
        <f t="shared" si="58"/>
        <v>0</v>
      </c>
      <c r="DV47" s="59" t="b">
        <f t="shared" si="59"/>
        <v>1</v>
      </c>
      <c r="DW47" s="59" t="b">
        <f t="shared" si="60"/>
        <v>0</v>
      </c>
      <c r="DX47" s="59" t="b">
        <f t="shared" si="61"/>
        <v>1</v>
      </c>
      <c r="DY47" s="59">
        <f t="shared" si="62"/>
        <v>6.7625400997576274E-2</v>
      </c>
      <c r="DZ47" s="59" t="e">
        <f t="shared" si="63"/>
        <v>#N/A</v>
      </c>
      <c r="EA47" s="59">
        <f t="shared" si="64"/>
        <v>6.7625400997576274E-2</v>
      </c>
      <c r="EB47" s="60" t="str">
        <f t="shared" si="65"/>
        <v/>
      </c>
      <c r="EG47" s="59">
        <f t="shared" si="66"/>
        <v>37</v>
      </c>
      <c r="EH47" s="32">
        <f t="shared" si="67"/>
        <v>38</v>
      </c>
      <c r="EI47" s="59">
        <f t="shared" si="68"/>
        <v>-2.2038866059491382</v>
      </c>
      <c r="EJ47" s="59">
        <f t="shared" si="69"/>
        <v>3.5172293628326232E-2</v>
      </c>
      <c r="EK47" s="59" t="e">
        <f t="shared" si="70"/>
        <v>#N/A</v>
      </c>
      <c r="EL47" s="59" t="e">
        <f t="shared" si="71"/>
        <v>#N/A</v>
      </c>
      <c r="EM47" s="59" t="e">
        <f t="shared" si="72"/>
        <v>#N/A</v>
      </c>
      <c r="EN47" s="59" t="b">
        <f t="shared" si="73"/>
        <v>1</v>
      </c>
      <c r="EO47" s="59" t="b">
        <f t="shared" si="74"/>
        <v>0</v>
      </c>
      <c r="EP47" s="59" t="b">
        <f t="shared" si="75"/>
        <v>1</v>
      </c>
      <c r="EQ47" s="59" t="b">
        <f t="shared" si="76"/>
        <v>0</v>
      </c>
      <c r="ER47" s="59">
        <f t="shared" si="77"/>
        <v>3.5172293628326232E-2</v>
      </c>
      <c r="ES47" s="59">
        <f t="shared" si="78"/>
        <v>3.5172293628326232E-2</v>
      </c>
      <c r="ET47" s="59" t="e">
        <f t="shared" si="79"/>
        <v>#N/A</v>
      </c>
      <c r="EU47" s="60" t="str">
        <f t="shared" si="80"/>
        <v/>
      </c>
      <c r="EV4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7" s="32" t="e" cm="1">
        <f t="array" ref="EY47">IF($CR$3,INDEX(Eu_tabel_a[[#This Row],[Styrke venstre]:[Styrke tosidet]],EY$7),NA())</f>
        <v>#N/A</v>
      </c>
      <c r="EZ47" s="32" t="e">
        <f>IF(EY$3,IF(CHOOSE(EY$7,Eu_tabel_a[[#This Row],[x base]]&gt;0,Eu_tabel_a[[#This Row],[x base]]&lt;0,Eu_tabel_a[[#This Row],[x base]]=0),1,NA()),NA())</f>
        <v>#N/A</v>
      </c>
      <c r="FA47" s="32" t="e">
        <f>IF(CHOOSE(EY$7,Eu_tabel_a[[#This Row],[x base]]&gt;0,Eu_tabel_a[[#This Row],[x base]]&lt;0,Eu_tabel_a[[#This Row],[x base]]=0),Eu_tabel_a[[#This Row],[Styrke, aktiv]],NA())</f>
        <v>#N/A</v>
      </c>
      <c r="FB47" s="32" t="e">
        <f>IFERROR(IF($EY$3,Eu_tabel_a[[#This Row],[Styrke, aktiv]],NA()),NA())</f>
        <v>#N/A</v>
      </c>
      <c r="FC47" s="32" t="e">
        <f>IF(ISNA(Eu_tabel_a[[#This Row],[Sand negativ
Nulhypotese afvises
Korrekt]]),NA(),IF(EY$3,1,NA()))</f>
        <v>#N/A</v>
      </c>
      <c r="FD47" s="33" t="str" cm="1">
        <f t="array" ref="FD47">IFERROR(_xlfn.SWITCH(Eu_tabel_a[[#This Row],[Indeks]],_xlfn.IFNA(FB$2,-99),FB$5,_xlfn.IFNA(FB$3,-99),FB$6,_xlfn.IFNA(FB$4,-99),FB$7,""),"")</f>
        <v/>
      </c>
      <c r="FE47" s="32">
        <f>Eu_tabel_a[[#This Row],[x base]]*SQRT(Eu_a_h0_x*(1-Eu_a_h0_x)/Eu_a_n_x)+Eu_a_h0_x</f>
        <v>0</v>
      </c>
      <c r="FJ47" s="74" t="e">
        <f t="shared" si="18"/>
        <v>#N/A</v>
      </c>
      <c r="FK47" s="82" t="e">
        <f t="shared" si="113"/>
        <v>#DIV/0!</v>
      </c>
      <c r="FL47" s="7" t="e">
        <f t="shared" si="12"/>
        <v>#DIV/0!</v>
      </c>
      <c r="FM47" t="e">
        <f t="shared" si="114"/>
        <v>#DIV/0!</v>
      </c>
      <c r="FN47" s="8" t="e">
        <f t="shared" si="115"/>
        <v>#DIV/0!</v>
      </c>
      <c r="FO47" s="8" t="e">
        <f t="shared" si="116"/>
        <v>#DIV/0!</v>
      </c>
      <c r="FP47" s="81" t="e">
        <f t="shared" si="117"/>
        <v>#DIV/0!</v>
      </c>
      <c r="FQ47" s="74" t="e">
        <f t="shared" ca="1" si="13"/>
        <v>#N/A</v>
      </c>
      <c r="FR47" s="82" t="e" vm="3">
        <f t="shared" ca="1" si="19"/>
        <v>#VALUE!</v>
      </c>
      <c r="FS47" s="7" t="e" vm="3">
        <f t="shared" ca="1" si="14"/>
        <v>#VALUE!</v>
      </c>
      <c r="FT47" t="e" vm="3">
        <f t="shared" ca="1" si="8"/>
        <v>#VALUE!</v>
      </c>
      <c r="FU47" s="8" t="e" vm="3">
        <f t="shared" ca="1" si="9"/>
        <v>#VALUE!</v>
      </c>
      <c r="FV47" s="8" t="e" vm="3">
        <f t="shared" ca="1" si="10"/>
        <v>#VALUE!</v>
      </c>
      <c r="FW47" s="81" t="e" vm="3">
        <f t="shared" ca="1" si="11"/>
        <v>#VALUE!</v>
      </c>
      <c r="FX47" s="74" t="e">
        <f t="shared" si="15"/>
        <v>#N/A</v>
      </c>
      <c r="FY47" s="82" t="e">
        <f t="shared" si="20"/>
        <v>#N/A</v>
      </c>
      <c r="FZ47" s="7" t="e">
        <f t="shared" si="16"/>
        <v>#N/A</v>
      </c>
      <c r="GA47" t="e">
        <f t="shared" si="21"/>
        <v>#N/A</v>
      </c>
      <c r="GB47" s="8" t="e">
        <f t="shared" si="22"/>
        <v>#N/A</v>
      </c>
      <c r="GC47" s="8" t="e">
        <f t="shared" si="23"/>
        <v>#N/A</v>
      </c>
      <c r="GD47" s="81" t="e">
        <f t="shared" si="24"/>
        <v>#N/A</v>
      </c>
      <c r="GE47" s="74" t="e">
        <f t="shared" si="25"/>
        <v>#N/A</v>
      </c>
      <c r="GF47" s="82" t="e">
        <f t="shared" si="26"/>
        <v>#N/A</v>
      </c>
      <c r="GG47" s="7" t="e">
        <f t="shared" si="17"/>
        <v>#N/A</v>
      </c>
      <c r="GH47" t="e">
        <f t="shared" si="27"/>
        <v>#N/A</v>
      </c>
      <c r="GI47" s="8" t="e">
        <f t="shared" si="28"/>
        <v>#N/A</v>
      </c>
      <c r="GJ47" s="8" t="e">
        <f t="shared" si="29"/>
        <v>#N/A</v>
      </c>
      <c r="GK47" s="81" t="e">
        <f t="shared" si="30"/>
        <v>#N/A</v>
      </c>
      <c r="GL47" s="81"/>
      <c r="GM47" s="81"/>
      <c r="GP47" s="59">
        <f t="shared" si="81"/>
        <v>37</v>
      </c>
      <c r="GQ47" s="32">
        <f t="shared" si="82"/>
        <v>38</v>
      </c>
      <c r="GR47" s="59">
        <f t="shared" si="83"/>
        <v>-2.2038866059491382</v>
      </c>
      <c r="GS47" s="59">
        <f t="shared" si="84"/>
        <v>3.5172293628326232E-2</v>
      </c>
      <c r="GT47" s="59" t="e">
        <f t="shared" si="85"/>
        <v>#N/A</v>
      </c>
      <c r="GU47" s="59" t="e">
        <f t="shared" si="86"/>
        <v>#N/A</v>
      </c>
      <c r="GV47" s="59" t="e">
        <f t="shared" si="87"/>
        <v>#N/A</v>
      </c>
      <c r="GW47" s="59" t="b">
        <f t="shared" si="88"/>
        <v>1</v>
      </c>
      <c r="GX47" s="59" t="b">
        <f t="shared" si="89"/>
        <v>0</v>
      </c>
      <c r="GY47" s="59" t="b">
        <f t="shared" si="90"/>
        <v>1</v>
      </c>
      <c r="GZ47" s="59" t="b">
        <f t="shared" si="91"/>
        <v>0</v>
      </c>
      <c r="HA47" s="59">
        <f t="shared" si="92"/>
        <v>3.5172293628326232E-2</v>
      </c>
      <c r="HB47" s="59">
        <f t="shared" si="93"/>
        <v>3.5172293628326232E-2</v>
      </c>
      <c r="HC47" s="59" t="e">
        <f t="shared" si="94"/>
        <v>#N/A</v>
      </c>
      <c r="HD47" s="60" t="str">
        <f t="shared" si="95"/>
        <v/>
      </c>
      <c r="HJ47" s="59">
        <f t="shared" si="96"/>
        <v>37</v>
      </c>
      <c r="HK47" s="32">
        <f t="shared" si="97"/>
        <v>38</v>
      </c>
      <c r="HL47" s="59">
        <f t="shared" si="98"/>
        <v>-3.4127646963932294</v>
      </c>
      <c r="HM47" s="59" t="e">
        <f t="shared" si="99"/>
        <v>#N/A</v>
      </c>
      <c r="HN47" s="59">
        <f t="shared" si="100"/>
        <v>7.6455867646367508E-3</v>
      </c>
      <c r="HO47" s="59" t="e">
        <f t="shared" si="101"/>
        <v>#N/A</v>
      </c>
      <c r="HP47" s="59" t="e">
        <f t="shared" si="102"/>
        <v>#N/A</v>
      </c>
      <c r="HQ47" s="59" t="b">
        <f t="shared" si="103"/>
        <v>1</v>
      </c>
      <c r="HR47" s="59" t="b">
        <f t="shared" si="104"/>
        <v>0</v>
      </c>
      <c r="HS47" s="59" t="b">
        <f t="shared" si="105"/>
        <v>1</v>
      </c>
      <c r="HT47" s="59" t="b">
        <f t="shared" si="106"/>
        <v>0</v>
      </c>
      <c r="HU47" s="59">
        <f t="shared" si="107"/>
        <v>7.6455867646367508E-3</v>
      </c>
      <c r="HV47" s="59">
        <f t="shared" si="108"/>
        <v>7.6455867646367508E-3</v>
      </c>
      <c r="HW47" s="59" t="e">
        <f t="shared" si="109"/>
        <v>#N/A</v>
      </c>
      <c r="HX47" s="60" t="str">
        <f t="shared" si="110"/>
        <v/>
      </c>
    </row>
    <row r="48" spans="1:232" x14ac:dyDescent="0.2">
      <c r="BF48">
        <v>8</v>
      </c>
      <c r="BG48">
        <v>5</v>
      </c>
      <c r="BH48" t="b">
        <v>1</v>
      </c>
      <c r="BI48">
        <v>8</v>
      </c>
      <c r="BJ48">
        <v>5</v>
      </c>
      <c r="BL48" s="53" t="s">
        <v>246</v>
      </c>
      <c r="BM48" s="86" cm="1">
        <f t="array" ref="BM48">IF($BI$2,INDEX(E_i_valg[Venstre label base],E_i_aktiv),NA())</f>
        <v>1.08361049168533</v>
      </c>
      <c r="BZ48" s="59">
        <f t="shared" si="36"/>
        <v>38</v>
      </c>
      <c r="CA48" s="32">
        <f>Eu_tabel_g[[#This Row],[Indeks]]+1</f>
        <v>39</v>
      </c>
      <c r="CB48" s="59">
        <f t="shared" si="37"/>
        <v>-2.1799313167540388</v>
      </c>
      <c r="CC48" s="59">
        <f t="shared" si="38"/>
        <v>3.706845998598688E-2</v>
      </c>
      <c r="CD48" s="59" t="e">
        <f t="shared" si="39"/>
        <v>#N/A</v>
      </c>
      <c r="CE48" s="59" t="e">
        <f t="shared" si="40"/>
        <v>#N/A</v>
      </c>
      <c r="CF48" s="59" t="e">
        <f t="shared" si="41"/>
        <v>#N/A</v>
      </c>
      <c r="CG48" s="59" t="b">
        <f t="shared" si="42"/>
        <v>1</v>
      </c>
      <c r="CH48" s="59" t="b">
        <f t="shared" si="43"/>
        <v>0</v>
      </c>
      <c r="CI48" s="59" t="b">
        <f t="shared" si="44"/>
        <v>1</v>
      </c>
      <c r="CJ48" s="59" t="b">
        <f t="shared" si="45"/>
        <v>0</v>
      </c>
      <c r="CK48" s="59">
        <f t="shared" si="118"/>
        <v>3.706845998598688E-2</v>
      </c>
      <c r="CL48" s="59">
        <f t="shared" si="47"/>
        <v>3.706845998598688E-2</v>
      </c>
      <c r="CM48" s="59" t="e">
        <f t="shared" si="48"/>
        <v>#N/A</v>
      </c>
      <c r="CN48" s="60" t="str">
        <f t="shared" si="49"/>
        <v/>
      </c>
      <c r="CO48" s="32">
        <f>_xlfn.NORM.DIST(_xlfn.NORM.INV(1-Eu_g_konfidensniveau,0,1)-Eu_tabel_g[[#This Row],[x base]],0,1,TRUE)</f>
        <v>0.70370193173370943</v>
      </c>
      <c r="CP48" s="32">
        <f>1-_xlfn.NORM.DIST(_xlfn.NORM.INV(Eu_g_konfidensniveau,0,1)-Eu_tabel_g[[#This Row],[x base]],0,1,TRUE)</f>
        <v>6.5443143886456667E-5</v>
      </c>
      <c r="CQ48" s="32">
        <f>_xlfn.NORM.DIST(_xlfn.NORM.INV((1-Eu_g_konfidensniveau)/2,0,1)-Eu_tabel_g[[#This Row],[x base]],0,1,TRUE)+1-_xlfn.NORM.DIST(_xlfn.NORM.INV(1-(1-Eu_g_konfidensniveau)/2,0,1)-Eu_tabel_g[[#This Row],[x base]],0,1,TRUE)</f>
        <v>0.58706907486227267</v>
      </c>
      <c r="CR48" s="32" t="e" cm="1">
        <f t="array" ref="CR48">IF($CR$3,INDEX(Eu_tabel_g[[#This Row],[Styrke venstre]:[Styrke tosidet]],CR$7),NA())</f>
        <v>#N/A</v>
      </c>
      <c r="CS48" s="52" t="e">
        <f>Eu_tabel_g[[#This Row],[Falsk positiv
Nulhypotese accepteres
Fejltype 1]]</f>
        <v>#N/A</v>
      </c>
      <c r="CT48" s="52" t="e">
        <f>IF(CHOOSE(CR$7,Eu_tabel_g[[#This Row],[x base]]&gt;0,Eu_tabel_g[[#This Row],[x base]]&lt;0,Eu_tabel_g[[#This Row],[x base]]=0),Eu_tabel_g[[#This Row],[Styrke, aktiv]],NA())</f>
        <v>#N/A</v>
      </c>
      <c r="CU48" s="52" t="e">
        <f>IFERROR(IF($CR$3,Eu_tabel_g[[#This Row],[Styrke, aktiv]],NA()),NA())</f>
        <v>#N/A</v>
      </c>
      <c r="CV48" s="52" t="e">
        <f>IF(ISNA(Eu_tabel_g[[#This Row],[Sand negativ
Nulhypotese afvises
Korrekt]]),NA(),IF($CR$3,1,NA()))</f>
        <v>#N/A</v>
      </c>
      <c r="CW48" s="34" t="str" cm="1">
        <f t="array" ref="CW48">_xlfn.SWITCH(BZ48,_xlfn.IFNA(CU$2,-99),CU$5,_xlfn.IFNA(CU$3,-99),CU$6,_xlfn.IFNA(CU$4,-99),CU$7,"")</f>
        <v/>
      </c>
      <c r="DA48" s="7">
        <f t="shared" si="50"/>
        <v>0.8</v>
      </c>
      <c r="DB48">
        <f>IF(ROW(Styrkeberegning_G[[#This Row],[X base venstre]])=ROW(Styrkeberegning_G[[#Headers],[X base venstre]])+1,DB$7/(DA$7/$B$67),DB47/(DA47/$B$67))</f>
        <v>-2.8015817870135784</v>
      </c>
      <c r="DC48">
        <f>Styrkeberegning_G[[#This Row],[X base venstre]]*-1</f>
        <v>2.8015817870135784</v>
      </c>
      <c r="DN48" s="59">
        <f t="shared" si="51"/>
        <v>38</v>
      </c>
      <c r="DO48" s="32">
        <f t="shared" si="52"/>
        <v>39</v>
      </c>
      <c r="DP48" s="59">
        <f t="shared" si="53"/>
        <v>6.1685452084997285</v>
      </c>
      <c r="DQ48" s="59" t="e">
        <f t="shared" si="54"/>
        <v>#N/A</v>
      </c>
      <c r="DR48" s="59" t="e">
        <f t="shared" si="55"/>
        <v>#N/A</v>
      </c>
      <c r="DS48" s="59">
        <f t="shared" si="56"/>
        <v>6.9473322396871304E-2</v>
      </c>
      <c r="DT48" s="59" t="e">
        <f t="shared" si="57"/>
        <v>#N/A</v>
      </c>
      <c r="DU48" s="59" t="b">
        <f t="shared" si="58"/>
        <v>0</v>
      </c>
      <c r="DV48" s="59" t="b">
        <f t="shared" si="59"/>
        <v>1</v>
      </c>
      <c r="DW48" s="59" t="b">
        <f t="shared" si="60"/>
        <v>0</v>
      </c>
      <c r="DX48" s="59" t="b">
        <f t="shared" si="61"/>
        <v>1</v>
      </c>
      <c r="DY48" s="59">
        <f t="shared" si="62"/>
        <v>6.9473322396871304E-2</v>
      </c>
      <c r="DZ48" s="59" t="e">
        <f t="shared" si="63"/>
        <v>#N/A</v>
      </c>
      <c r="EA48" s="59">
        <f t="shared" si="64"/>
        <v>6.9473322396871304E-2</v>
      </c>
      <c r="EB48" s="60" t="str">
        <f t="shared" si="65"/>
        <v/>
      </c>
      <c r="EG48" s="59">
        <f t="shared" si="66"/>
        <v>38</v>
      </c>
      <c r="EH48" s="32">
        <f t="shared" si="67"/>
        <v>39</v>
      </c>
      <c r="EI48" s="59">
        <f t="shared" si="68"/>
        <v>-2.1799313167540388</v>
      </c>
      <c r="EJ48" s="59">
        <f t="shared" si="69"/>
        <v>3.706845998598688E-2</v>
      </c>
      <c r="EK48" s="59" t="e">
        <f t="shared" si="70"/>
        <v>#N/A</v>
      </c>
      <c r="EL48" s="59" t="e">
        <f t="shared" si="71"/>
        <v>#N/A</v>
      </c>
      <c r="EM48" s="59" t="e">
        <f t="shared" si="72"/>
        <v>#N/A</v>
      </c>
      <c r="EN48" s="59" t="b">
        <f t="shared" si="73"/>
        <v>1</v>
      </c>
      <c r="EO48" s="59" t="b">
        <f t="shared" si="74"/>
        <v>0</v>
      </c>
      <c r="EP48" s="59" t="b">
        <f t="shared" si="75"/>
        <v>1</v>
      </c>
      <c r="EQ48" s="59" t="b">
        <f t="shared" si="76"/>
        <v>0</v>
      </c>
      <c r="ER48" s="59">
        <f t="shared" si="77"/>
        <v>3.706845998598688E-2</v>
      </c>
      <c r="ES48" s="59">
        <f t="shared" si="78"/>
        <v>3.706845998598688E-2</v>
      </c>
      <c r="ET48" s="59" t="e">
        <f t="shared" si="79"/>
        <v>#N/A</v>
      </c>
      <c r="EU48" s="60" t="str">
        <f t="shared" si="80"/>
        <v/>
      </c>
      <c r="EV4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8" s="32" t="e" cm="1">
        <f t="array" ref="EY48">IF($CR$3,INDEX(Eu_tabel_a[[#This Row],[Styrke venstre]:[Styrke tosidet]],EY$7),NA())</f>
        <v>#N/A</v>
      </c>
      <c r="EZ48" s="32" t="e">
        <f>IF(EY$3,IF(CHOOSE(EY$7,Eu_tabel_a[[#This Row],[x base]]&gt;0,Eu_tabel_a[[#This Row],[x base]]&lt;0,Eu_tabel_a[[#This Row],[x base]]=0),1,NA()),NA())</f>
        <v>#N/A</v>
      </c>
      <c r="FA48" s="32" t="e">
        <f>IF(CHOOSE(EY$7,Eu_tabel_a[[#This Row],[x base]]&gt;0,Eu_tabel_a[[#This Row],[x base]]&lt;0,Eu_tabel_a[[#This Row],[x base]]=0),Eu_tabel_a[[#This Row],[Styrke, aktiv]],NA())</f>
        <v>#N/A</v>
      </c>
      <c r="FB48" s="32" t="e">
        <f>IFERROR(IF($EY$3,Eu_tabel_a[[#This Row],[Styrke, aktiv]],NA()),NA())</f>
        <v>#N/A</v>
      </c>
      <c r="FC48" s="32" t="e">
        <f>IF(ISNA(Eu_tabel_a[[#This Row],[Sand negativ
Nulhypotese afvises
Korrekt]]),NA(),IF(EY$3,1,NA()))</f>
        <v>#N/A</v>
      </c>
      <c r="FD48" s="33" t="str" cm="1">
        <f t="array" ref="FD48">IFERROR(_xlfn.SWITCH(Eu_tabel_a[[#This Row],[Indeks]],_xlfn.IFNA(FB$2,-99),FB$5,_xlfn.IFNA(FB$3,-99),FB$6,_xlfn.IFNA(FB$4,-99),FB$7,""),"")</f>
        <v/>
      </c>
      <c r="FE48" s="32">
        <f>Eu_tabel_a[[#This Row],[x base]]*SQRT(Eu_a_h0_x*(1-Eu_a_h0_x)/Eu_a_n_x)+Eu_a_h0_x</f>
        <v>0</v>
      </c>
      <c r="FJ48" s="74" t="e">
        <f t="shared" si="18"/>
        <v>#N/A</v>
      </c>
      <c r="FK48" s="82" t="e">
        <f t="shared" si="113"/>
        <v>#DIV/0!</v>
      </c>
      <c r="FL48" s="7" t="e">
        <f t="shared" si="12"/>
        <v>#DIV/0!</v>
      </c>
      <c r="FM48" t="e">
        <f t="shared" si="114"/>
        <v>#DIV/0!</v>
      </c>
      <c r="FN48" s="8" t="e">
        <f t="shared" si="115"/>
        <v>#DIV/0!</v>
      </c>
      <c r="FO48" s="8" t="e">
        <f t="shared" si="116"/>
        <v>#DIV/0!</v>
      </c>
      <c r="FP48" s="81" t="e">
        <f t="shared" si="117"/>
        <v>#DIV/0!</v>
      </c>
      <c r="FQ48" s="74" t="e">
        <f t="shared" ca="1" si="13"/>
        <v>#N/A</v>
      </c>
      <c r="FR48" s="82" t="e" vm="3">
        <f t="shared" ca="1" si="19"/>
        <v>#VALUE!</v>
      </c>
      <c r="FS48" s="7" t="e" vm="3">
        <f t="shared" ca="1" si="14"/>
        <v>#VALUE!</v>
      </c>
      <c r="FT48" t="e" vm="3">
        <f t="shared" ca="1" si="8"/>
        <v>#VALUE!</v>
      </c>
      <c r="FU48" s="8" t="e" vm="3">
        <f t="shared" ca="1" si="9"/>
        <v>#VALUE!</v>
      </c>
      <c r="FV48" s="8" t="e" vm="3">
        <f t="shared" ca="1" si="10"/>
        <v>#VALUE!</v>
      </c>
      <c r="FW48" s="81" t="e" vm="3">
        <f t="shared" ca="1" si="11"/>
        <v>#VALUE!</v>
      </c>
      <c r="FX48" s="74" t="e">
        <f t="shared" si="15"/>
        <v>#N/A</v>
      </c>
      <c r="FY48" s="82" t="e">
        <f t="shared" si="20"/>
        <v>#N/A</v>
      </c>
      <c r="FZ48" s="7" t="e">
        <f t="shared" si="16"/>
        <v>#N/A</v>
      </c>
      <c r="GA48" t="e">
        <f t="shared" si="21"/>
        <v>#N/A</v>
      </c>
      <c r="GB48" s="8" t="e">
        <f t="shared" si="22"/>
        <v>#N/A</v>
      </c>
      <c r="GC48" s="8" t="e">
        <f t="shared" si="23"/>
        <v>#N/A</v>
      </c>
      <c r="GD48" s="81" t="e">
        <f t="shared" si="24"/>
        <v>#N/A</v>
      </c>
      <c r="GE48" s="74" t="e">
        <f t="shared" si="25"/>
        <v>#N/A</v>
      </c>
      <c r="GF48" s="82" t="e">
        <f t="shared" si="26"/>
        <v>#N/A</v>
      </c>
      <c r="GG48" s="7" t="e">
        <f t="shared" si="17"/>
        <v>#N/A</v>
      </c>
      <c r="GH48" t="e">
        <f t="shared" si="27"/>
        <v>#N/A</v>
      </c>
      <c r="GI48" s="8" t="e">
        <f t="shared" si="28"/>
        <v>#N/A</v>
      </c>
      <c r="GJ48" s="8" t="e">
        <f t="shared" si="29"/>
        <v>#N/A</v>
      </c>
      <c r="GK48" s="81" t="e">
        <f t="shared" si="30"/>
        <v>#N/A</v>
      </c>
      <c r="GL48" s="81"/>
      <c r="GM48" s="81"/>
      <c r="GP48" s="59">
        <f t="shared" si="81"/>
        <v>38</v>
      </c>
      <c r="GQ48" s="32">
        <f t="shared" si="82"/>
        <v>39</v>
      </c>
      <c r="GR48" s="59">
        <f t="shared" si="83"/>
        <v>-2.1799313167540388</v>
      </c>
      <c r="GS48" s="59">
        <f t="shared" si="84"/>
        <v>3.706845998598688E-2</v>
      </c>
      <c r="GT48" s="59" t="e">
        <f t="shared" si="85"/>
        <v>#N/A</v>
      </c>
      <c r="GU48" s="59" t="e">
        <f t="shared" si="86"/>
        <v>#N/A</v>
      </c>
      <c r="GV48" s="59" t="e">
        <f t="shared" si="87"/>
        <v>#N/A</v>
      </c>
      <c r="GW48" s="59" t="b">
        <f t="shared" si="88"/>
        <v>1</v>
      </c>
      <c r="GX48" s="59" t="b">
        <f t="shared" si="89"/>
        <v>0</v>
      </c>
      <c r="GY48" s="59" t="b">
        <f t="shared" si="90"/>
        <v>1</v>
      </c>
      <c r="GZ48" s="59" t="b">
        <f t="shared" si="91"/>
        <v>0</v>
      </c>
      <c r="HA48" s="59">
        <f t="shared" si="92"/>
        <v>3.706845998598688E-2</v>
      </c>
      <c r="HB48" s="59">
        <f t="shared" si="93"/>
        <v>3.706845998598688E-2</v>
      </c>
      <c r="HC48" s="59" t="e">
        <f t="shared" si="94"/>
        <v>#N/A</v>
      </c>
      <c r="HD48" s="60" t="str">
        <f t="shared" si="95"/>
        <v/>
      </c>
      <c r="HJ48" s="59">
        <f t="shared" si="96"/>
        <v>38</v>
      </c>
      <c r="HK48" s="32">
        <f t="shared" si="97"/>
        <v>39</v>
      </c>
      <c r="HL48" s="59">
        <f t="shared" si="98"/>
        <v>-3.3756694279541728</v>
      </c>
      <c r="HM48" s="59" t="e">
        <f t="shared" si="99"/>
        <v>#N/A</v>
      </c>
      <c r="HN48" s="59">
        <f t="shared" si="100"/>
        <v>8.0729166739766621E-3</v>
      </c>
      <c r="HO48" s="59" t="e">
        <f t="shared" si="101"/>
        <v>#N/A</v>
      </c>
      <c r="HP48" s="59" t="e">
        <f t="shared" si="102"/>
        <v>#N/A</v>
      </c>
      <c r="HQ48" s="59" t="b">
        <f t="shared" si="103"/>
        <v>1</v>
      </c>
      <c r="HR48" s="59" t="b">
        <f t="shared" si="104"/>
        <v>0</v>
      </c>
      <c r="HS48" s="59" t="b">
        <f t="shared" si="105"/>
        <v>1</v>
      </c>
      <c r="HT48" s="59" t="b">
        <f t="shared" si="106"/>
        <v>0</v>
      </c>
      <c r="HU48" s="59">
        <f t="shared" si="107"/>
        <v>8.0729166739766621E-3</v>
      </c>
      <c r="HV48" s="59">
        <f t="shared" si="108"/>
        <v>8.0729166739766621E-3</v>
      </c>
      <c r="HW48" s="59" t="e">
        <f t="shared" si="109"/>
        <v>#N/A</v>
      </c>
      <c r="HX48" s="60" t="str">
        <f t="shared" si="110"/>
        <v/>
      </c>
    </row>
    <row r="49" spans="58:232" x14ac:dyDescent="0.2">
      <c r="BF49">
        <v>-0.30723615599325882</v>
      </c>
      <c r="BG49">
        <v>2.0228895016109072</v>
      </c>
      <c r="BH49" t="b">
        <v>0</v>
      </c>
      <c r="BI49">
        <v>-0.30723615599325882</v>
      </c>
      <c r="BJ49">
        <v>2.0228895016109072</v>
      </c>
      <c r="BL49" s="53" t="s">
        <v>247</v>
      </c>
      <c r="BM49" s="86" cm="1">
        <f t="array" ref="BM49">IF($BI$2,INDEX(E_i_valg[Højre label base],E_i_aktiv),NA())</f>
        <v>2.6243983449566111</v>
      </c>
      <c r="BZ49" s="59">
        <f t="shared" si="36"/>
        <v>39</v>
      </c>
      <c r="CA49" s="32">
        <f>Eu_tabel_g[[#This Row],[Indeks]]+1</f>
        <v>40</v>
      </c>
      <c r="CB49" s="59">
        <f t="shared" si="37"/>
        <v>-2.1559760275589395</v>
      </c>
      <c r="CC49" s="59">
        <f t="shared" si="38"/>
        <v>3.9044437871557765E-2</v>
      </c>
      <c r="CD49" s="59" t="e">
        <f t="shared" si="39"/>
        <v>#N/A</v>
      </c>
      <c r="CE49" s="59" t="e">
        <f t="shared" si="40"/>
        <v>#N/A</v>
      </c>
      <c r="CF49" s="59" t="e">
        <f t="shared" si="41"/>
        <v>#N/A</v>
      </c>
      <c r="CG49" s="59" t="b">
        <f t="shared" si="42"/>
        <v>1</v>
      </c>
      <c r="CH49" s="59" t="b">
        <f t="shared" si="43"/>
        <v>0</v>
      </c>
      <c r="CI49" s="59" t="b">
        <f t="shared" si="44"/>
        <v>1</v>
      </c>
      <c r="CJ49" s="59" t="b">
        <f t="shared" si="45"/>
        <v>0</v>
      </c>
      <c r="CK49" s="59">
        <f t="shared" si="118"/>
        <v>3.9044437871557765E-2</v>
      </c>
      <c r="CL49" s="59">
        <f t="shared" si="47"/>
        <v>3.9044437871557765E-2</v>
      </c>
      <c r="CM49" s="59" t="e">
        <f t="shared" si="48"/>
        <v>#N/A</v>
      </c>
      <c r="CN49" s="60" t="str">
        <f t="shared" si="49"/>
        <v/>
      </c>
      <c r="CO49" s="32">
        <f>_xlfn.NORM.DIST(_xlfn.NORM.INV(1-Eu_g_konfidensniveau,0,1)-Eu_tabel_g[[#This Row],[x base]],0,1,TRUE)</f>
        <v>0.69536732432934545</v>
      </c>
      <c r="CP49" s="32">
        <f>1-_xlfn.NORM.DIST(_xlfn.NORM.INV(Eu_g_konfidensniveau,0,1)-Eu_tabel_g[[#This Row],[x base]],0,1,TRUE)</f>
        <v>7.2106210282307792E-5</v>
      </c>
      <c r="CQ49" s="32">
        <f>_xlfn.NORM.DIST(_xlfn.NORM.INV((1-Eu_g_konfidensniveau)/2,0,1)-Eu_tabel_g[[#This Row],[x base]],0,1,TRUE)+1-_xlfn.NORM.DIST(_xlfn.NORM.INV(1-(1-Eu_g_konfidensniveau)/2,0,1)-Eu_tabel_g[[#This Row],[x base]],0,1,TRUE)</f>
        <v>0.57771891029166778</v>
      </c>
      <c r="CR49" s="32" t="e" cm="1">
        <f t="array" ref="CR49">IF($CR$3,INDEX(Eu_tabel_g[[#This Row],[Styrke venstre]:[Styrke tosidet]],CR$7),NA())</f>
        <v>#N/A</v>
      </c>
      <c r="CS49" s="52" t="e">
        <f>Eu_tabel_g[[#This Row],[Falsk positiv
Nulhypotese accepteres
Fejltype 1]]</f>
        <v>#N/A</v>
      </c>
      <c r="CT49" s="52" t="e">
        <f>IF(CHOOSE(CR$7,Eu_tabel_g[[#This Row],[x base]]&gt;0,Eu_tabel_g[[#This Row],[x base]]&lt;0,Eu_tabel_g[[#This Row],[x base]]=0),Eu_tabel_g[[#This Row],[Styrke, aktiv]],NA())</f>
        <v>#N/A</v>
      </c>
      <c r="CU49" s="52" t="e">
        <f>IFERROR(IF($CR$3,Eu_tabel_g[[#This Row],[Styrke, aktiv]],NA()),NA())</f>
        <v>#N/A</v>
      </c>
      <c r="CV49" s="52" t="e">
        <f>IF(ISNA(Eu_tabel_g[[#This Row],[Sand negativ
Nulhypotese afvises
Korrekt]]),NA(),IF($CR$3,1,NA()))</f>
        <v>#N/A</v>
      </c>
      <c r="CW49" s="34" t="str" cm="1">
        <f t="array" ref="CW49">_xlfn.SWITCH(BZ49,_xlfn.IFNA(CU$2,-99),CU$5,_xlfn.IFNA(CU$3,-99),CU$6,_xlfn.IFNA(CU$4,-99),CU$7,"")</f>
        <v/>
      </c>
      <c r="DA49" s="7">
        <f t="shared" si="50"/>
        <v>0.8</v>
      </c>
      <c r="DB49">
        <f>IF(ROW(Styrkeberegning_G[[#This Row],[X base venstre]])=ROW(Styrkeberegning_G[[#Headers],[X base venstre]])+1,DB$7/(DA$7/$B$67),DB48/(DA48/$B$67))</f>
        <v>-2.8015817870135784</v>
      </c>
      <c r="DC49">
        <f>Styrkeberegning_G[[#This Row],[X base venstre]]*-1</f>
        <v>2.8015817870135784</v>
      </c>
      <c r="DN49" s="59">
        <f t="shared" si="51"/>
        <v>39</v>
      </c>
      <c r="DO49" s="32">
        <f t="shared" si="52"/>
        <v>40</v>
      </c>
      <c r="DP49" s="59">
        <f t="shared" si="53"/>
        <v>6.2826160649167297</v>
      </c>
      <c r="DQ49" s="59" t="e">
        <f t="shared" si="54"/>
        <v>#N/A</v>
      </c>
      <c r="DR49" s="59" t="e">
        <f t="shared" si="55"/>
        <v>#N/A</v>
      </c>
      <c r="DS49" s="59">
        <f t="shared" si="56"/>
        <v>7.126197508955133E-2</v>
      </c>
      <c r="DT49" s="59" t="e">
        <f t="shared" si="57"/>
        <v>#N/A</v>
      </c>
      <c r="DU49" s="59" t="b">
        <f t="shared" si="58"/>
        <v>0</v>
      </c>
      <c r="DV49" s="59" t="b">
        <f t="shared" si="59"/>
        <v>1</v>
      </c>
      <c r="DW49" s="59" t="b">
        <f t="shared" si="60"/>
        <v>0</v>
      </c>
      <c r="DX49" s="59" t="b">
        <f t="shared" si="61"/>
        <v>1</v>
      </c>
      <c r="DY49" s="59">
        <f t="shared" si="62"/>
        <v>7.126197508955133E-2</v>
      </c>
      <c r="DZ49" s="59" t="e">
        <f t="shared" si="63"/>
        <v>#N/A</v>
      </c>
      <c r="EA49" s="59">
        <f t="shared" si="64"/>
        <v>7.126197508955133E-2</v>
      </c>
      <c r="EB49" s="60" t="str">
        <f t="shared" si="65"/>
        <v/>
      </c>
      <c r="EG49" s="59">
        <f t="shared" si="66"/>
        <v>39</v>
      </c>
      <c r="EH49" s="32">
        <f t="shared" si="67"/>
        <v>40</v>
      </c>
      <c r="EI49" s="59">
        <f t="shared" si="68"/>
        <v>-2.1559760275589395</v>
      </c>
      <c r="EJ49" s="59">
        <f t="shared" si="69"/>
        <v>3.9044437871557765E-2</v>
      </c>
      <c r="EK49" s="59" t="e">
        <f t="shared" si="70"/>
        <v>#N/A</v>
      </c>
      <c r="EL49" s="59" t="e">
        <f t="shared" si="71"/>
        <v>#N/A</v>
      </c>
      <c r="EM49" s="59" t="e">
        <f t="shared" si="72"/>
        <v>#N/A</v>
      </c>
      <c r="EN49" s="59" t="b">
        <f t="shared" si="73"/>
        <v>1</v>
      </c>
      <c r="EO49" s="59" t="b">
        <f t="shared" si="74"/>
        <v>0</v>
      </c>
      <c r="EP49" s="59" t="b">
        <f t="shared" si="75"/>
        <v>1</v>
      </c>
      <c r="EQ49" s="59" t="b">
        <f t="shared" si="76"/>
        <v>0</v>
      </c>
      <c r="ER49" s="59">
        <f t="shared" si="77"/>
        <v>3.9044437871557765E-2</v>
      </c>
      <c r="ES49" s="59">
        <f t="shared" si="78"/>
        <v>3.9044437871557765E-2</v>
      </c>
      <c r="ET49" s="59" t="e">
        <f t="shared" si="79"/>
        <v>#N/A</v>
      </c>
      <c r="EU49" s="60" t="str">
        <f t="shared" si="80"/>
        <v/>
      </c>
      <c r="EV4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9" s="32" t="e" cm="1">
        <f t="array" ref="EY49">IF($CR$3,INDEX(Eu_tabel_a[[#This Row],[Styrke venstre]:[Styrke tosidet]],EY$7),NA())</f>
        <v>#N/A</v>
      </c>
      <c r="EZ49" s="32" t="e">
        <f>IF(EY$3,IF(CHOOSE(EY$7,Eu_tabel_a[[#This Row],[x base]]&gt;0,Eu_tabel_a[[#This Row],[x base]]&lt;0,Eu_tabel_a[[#This Row],[x base]]=0),1,NA()),NA())</f>
        <v>#N/A</v>
      </c>
      <c r="FA49" s="32" t="e">
        <f>IF(CHOOSE(EY$7,Eu_tabel_a[[#This Row],[x base]]&gt;0,Eu_tabel_a[[#This Row],[x base]]&lt;0,Eu_tabel_a[[#This Row],[x base]]=0),Eu_tabel_a[[#This Row],[Styrke, aktiv]],NA())</f>
        <v>#N/A</v>
      </c>
      <c r="FB49" s="32" t="e">
        <f>IFERROR(IF($EY$3,Eu_tabel_a[[#This Row],[Styrke, aktiv]],NA()),NA())</f>
        <v>#N/A</v>
      </c>
      <c r="FC49" s="32" t="e">
        <f>IF(ISNA(Eu_tabel_a[[#This Row],[Sand negativ
Nulhypotese afvises
Korrekt]]),NA(),IF(EY$3,1,NA()))</f>
        <v>#N/A</v>
      </c>
      <c r="FD49" s="33" t="str" cm="1">
        <f t="array" ref="FD49">IFERROR(_xlfn.SWITCH(Eu_tabel_a[[#This Row],[Indeks]],_xlfn.IFNA(FB$2,-99),FB$5,_xlfn.IFNA(FB$3,-99),FB$6,_xlfn.IFNA(FB$4,-99),FB$7,""),"")</f>
        <v/>
      </c>
      <c r="FE49" s="32">
        <f>Eu_tabel_a[[#This Row],[x base]]*SQRT(Eu_a_h0_x*(1-Eu_a_h0_x)/Eu_a_n_x)+Eu_a_h0_x</f>
        <v>0</v>
      </c>
      <c r="FJ49" s="74" t="e">
        <f t="shared" si="18"/>
        <v>#N/A</v>
      </c>
      <c r="FK49" s="82" t="e">
        <f t="shared" si="113"/>
        <v>#DIV/0!</v>
      </c>
      <c r="FL49" s="7" t="e">
        <f t="shared" si="12"/>
        <v>#DIV/0!</v>
      </c>
      <c r="FM49" t="e">
        <f t="shared" si="114"/>
        <v>#DIV/0!</v>
      </c>
      <c r="FN49" s="8" t="e">
        <f t="shared" si="115"/>
        <v>#DIV/0!</v>
      </c>
      <c r="FO49" s="8" t="e">
        <f t="shared" si="116"/>
        <v>#DIV/0!</v>
      </c>
      <c r="FP49" s="81" t="e">
        <f t="shared" si="117"/>
        <v>#DIV/0!</v>
      </c>
      <c r="FQ49" s="74" t="e">
        <f t="shared" ca="1" si="13"/>
        <v>#N/A</v>
      </c>
      <c r="FR49" s="82" t="e" vm="3">
        <f t="shared" ca="1" si="19"/>
        <v>#VALUE!</v>
      </c>
      <c r="FS49" s="7" t="e" vm="3">
        <f t="shared" ca="1" si="14"/>
        <v>#VALUE!</v>
      </c>
      <c r="FT49" t="e" vm="3">
        <f t="shared" ca="1" si="8"/>
        <v>#VALUE!</v>
      </c>
      <c r="FU49" s="8" t="e" vm="3">
        <f t="shared" ca="1" si="9"/>
        <v>#VALUE!</v>
      </c>
      <c r="FV49" s="8" t="e" vm="3">
        <f t="shared" ca="1" si="10"/>
        <v>#VALUE!</v>
      </c>
      <c r="FW49" s="81" t="e" vm="3">
        <f t="shared" ca="1" si="11"/>
        <v>#VALUE!</v>
      </c>
      <c r="FX49" s="74" t="e">
        <f t="shared" si="15"/>
        <v>#N/A</v>
      </c>
      <c r="FY49" s="82" t="e">
        <f t="shared" si="20"/>
        <v>#N/A</v>
      </c>
      <c r="FZ49" s="7" t="e">
        <f t="shared" si="16"/>
        <v>#N/A</v>
      </c>
      <c r="GA49" t="e">
        <f t="shared" si="21"/>
        <v>#N/A</v>
      </c>
      <c r="GB49" s="8" t="e">
        <f t="shared" si="22"/>
        <v>#N/A</v>
      </c>
      <c r="GC49" s="8" t="e">
        <f t="shared" si="23"/>
        <v>#N/A</v>
      </c>
      <c r="GD49" s="81" t="e">
        <f t="shared" si="24"/>
        <v>#N/A</v>
      </c>
      <c r="GE49" s="74" t="e">
        <f t="shared" si="25"/>
        <v>#N/A</v>
      </c>
      <c r="GF49" s="82" t="e">
        <f t="shared" si="26"/>
        <v>#N/A</v>
      </c>
      <c r="GG49" s="7" t="e">
        <f t="shared" si="17"/>
        <v>#N/A</v>
      </c>
      <c r="GH49" t="e">
        <f t="shared" si="27"/>
        <v>#N/A</v>
      </c>
      <c r="GI49" s="8" t="e">
        <f t="shared" si="28"/>
        <v>#N/A</v>
      </c>
      <c r="GJ49" s="8" t="e">
        <f t="shared" si="29"/>
        <v>#N/A</v>
      </c>
      <c r="GK49" s="81" t="e">
        <f t="shared" si="30"/>
        <v>#N/A</v>
      </c>
      <c r="GL49" s="81"/>
      <c r="GM49" s="81"/>
      <c r="GP49" s="59">
        <f t="shared" si="81"/>
        <v>39</v>
      </c>
      <c r="GQ49" s="32">
        <f t="shared" si="82"/>
        <v>40</v>
      </c>
      <c r="GR49" s="59">
        <f t="shared" si="83"/>
        <v>-2.1559760275589395</v>
      </c>
      <c r="GS49" s="59">
        <f t="shared" si="84"/>
        <v>3.9044437871557765E-2</v>
      </c>
      <c r="GT49" s="59" t="e">
        <f t="shared" si="85"/>
        <v>#N/A</v>
      </c>
      <c r="GU49" s="59" t="e">
        <f t="shared" si="86"/>
        <v>#N/A</v>
      </c>
      <c r="GV49" s="59" t="e">
        <f t="shared" si="87"/>
        <v>#N/A</v>
      </c>
      <c r="GW49" s="59" t="b">
        <f t="shared" si="88"/>
        <v>1</v>
      </c>
      <c r="GX49" s="59" t="b">
        <f t="shared" si="89"/>
        <v>0</v>
      </c>
      <c r="GY49" s="59" t="b">
        <f t="shared" si="90"/>
        <v>1</v>
      </c>
      <c r="GZ49" s="59" t="b">
        <f t="shared" si="91"/>
        <v>0</v>
      </c>
      <c r="HA49" s="59">
        <f t="shared" si="92"/>
        <v>3.9044437871557765E-2</v>
      </c>
      <c r="HB49" s="59">
        <f t="shared" si="93"/>
        <v>3.9044437871557765E-2</v>
      </c>
      <c r="HC49" s="59" t="e">
        <f t="shared" si="94"/>
        <v>#N/A</v>
      </c>
      <c r="HD49" s="60" t="str">
        <f t="shared" si="95"/>
        <v/>
      </c>
      <c r="HJ49" s="59">
        <f t="shared" si="96"/>
        <v>39</v>
      </c>
      <c r="HK49" s="32">
        <f t="shared" si="97"/>
        <v>40</v>
      </c>
      <c r="HL49" s="59">
        <f t="shared" si="98"/>
        <v>-3.3385741595151162</v>
      </c>
      <c r="HM49" s="59" t="e">
        <f t="shared" si="99"/>
        <v>#N/A</v>
      </c>
      <c r="HN49" s="59">
        <f t="shared" si="100"/>
        <v>8.5253498118103947E-3</v>
      </c>
      <c r="HO49" s="59" t="e">
        <f t="shared" si="101"/>
        <v>#N/A</v>
      </c>
      <c r="HP49" s="59" t="e">
        <f t="shared" si="102"/>
        <v>#N/A</v>
      </c>
      <c r="HQ49" s="59" t="b">
        <f t="shared" si="103"/>
        <v>1</v>
      </c>
      <c r="HR49" s="59" t="b">
        <f t="shared" si="104"/>
        <v>0</v>
      </c>
      <c r="HS49" s="59" t="b">
        <f t="shared" si="105"/>
        <v>1</v>
      </c>
      <c r="HT49" s="59" t="b">
        <f t="shared" si="106"/>
        <v>0</v>
      </c>
      <c r="HU49" s="59">
        <f t="shared" si="107"/>
        <v>8.5253498118103947E-3</v>
      </c>
      <c r="HV49" s="59">
        <f t="shared" si="108"/>
        <v>8.5253498118103947E-3</v>
      </c>
      <c r="HW49" s="59" t="e">
        <f t="shared" si="109"/>
        <v>#N/A</v>
      </c>
      <c r="HX49" s="60" t="str">
        <f t="shared" si="110"/>
        <v/>
      </c>
    </row>
    <row r="50" spans="58:232" x14ac:dyDescent="0.2">
      <c r="BF50">
        <v>13</v>
      </c>
      <c r="BG50">
        <v>9</v>
      </c>
      <c r="BH50" t="b">
        <v>1</v>
      </c>
      <c r="BI50">
        <v>13</v>
      </c>
      <c r="BJ50">
        <v>9</v>
      </c>
      <c r="BL50" s="53" t="s">
        <v>249</v>
      </c>
      <c r="BM50" s="86" t="e" cm="1">
        <f t="array" ref="BM50">IF(NOT($BI$2),INDEX(E_i_valg[Fordeling],E_i_aktiv),NA())</f>
        <v>#N/A</v>
      </c>
      <c r="BZ50" s="59">
        <f t="shared" si="36"/>
        <v>40</v>
      </c>
      <c r="CA50" s="32">
        <f>Eu_tabel_g[[#This Row],[Indeks]]+1</f>
        <v>41</v>
      </c>
      <c r="CB50" s="59">
        <f t="shared" si="37"/>
        <v>-2.1320207383638401</v>
      </c>
      <c r="CC50" s="59">
        <f t="shared" si="38"/>
        <v>4.1102154102044132E-2</v>
      </c>
      <c r="CD50" s="59" t="e">
        <f t="shared" si="39"/>
        <v>#N/A</v>
      </c>
      <c r="CE50" s="59" t="e">
        <f t="shared" si="40"/>
        <v>#N/A</v>
      </c>
      <c r="CF50" s="59" t="e">
        <f t="shared" si="41"/>
        <v>#N/A</v>
      </c>
      <c r="CG50" s="59" t="b">
        <f t="shared" si="42"/>
        <v>1</v>
      </c>
      <c r="CH50" s="59" t="b">
        <f t="shared" si="43"/>
        <v>0</v>
      </c>
      <c r="CI50" s="59" t="b">
        <f t="shared" si="44"/>
        <v>1</v>
      </c>
      <c r="CJ50" s="59" t="b">
        <f t="shared" si="45"/>
        <v>0</v>
      </c>
      <c r="CK50" s="59">
        <f t="shared" si="118"/>
        <v>4.1102154102044132E-2</v>
      </c>
      <c r="CL50" s="59">
        <f t="shared" si="47"/>
        <v>4.1102154102044132E-2</v>
      </c>
      <c r="CM50" s="59" t="e">
        <f t="shared" si="48"/>
        <v>#N/A</v>
      </c>
      <c r="CN50" s="60" t="str">
        <f t="shared" si="49"/>
        <v/>
      </c>
      <c r="CO50" s="32">
        <f>_xlfn.NORM.DIST(_xlfn.NORM.INV(1-Eu_g_konfidensniveau,0,1)-Eu_tabel_g[[#This Row],[x base]],0,1,TRUE)</f>
        <v>0.68693004491440468</v>
      </c>
      <c r="CP50" s="32">
        <f>1-_xlfn.NORM.DIST(_xlfn.NORM.INV(Eu_g_konfidensniveau,0,1)-Eu_tabel_g[[#This Row],[x base]],0,1,TRUE)</f>
        <v>7.9404393321991229E-5</v>
      </c>
      <c r="CQ50" s="32">
        <f>_xlfn.NORM.DIST(_xlfn.NORM.INV((1-Eu_g_konfidensniveau)/2,0,1)-Eu_tabel_g[[#This Row],[x base]],0,1,TRUE)+1-_xlfn.NORM.DIST(_xlfn.NORM.INV(1-(1-Eu_g_konfidensniveau)/2,0,1)-Eu_tabel_g[[#This Row],[x base]],0,1,TRUE)</f>
        <v>0.56832492928531286</v>
      </c>
      <c r="CR50" s="32" t="e" cm="1">
        <f t="array" ref="CR50">IF($CR$3,INDEX(Eu_tabel_g[[#This Row],[Styrke venstre]:[Styrke tosidet]],CR$7),NA())</f>
        <v>#N/A</v>
      </c>
      <c r="CS50" s="52" t="e">
        <f>Eu_tabel_g[[#This Row],[Falsk positiv
Nulhypotese accepteres
Fejltype 1]]</f>
        <v>#N/A</v>
      </c>
      <c r="CT50" s="52" t="e">
        <f>IF(CHOOSE(CR$7,Eu_tabel_g[[#This Row],[x base]]&gt;0,Eu_tabel_g[[#This Row],[x base]]&lt;0,Eu_tabel_g[[#This Row],[x base]]=0),Eu_tabel_g[[#This Row],[Styrke, aktiv]],NA())</f>
        <v>#N/A</v>
      </c>
      <c r="CU50" s="52" t="e">
        <f>IFERROR(IF($CR$3,Eu_tabel_g[[#This Row],[Styrke, aktiv]],NA()),NA())</f>
        <v>#N/A</v>
      </c>
      <c r="CV50" s="52" t="e">
        <f>IF(ISNA(Eu_tabel_g[[#This Row],[Sand negativ
Nulhypotese afvises
Korrekt]]),NA(),IF($CR$3,1,NA()))</f>
        <v>#N/A</v>
      </c>
      <c r="CW50" s="34" t="str" cm="1">
        <f t="array" ref="CW50">_xlfn.SWITCH(BZ50,_xlfn.IFNA(CU$2,-99),CU$5,_xlfn.IFNA(CU$3,-99),CU$6,_xlfn.IFNA(CU$4,-99),CU$7,"")</f>
        <v/>
      </c>
      <c r="DA50" s="7">
        <f t="shared" si="50"/>
        <v>0.8</v>
      </c>
      <c r="DB50">
        <f>IF(ROW(Styrkeberegning_G[[#This Row],[X base venstre]])=ROW(Styrkeberegning_G[[#Headers],[X base venstre]])+1,DB$7/(DA$7/$B$67),DB49/(DA49/$B$67))</f>
        <v>-2.8015817870135784</v>
      </c>
      <c r="DC50">
        <f>Styrkeberegning_G[[#This Row],[X base venstre]]*-1</f>
        <v>2.8015817870135784</v>
      </c>
      <c r="DN50" s="59">
        <f t="shared" si="51"/>
        <v>40</v>
      </c>
      <c r="DO50" s="32">
        <f t="shared" si="52"/>
        <v>41</v>
      </c>
      <c r="DP50" s="59">
        <f t="shared" si="53"/>
        <v>6.396686921333731</v>
      </c>
      <c r="DQ50" s="59" t="e">
        <f t="shared" si="54"/>
        <v>#N/A</v>
      </c>
      <c r="DR50" s="59" t="e">
        <f t="shared" si="55"/>
        <v>#N/A</v>
      </c>
      <c r="DS50" s="59">
        <f t="shared" si="56"/>
        <v>7.2988303527497175E-2</v>
      </c>
      <c r="DT50" s="59" t="e">
        <f t="shared" si="57"/>
        <v>#N/A</v>
      </c>
      <c r="DU50" s="59" t="b">
        <f t="shared" si="58"/>
        <v>0</v>
      </c>
      <c r="DV50" s="59" t="b">
        <f t="shared" si="59"/>
        <v>1</v>
      </c>
      <c r="DW50" s="59" t="b">
        <f t="shared" si="60"/>
        <v>0</v>
      </c>
      <c r="DX50" s="59" t="b">
        <f t="shared" si="61"/>
        <v>1</v>
      </c>
      <c r="DY50" s="59">
        <f t="shared" si="62"/>
        <v>7.2988303527497175E-2</v>
      </c>
      <c r="DZ50" s="59" t="e">
        <f t="shared" si="63"/>
        <v>#N/A</v>
      </c>
      <c r="EA50" s="59">
        <f t="shared" si="64"/>
        <v>7.2988303527497175E-2</v>
      </c>
      <c r="EB50" s="60" t="str">
        <f t="shared" si="65"/>
        <v/>
      </c>
      <c r="EG50" s="59">
        <f t="shared" si="66"/>
        <v>40</v>
      </c>
      <c r="EH50" s="32">
        <f t="shared" si="67"/>
        <v>41</v>
      </c>
      <c r="EI50" s="59">
        <f t="shared" si="68"/>
        <v>-2.1320207383638401</v>
      </c>
      <c r="EJ50" s="59">
        <f t="shared" si="69"/>
        <v>4.1102154102044132E-2</v>
      </c>
      <c r="EK50" s="59" t="e">
        <f t="shared" si="70"/>
        <v>#N/A</v>
      </c>
      <c r="EL50" s="59" t="e">
        <f t="shared" si="71"/>
        <v>#N/A</v>
      </c>
      <c r="EM50" s="59" t="e">
        <f t="shared" si="72"/>
        <v>#N/A</v>
      </c>
      <c r="EN50" s="59" t="b">
        <f t="shared" si="73"/>
        <v>1</v>
      </c>
      <c r="EO50" s="59" t="b">
        <f t="shared" si="74"/>
        <v>0</v>
      </c>
      <c r="EP50" s="59" t="b">
        <f t="shared" si="75"/>
        <v>1</v>
      </c>
      <c r="EQ50" s="59" t="b">
        <f t="shared" si="76"/>
        <v>0</v>
      </c>
      <c r="ER50" s="59">
        <f t="shared" si="77"/>
        <v>4.1102154102044132E-2</v>
      </c>
      <c r="ES50" s="59">
        <f t="shared" si="78"/>
        <v>4.1102154102044132E-2</v>
      </c>
      <c r="ET50" s="59" t="e">
        <f t="shared" si="79"/>
        <v>#N/A</v>
      </c>
      <c r="EU50" s="60" t="str">
        <f t="shared" si="80"/>
        <v/>
      </c>
      <c r="EV5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0" s="32" t="e" cm="1">
        <f t="array" ref="EY50">IF($CR$3,INDEX(Eu_tabel_a[[#This Row],[Styrke venstre]:[Styrke tosidet]],EY$7),NA())</f>
        <v>#N/A</v>
      </c>
      <c r="EZ50" s="32" t="e">
        <f>IF(EY$3,IF(CHOOSE(EY$7,Eu_tabel_a[[#This Row],[x base]]&gt;0,Eu_tabel_a[[#This Row],[x base]]&lt;0,Eu_tabel_a[[#This Row],[x base]]=0),1,NA()),NA())</f>
        <v>#N/A</v>
      </c>
      <c r="FA50" s="32" t="e">
        <f>IF(CHOOSE(EY$7,Eu_tabel_a[[#This Row],[x base]]&gt;0,Eu_tabel_a[[#This Row],[x base]]&lt;0,Eu_tabel_a[[#This Row],[x base]]=0),Eu_tabel_a[[#This Row],[Styrke, aktiv]],NA())</f>
        <v>#N/A</v>
      </c>
      <c r="FB50" s="32" t="e">
        <f>IFERROR(IF($EY$3,Eu_tabel_a[[#This Row],[Styrke, aktiv]],NA()),NA())</f>
        <v>#N/A</v>
      </c>
      <c r="FC50" s="32" t="e">
        <f>IF(ISNA(Eu_tabel_a[[#This Row],[Sand negativ
Nulhypotese afvises
Korrekt]]),NA(),IF(EY$3,1,NA()))</f>
        <v>#N/A</v>
      </c>
      <c r="FD50" s="33" t="str" cm="1">
        <f t="array" ref="FD50">IFERROR(_xlfn.SWITCH(Eu_tabel_a[[#This Row],[Indeks]],_xlfn.IFNA(FB$2,-99),FB$5,_xlfn.IFNA(FB$3,-99),FB$6,_xlfn.IFNA(FB$4,-99),FB$7,""),"")</f>
        <v/>
      </c>
      <c r="FE50" s="32">
        <f>Eu_tabel_a[[#This Row],[x base]]*SQRT(Eu_a_h0_x*(1-Eu_a_h0_x)/Eu_a_n_x)+Eu_a_h0_x</f>
        <v>0</v>
      </c>
      <c r="FJ50" s="74" t="e">
        <f t="shared" si="18"/>
        <v>#N/A</v>
      </c>
      <c r="FK50" s="82" t="e">
        <f t="shared" si="113"/>
        <v>#DIV/0!</v>
      </c>
      <c r="FL50" s="7" t="e">
        <f t="shared" si="12"/>
        <v>#DIV/0!</v>
      </c>
      <c r="FM50" t="e">
        <f t="shared" si="114"/>
        <v>#DIV/0!</v>
      </c>
      <c r="FN50" s="8" t="e">
        <f t="shared" si="115"/>
        <v>#DIV/0!</v>
      </c>
      <c r="FO50" s="8" t="e">
        <f t="shared" si="116"/>
        <v>#DIV/0!</v>
      </c>
      <c r="FP50" s="81" t="e">
        <f t="shared" si="117"/>
        <v>#DIV/0!</v>
      </c>
      <c r="FQ50" s="74" t="e">
        <f t="shared" ca="1" si="13"/>
        <v>#N/A</v>
      </c>
      <c r="FR50" s="82" t="e" vm="3">
        <f t="shared" ca="1" si="19"/>
        <v>#VALUE!</v>
      </c>
      <c r="FS50" s="7" t="e" vm="3">
        <f t="shared" ca="1" si="14"/>
        <v>#VALUE!</v>
      </c>
      <c r="FT50" t="e" vm="3">
        <f t="shared" ca="1" si="8"/>
        <v>#VALUE!</v>
      </c>
      <c r="FU50" s="8" t="e" vm="3">
        <f t="shared" ca="1" si="9"/>
        <v>#VALUE!</v>
      </c>
      <c r="FV50" s="8" t="e" vm="3">
        <f t="shared" ca="1" si="10"/>
        <v>#VALUE!</v>
      </c>
      <c r="FW50" s="81" t="e" vm="3">
        <f t="shared" ca="1" si="11"/>
        <v>#VALUE!</v>
      </c>
      <c r="FX50" s="74" t="e">
        <f t="shared" si="15"/>
        <v>#N/A</v>
      </c>
      <c r="FY50" s="82" t="e">
        <f t="shared" si="20"/>
        <v>#N/A</v>
      </c>
      <c r="FZ50" s="7" t="e">
        <f t="shared" si="16"/>
        <v>#N/A</v>
      </c>
      <c r="GA50" t="e">
        <f t="shared" si="21"/>
        <v>#N/A</v>
      </c>
      <c r="GB50" s="8" t="e">
        <f t="shared" si="22"/>
        <v>#N/A</v>
      </c>
      <c r="GC50" s="8" t="e">
        <f t="shared" si="23"/>
        <v>#N/A</v>
      </c>
      <c r="GD50" s="81" t="e">
        <f t="shared" si="24"/>
        <v>#N/A</v>
      </c>
      <c r="GE50" s="74" t="e">
        <f t="shared" si="25"/>
        <v>#N/A</v>
      </c>
      <c r="GF50" s="82" t="e">
        <f t="shared" si="26"/>
        <v>#N/A</v>
      </c>
      <c r="GG50" s="7" t="e">
        <f t="shared" si="17"/>
        <v>#N/A</v>
      </c>
      <c r="GH50" t="e">
        <f t="shared" si="27"/>
        <v>#N/A</v>
      </c>
      <c r="GI50" s="8" t="e">
        <f t="shared" si="28"/>
        <v>#N/A</v>
      </c>
      <c r="GJ50" s="8" t="e">
        <f t="shared" si="29"/>
        <v>#N/A</v>
      </c>
      <c r="GK50" s="81" t="e">
        <f t="shared" si="30"/>
        <v>#N/A</v>
      </c>
      <c r="GL50" s="81"/>
      <c r="GM50" s="81"/>
      <c r="GP50" s="59">
        <f t="shared" si="81"/>
        <v>40</v>
      </c>
      <c r="GQ50" s="32">
        <f t="shared" si="82"/>
        <v>41</v>
      </c>
      <c r="GR50" s="59">
        <f t="shared" si="83"/>
        <v>-2.1320207383638401</v>
      </c>
      <c r="GS50" s="59">
        <f t="shared" si="84"/>
        <v>4.1102154102044132E-2</v>
      </c>
      <c r="GT50" s="59" t="e">
        <f t="shared" si="85"/>
        <v>#N/A</v>
      </c>
      <c r="GU50" s="59" t="e">
        <f t="shared" si="86"/>
        <v>#N/A</v>
      </c>
      <c r="GV50" s="59" t="e">
        <f t="shared" si="87"/>
        <v>#N/A</v>
      </c>
      <c r="GW50" s="59" t="b">
        <f t="shared" si="88"/>
        <v>1</v>
      </c>
      <c r="GX50" s="59" t="b">
        <f t="shared" si="89"/>
        <v>0</v>
      </c>
      <c r="GY50" s="59" t="b">
        <f t="shared" si="90"/>
        <v>1</v>
      </c>
      <c r="GZ50" s="59" t="b">
        <f t="shared" si="91"/>
        <v>0</v>
      </c>
      <c r="HA50" s="59">
        <f t="shared" si="92"/>
        <v>4.1102154102044132E-2</v>
      </c>
      <c r="HB50" s="59">
        <f t="shared" si="93"/>
        <v>4.1102154102044132E-2</v>
      </c>
      <c r="HC50" s="59" t="e">
        <f t="shared" si="94"/>
        <v>#N/A</v>
      </c>
      <c r="HD50" s="60" t="str">
        <f t="shared" si="95"/>
        <v/>
      </c>
      <c r="HJ50" s="59">
        <f t="shared" si="96"/>
        <v>40</v>
      </c>
      <c r="HK50" s="32">
        <f t="shared" si="97"/>
        <v>41</v>
      </c>
      <c r="HL50" s="59">
        <f t="shared" si="98"/>
        <v>-3.3014788910760591</v>
      </c>
      <c r="HM50" s="59" t="e">
        <f t="shared" si="99"/>
        <v>#N/A</v>
      </c>
      <c r="HN50" s="59">
        <f t="shared" si="100"/>
        <v>9.0043866481057163E-3</v>
      </c>
      <c r="HO50" s="59" t="e">
        <f t="shared" si="101"/>
        <v>#N/A</v>
      </c>
      <c r="HP50" s="59" t="e">
        <f t="shared" si="102"/>
        <v>#N/A</v>
      </c>
      <c r="HQ50" s="59" t="b">
        <f t="shared" si="103"/>
        <v>1</v>
      </c>
      <c r="HR50" s="59" t="b">
        <f t="shared" si="104"/>
        <v>0</v>
      </c>
      <c r="HS50" s="59" t="b">
        <f t="shared" si="105"/>
        <v>1</v>
      </c>
      <c r="HT50" s="59" t="b">
        <f t="shared" si="106"/>
        <v>0</v>
      </c>
      <c r="HU50" s="59">
        <f t="shared" si="107"/>
        <v>9.0043866481057163E-3</v>
      </c>
      <c r="HV50" s="59">
        <f t="shared" si="108"/>
        <v>9.0043866481057163E-3</v>
      </c>
      <c r="HW50" s="59" t="e">
        <f t="shared" si="109"/>
        <v>#N/A</v>
      </c>
      <c r="HX50" s="60" t="str">
        <f t="shared" si="110"/>
        <v/>
      </c>
    </row>
    <row r="51" spans="58:232" x14ac:dyDescent="0.2">
      <c r="BF51">
        <v>1.3803796539630533</v>
      </c>
      <c r="BG51">
        <v>6.3251059591845431</v>
      </c>
      <c r="BH51" t="b">
        <v>1</v>
      </c>
      <c r="BI51">
        <v>1.3803796539630533</v>
      </c>
      <c r="BJ51">
        <v>6.3251059591845431</v>
      </c>
      <c r="BL51" s="53" t="s">
        <v>250</v>
      </c>
      <c r="BM51" s="86" t="e" cm="1">
        <f t="array" ref="BM51">IF(NOT($BI$2),INDEX(E_i_valg[Parameter 1],E_i_aktiv),NA())</f>
        <v>#N/A</v>
      </c>
      <c r="BZ51" s="59">
        <f t="shared" si="36"/>
        <v>41</v>
      </c>
      <c r="CA51" s="32">
        <f>Eu_tabel_g[[#This Row],[Indeks]]+1</f>
        <v>42</v>
      </c>
      <c r="CB51" s="59">
        <f t="shared" si="37"/>
        <v>-2.1080654491687407</v>
      </c>
      <c r="CC51" s="59">
        <f t="shared" si="38"/>
        <v>4.3243493241990262E-2</v>
      </c>
      <c r="CD51" s="59" t="e">
        <f t="shared" si="39"/>
        <v>#N/A</v>
      </c>
      <c r="CE51" s="59" t="e">
        <f t="shared" si="40"/>
        <v>#N/A</v>
      </c>
      <c r="CF51" s="59" t="e">
        <f t="shared" si="41"/>
        <v>#N/A</v>
      </c>
      <c r="CG51" s="59" t="b">
        <f t="shared" si="42"/>
        <v>1</v>
      </c>
      <c r="CH51" s="59" t="b">
        <f t="shared" si="43"/>
        <v>0</v>
      </c>
      <c r="CI51" s="59" t="b">
        <f t="shared" si="44"/>
        <v>1</v>
      </c>
      <c r="CJ51" s="59" t="b">
        <f t="shared" si="45"/>
        <v>0</v>
      </c>
      <c r="CK51" s="59">
        <f t="shared" si="118"/>
        <v>4.3243493241990262E-2</v>
      </c>
      <c r="CL51" s="59">
        <f t="shared" si="47"/>
        <v>4.3243493241990262E-2</v>
      </c>
      <c r="CM51" s="59" t="e">
        <f t="shared" si="48"/>
        <v>#N/A</v>
      </c>
      <c r="CN51" s="60" t="str">
        <f t="shared" si="49"/>
        <v/>
      </c>
      <c r="CO51" s="32">
        <f>_xlfn.NORM.DIST(_xlfn.NORM.INV(1-Eu_g_konfidensniveau,0,1)-Eu_tabel_g[[#This Row],[x base]],0,1,TRUE)</f>
        <v>0.67839372848406132</v>
      </c>
      <c r="CP51" s="32">
        <f>1-_xlfn.NORM.DIST(_xlfn.NORM.INV(Eu_g_konfidensniveau,0,1)-Eu_tabel_g[[#This Row],[x base]],0,1,TRUE)</f>
        <v>8.7393645895605943E-5</v>
      </c>
      <c r="CQ51" s="32">
        <f>_xlfn.NORM.DIST(_xlfn.NORM.INV((1-Eu_g_konfidensniveau)/2,0,1)-Eu_tabel_g[[#This Row],[x base]],0,1,TRUE)+1-_xlfn.NORM.DIST(_xlfn.NORM.INV(1-(1-Eu_g_konfidensniveau)/2,0,1)-Eu_tabel_g[[#This Row],[x base]],0,1,TRUE)</f>
        <v>0.55889235940323401</v>
      </c>
      <c r="CR51" s="32" t="e" cm="1">
        <f t="array" ref="CR51">IF($CR$3,INDEX(Eu_tabel_g[[#This Row],[Styrke venstre]:[Styrke tosidet]],CR$7),NA())</f>
        <v>#N/A</v>
      </c>
      <c r="CS51" s="52" t="e">
        <f>Eu_tabel_g[[#This Row],[Falsk positiv
Nulhypotese accepteres
Fejltype 1]]</f>
        <v>#N/A</v>
      </c>
      <c r="CT51" s="52" t="e">
        <f>IF(CHOOSE(CR$7,Eu_tabel_g[[#This Row],[x base]]&gt;0,Eu_tabel_g[[#This Row],[x base]]&lt;0,Eu_tabel_g[[#This Row],[x base]]=0),Eu_tabel_g[[#This Row],[Styrke, aktiv]],NA())</f>
        <v>#N/A</v>
      </c>
      <c r="CU51" s="52" t="e">
        <f>IFERROR(IF($CR$3,Eu_tabel_g[[#This Row],[Styrke, aktiv]],NA()),NA())</f>
        <v>#N/A</v>
      </c>
      <c r="CV51" s="52" t="e">
        <f>IF(ISNA(Eu_tabel_g[[#This Row],[Sand negativ
Nulhypotese afvises
Korrekt]]),NA(),IF($CR$3,1,NA()))</f>
        <v>#N/A</v>
      </c>
      <c r="CW51" s="34" t="str" cm="1">
        <f t="array" ref="CW51">_xlfn.SWITCH(BZ51,_xlfn.IFNA(CU$2,-99),CU$5,_xlfn.IFNA(CU$3,-99),CU$6,_xlfn.IFNA(CU$4,-99),CU$7,"")</f>
        <v/>
      </c>
      <c r="DA51" s="7">
        <f t="shared" si="50"/>
        <v>0.8</v>
      </c>
      <c r="DB51">
        <f>IF(ROW(Styrkeberegning_G[[#This Row],[X base venstre]])=ROW(Styrkeberegning_G[[#Headers],[X base venstre]])+1,DB$7/(DA$7/$B$67),DB50/(DA50/$B$67))</f>
        <v>-2.8015817870135784</v>
      </c>
      <c r="DC51">
        <f>Styrkeberegning_G[[#This Row],[X base venstre]]*-1</f>
        <v>2.8015817870135784</v>
      </c>
      <c r="DN51" s="59">
        <f t="shared" si="51"/>
        <v>41</v>
      </c>
      <c r="DO51" s="32">
        <f t="shared" si="52"/>
        <v>42</v>
      </c>
      <c r="DP51" s="59">
        <f t="shared" si="53"/>
        <v>6.5107577777507313</v>
      </c>
      <c r="DQ51" s="59" t="e">
        <f t="shared" si="54"/>
        <v>#N/A</v>
      </c>
      <c r="DR51" s="59" t="e">
        <f t="shared" si="55"/>
        <v>#N/A</v>
      </c>
      <c r="DS51" s="59">
        <f t="shared" si="56"/>
        <v>7.4649532501100041E-2</v>
      </c>
      <c r="DT51" s="59" t="e">
        <f t="shared" si="57"/>
        <v>#N/A</v>
      </c>
      <c r="DU51" s="59" t="b">
        <f t="shared" si="58"/>
        <v>0</v>
      </c>
      <c r="DV51" s="59" t="b">
        <f t="shared" si="59"/>
        <v>1</v>
      </c>
      <c r="DW51" s="59" t="b">
        <f t="shared" si="60"/>
        <v>0</v>
      </c>
      <c r="DX51" s="59" t="b">
        <f t="shared" si="61"/>
        <v>1</v>
      </c>
      <c r="DY51" s="59">
        <f t="shared" si="62"/>
        <v>7.4649532501100041E-2</v>
      </c>
      <c r="DZ51" s="59" t="e">
        <f t="shared" si="63"/>
        <v>#N/A</v>
      </c>
      <c r="EA51" s="59">
        <f t="shared" si="64"/>
        <v>7.4649532501100041E-2</v>
      </c>
      <c r="EB51" s="60" t="str">
        <f t="shared" si="65"/>
        <v/>
      </c>
      <c r="EG51" s="59">
        <f t="shared" si="66"/>
        <v>41</v>
      </c>
      <c r="EH51" s="32">
        <f t="shared" si="67"/>
        <v>42</v>
      </c>
      <c r="EI51" s="59">
        <f t="shared" si="68"/>
        <v>-2.1080654491687407</v>
      </c>
      <c r="EJ51" s="59">
        <f t="shared" si="69"/>
        <v>4.3243493241990262E-2</v>
      </c>
      <c r="EK51" s="59" t="e">
        <f t="shared" si="70"/>
        <v>#N/A</v>
      </c>
      <c r="EL51" s="59" t="e">
        <f t="shared" si="71"/>
        <v>#N/A</v>
      </c>
      <c r="EM51" s="59" t="e">
        <f t="shared" si="72"/>
        <v>#N/A</v>
      </c>
      <c r="EN51" s="59" t="b">
        <f t="shared" si="73"/>
        <v>1</v>
      </c>
      <c r="EO51" s="59" t="b">
        <f t="shared" si="74"/>
        <v>0</v>
      </c>
      <c r="EP51" s="59" t="b">
        <f t="shared" si="75"/>
        <v>1</v>
      </c>
      <c r="EQ51" s="59" t="b">
        <f t="shared" si="76"/>
        <v>0</v>
      </c>
      <c r="ER51" s="59">
        <f t="shared" si="77"/>
        <v>4.3243493241990262E-2</v>
      </c>
      <c r="ES51" s="59">
        <f t="shared" si="78"/>
        <v>4.3243493241990262E-2</v>
      </c>
      <c r="ET51" s="59" t="e">
        <f t="shared" si="79"/>
        <v>#N/A</v>
      </c>
      <c r="EU51" s="60" t="str">
        <f t="shared" si="80"/>
        <v/>
      </c>
      <c r="EV5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1" s="32" t="e" cm="1">
        <f t="array" ref="EY51">IF($CR$3,INDEX(Eu_tabel_a[[#This Row],[Styrke venstre]:[Styrke tosidet]],EY$7),NA())</f>
        <v>#N/A</v>
      </c>
      <c r="EZ51" s="32" t="e">
        <f>IF(EY$3,IF(CHOOSE(EY$7,Eu_tabel_a[[#This Row],[x base]]&gt;0,Eu_tabel_a[[#This Row],[x base]]&lt;0,Eu_tabel_a[[#This Row],[x base]]=0),1,NA()),NA())</f>
        <v>#N/A</v>
      </c>
      <c r="FA51" s="32" t="e">
        <f>IF(CHOOSE(EY$7,Eu_tabel_a[[#This Row],[x base]]&gt;0,Eu_tabel_a[[#This Row],[x base]]&lt;0,Eu_tabel_a[[#This Row],[x base]]=0),Eu_tabel_a[[#This Row],[Styrke, aktiv]],NA())</f>
        <v>#N/A</v>
      </c>
      <c r="FB51" s="32" t="e">
        <f>IFERROR(IF($EY$3,Eu_tabel_a[[#This Row],[Styrke, aktiv]],NA()),NA())</f>
        <v>#N/A</v>
      </c>
      <c r="FC51" s="32" t="e">
        <f>IF(ISNA(Eu_tabel_a[[#This Row],[Sand negativ
Nulhypotese afvises
Korrekt]]),NA(),IF(EY$3,1,NA()))</f>
        <v>#N/A</v>
      </c>
      <c r="FD51" s="33" t="str" cm="1">
        <f t="array" ref="FD51">IFERROR(_xlfn.SWITCH(Eu_tabel_a[[#This Row],[Indeks]],_xlfn.IFNA(FB$2,-99),FB$5,_xlfn.IFNA(FB$3,-99),FB$6,_xlfn.IFNA(FB$4,-99),FB$7,""),"")</f>
        <v/>
      </c>
      <c r="FE51" s="32">
        <f>Eu_tabel_a[[#This Row],[x base]]*SQRT(Eu_a_h0_x*(1-Eu_a_h0_x)/Eu_a_n_x)+Eu_a_h0_x</f>
        <v>0</v>
      </c>
      <c r="FJ51" s="74" t="e">
        <f t="shared" si="18"/>
        <v>#N/A</v>
      </c>
      <c r="FK51" s="82" t="e">
        <f t="shared" si="113"/>
        <v>#DIV/0!</v>
      </c>
      <c r="FL51" s="7" t="e">
        <f t="shared" si="12"/>
        <v>#DIV/0!</v>
      </c>
      <c r="FM51" t="e">
        <f t="shared" si="114"/>
        <v>#DIV/0!</v>
      </c>
      <c r="FN51" s="8" t="e">
        <f t="shared" si="115"/>
        <v>#DIV/0!</v>
      </c>
      <c r="FO51" s="8" t="e">
        <f t="shared" si="116"/>
        <v>#DIV/0!</v>
      </c>
      <c r="FP51" s="81" t="e">
        <f t="shared" si="117"/>
        <v>#DIV/0!</v>
      </c>
      <c r="FQ51" s="74" t="e">
        <f t="shared" ca="1" si="13"/>
        <v>#N/A</v>
      </c>
      <c r="FR51" s="82" t="e" vm="3">
        <f t="shared" ca="1" si="19"/>
        <v>#VALUE!</v>
      </c>
      <c r="FS51" s="7" t="e" vm="3">
        <f t="shared" ca="1" si="14"/>
        <v>#VALUE!</v>
      </c>
      <c r="FT51" t="e" vm="3">
        <f t="shared" ca="1" si="8"/>
        <v>#VALUE!</v>
      </c>
      <c r="FU51" s="8" t="e" vm="3">
        <f t="shared" ca="1" si="9"/>
        <v>#VALUE!</v>
      </c>
      <c r="FV51" s="8" t="e" vm="3">
        <f t="shared" ca="1" si="10"/>
        <v>#VALUE!</v>
      </c>
      <c r="FW51" s="81" t="e" vm="3">
        <f t="shared" ca="1" si="11"/>
        <v>#VALUE!</v>
      </c>
      <c r="FX51" s="74" t="e">
        <f t="shared" si="15"/>
        <v>#N/A</v>
      </c>
      <c r="FY51" s="82" t="e">
        <f t="shared" si="20"/>
        <v>#N/A</v>
      </c>
      <c r="FZ51" s="7" t="e">
        <f t="shared" si="16"/>
        <v>#N/A</v>
      </c>
      <c r="GA51" t="e">
        <f t="shared" si="21"/>
        <v>#N/A</v>
      </c>
      <c r="GB51" s="8" t="e">
        <f t="shared" si="22"/>
        <v>#N/A</v>
      </c>
      <c r="GC51" s="8" t="e">
        <f t="shared" si="23"/>
        <v>#N/A</v>
      </c>
      <c r="GD51" s="81" t="e">
        <f t="shared" si="24"/>
        <v>#N/A</v>
      </c>
      <c r="GE51" s="74" t="e">
        <f t="shared" si="25"/>
        <v>#N/A</v>
      </c>
      <c r="GF51" s="82" t="e">
        <f t="shared" si="26"/>
        <v>#N/A</v>
      </c>
      <c r="GG51" s="7" t="e">
        <f t="shared" si="17"/>
        <v>#N/A</v>
      </c>
      <c r="GH51" t="e">
        <f t="shared" si="27"/>
        <v>#N/A</v>
      </c>
      <c r="GI51" s="8" t="e">
        <f t="shared" si="28"/>
        <v>#N/A</v>
      </c>
      <c r="GJ51" s="8" t="e">
        <f t="shared" si="29"/>
        <v>#N/A</v>
      </c>
      <c r="GK51" s="81" t="e">
        <f t="shared" si="30"/>
        <v>#N/A</v>
      </c>
      <c r="GL51" s="81"/>
      <c r="GM51" s="81"/>
      <c r="GP51" s="59">
        <f t="shared" si="81"/>
        <v>41</v>
      </c>
      <c r="GQ51" s="32">
        <f t="shared" si="82"/>
        <v>42</v>
      </c>
      <c r="GR51" s="59">
        <f t="shared" si="83"/>
        <v>-2.1080654491687407</v>
      </c>
      <c r="GS51" s="59">
        <f t="shared" si="84"/>
        <v>4.3243493241990262E-2</v>
      </c>
      <c r="GT51" s="59" t="e">
        <f t="shared" si="85"/>
        <v>#N/A</v>
      </c>
      <c r="GU51" s="59" t="e">
        <f t="shared" si="86"/>
        <v>#N/A</v>
      </c>
      <c r="GV51" s="59" t="e">
        <f t="shared" si="87"/>
        <v>#N/A</v>
      </c>
      <c r="GW51" s="59" t="b">
        <f t="shared" si="88"/>
        <v>1</v>
      </c>
      <c r="GX51" s="59" t="b">
        <f t="shared" si="89"/>
        <v>0</v>
      </c>
      <c r="GY51" s="59" t="b">
        <f t="shared" si="90"/>
        <v>1</v>
      </c>
      <c r="GZ51" s="59" t="b">
        <f t="shared" si="91"/>
        <v>0</v>
      </c>
      <c r="HA51" s="59">
        <f t="shared" si="92"/>
        <v>4.3243493241990262E-2</v>
      </c>
      <c r="HB51" s="59">
        <f t="shared" si="93"/>
        <v>4.3243493241990262E-2</v>
      </c>
      <c r="HC51" s="59" t="e">
        <f t="shared" si="94"/>
        <v>#N/A</v>
      </c>
      <c r="HD51" s="60" t="str">
        <f t="shared" si="95"/>
        <v/>
      </c>
      <c r="HJ51" s="59">
        <f t="shared" si="96"/>
        <v>41</v>
      </c>
      <c r="HK51" s="32">
        <f t="shared" si="97"/>
        <v>42</v>
      </c>
      <c r="HL51" s="59">
        <f t="shared" si="98"/>
        <v>-3.2643836226370024</v>
      </c>
      <c r="HM51" s="59" t="e">
        <f t="shared" si="99"/>
        <v>#N/A</v>
      </c>
      <c r="HN51" s="59">
        <f t="shared" si="100"/>
        <v>9.511614587176604E-3</v>
      </c>
      <c r="HO51" s="59" t="e">
        <f t="shared" si="101"/>
        <v>#N/A</v>
      </c>
      <c r="HP51" s="59" t="e">
        <f t="shared" si="102"/>
        <v>#N/A</v>
      </c>
      <c r="HQ51" s="59" t="b">
        <f t="shared" si="103"/>
        <v>1</v>
      </c>
      <c r="HR51" s="59" t="b">
        <f t="shared" si="104"/>
        <v>0</v>
      </c>
      <c r="HS51" s="59" t="b">
        <f t="shared" si="105"/>
        <v>1</v>
      </c>
      <c r="HT51" s="59" t="b">
        <f t="shared" si="106"/>
        <v>0</v>
      </c>
      <c r="HU51" s="59">
        <f t="shared" si="107"/>
        <v>9.511614587176604E-3</v>
      </c>
      <c r="HV51" s="59">
        <f t="shared" si="108"/>
        <v>9.511614587176604E-3</v>
      </c>
      <c r="HW51" s="59" t="e">
        <f t="shared" si="109"/>
        <v>#N/A</v>
      </c>
      <c r="HX51" s="60" t="str">
        <f t="shared" si="110"/>
        <v/>
      </c>
    </row>
    <row r="52" spans="58:232" x14ac:dyDescent="0.2">
      <c r="BF52">
        <v>8.4427372017371785E-2</v>
      </c>
      <c r="BG52">
        <v>5.4220501567463426</v>
      </c>
      <c r="BH52" t="b">
        <v>1</v>
      </c>
      <c r="BI52">
        <v>8.4427372017371785E-2</v>
      </c>
      <c r="BJ52">
        <v>5.4220501567463426</v>
      </c>
      <c r="BL52" s="53" t="s">
        <v>251</v>
      </c>
      <c r="BM52" s="86" t="e" cm="1">
        <f t="array" ref="BM52">IF(NOT($BI$2),IF(NOT(ISBLANK(INDEX(E_i_valg[Parameter 2],E_i_aktiv))),INDEX(E_i_valg[Parameter 2],E_i_aktiv),NA()),NA())</f>
        <v>#N/A</v>
      </c>
      <c r="BZ52" s="59">
        <f t="shared" si="36"/>
        <v>42</v>
      </c>
      <c r="CA52" s="32">
        <f>Eu_tabel_g[[#This Row],[Indeks]]+1</f>
        <v>43</v>
      </c>
      <c r="CB52" s="59">
        <f t="shared" si="37"/>
        <v>-2.0841101599736414</v>
      </c>
      <c r="CC52" s="59">
        <f t="shared" si="38"/>
        <v>4.5470290940174081E-2</v>
      </c>
      <c r="CD52" s="59" t="e">
        <f t="shared" si="39"/>
        <v>#N/A</v>
      </c>
      <c r="CE52" s="59" t="e">
        <f t="shared" si="40"/>
        <v>#N/A</v>
      </c>
      <c r="CF52" s="59" t="e">
        <f t="shared" si="41"/>
        <v>#N/A</v>
      </c>
      <c r="CG52" s="59" t="b">
        <f t="shared" si="42"/>
        <v>1</v>
      </c>
      <c r="CH52" s="59" t="b">
        <f t="shared" si="43"/>
        <v>0</v>
      </c>
      <c r="CI52" s="59" t="b">
        <f t="shared" si="44"/>
        <v>1</v>
      </c>
      <c r="CJ52" s="59" t="b">
        <f t="shared" si="45"/>
        <v>0</v>
      </c>
      <c r="CK52" s="59">
        <f t="shared" si="118"/>
        <v>4.5470290940174081E-2</v>
      </c>
      <c r="CL52" s="59">
        <f t="shared" si="47"/>
        <v>4.5470290940174081E-2</v>
      </c>
      <c r="CM52" s="59" t="e">
        <f t="shared" si="48"/>
        <v>#N/A</v>
      </c>
      <c r="CN52" s="60" t="str">
        <f t="shared" si="49"/>
        <v/>
      </c>
      <c r="CO52" s="32">
        <f>_xlfn.NORM.DIST(_xlfn.NORM.INV(1-Eu_g_konfidensniveau,0,1)-Eu_tabel_g[[#This Row],[x base]],0,1,TRUE)</f>
        <v>0.66976216699595215</v>
      </c>
      <c r="CP52" s="32">
        <f>1-_xlfn.NORM.DIST(_xlfn.NORM.INV(Eu_g_konfidensniveau,0,1)-Eu_tabel_g[[#This Row],[x base]],0,1,TRUE)</f>
        <v>9.6134388684721017E-5</v>
      </c>
      <c r="CQ52" s="32">
        <f>_xlfn.NORM.DIST(_xlfn.NORM.INV((1-Eu_g_konfidensniveau)/2,0,1)-Eu_tabel_g[[#This Row],[x base]],0,1,TRUE)+1-_xlfn.NORM.DIST(_xlfn.NORM.INV(1-(1-Eu_g_konfidensniveau)/2,0,1)-Eu_tabel_g[[#This Row],[x base]],0,1,TRUE)</f>
        <v>0.54942649604071081</v>
      </c>
      <c r="CR52" s="32" t="e" cm="1">
        <f t="array" ref="CR52">IF($CR$3,INDEX(Eu_tabel_g[[#This Row],[Styrke venstre]:[Styrke tosidet]],CR$7),NA())</f>
        <v>#N/A</v>
      </c>
      <c r="CS52" s="52" t="e">
        <f>Eu_tabel_g[[#This Row],[Falsk positiv
Nulhypotese accepteres
Fejltype 1]]</f>
        <v>#N/A</v>
      </c>
      <c r="CT52" s="52" t="e">
        <f>IF(CHOOSE(CR$7,Eu_tabel_g[[#This Row],[x base]]&gt;0,Eu_tabel_g[[#This Row],[x base]]&lt;0,Eu_tabel_g[[#This Row],[x base]]=0),Eu_tabel_g[[#This Row],[Styrke, aktiv]],NA())</f>
        <v>#N/A</v>
      </c>
      <c r="CU52" s="52" t="e">
        <f>IFERROR(IF($CR$3,Eu_tabel_g[[#This Row],[Styrke, aktiv]],NA()),NA())</f>
        <v>#N/A</v>
      </c>
      <c r="CV52" s="52" t="e">
        <f>IF(ISNA(Eu_tabel_g[[#This Row],[Sand negativ
Nulhypotese afvises
Korrekt]]),NA(),IF($CR$3,1,NA()))</f>
        <v>#N/A</v>
      </c>
      <c r="CW52" s="34" t="str" cm="1">
        <f t="array" ref="CW52">_xlfn.SWITCH(BZ52,_xlfn.IFNA(CU$2,-99),CU$5,_xlfn.IFNA(CU$3,-99),CU$6,_xlfn.IFNA(CU$4,-99),CU$7,"")</f>
        <v/>
      </c>
      <c r="DA52" s="7">
        <f t="shared" si="50"/>
        <v>0.8</v>
      </c>
      <c r="DB52">
        <f>IF(ROW(Styrkeberegning_G[[#This Row],[X base venstre]])=ROW(Styrkeberegning_G[[#Headers],[X base venstre]])+1,DB$7/(DA$7/$B$67),DB51/(DA51/$B$67))</f>
        <v>-2.8015817870135784</v>
      </c>
      <c r="DC52">
        <f>Styrkeberegning_G[[#This Row],[X base venstre]]*-1</f>
        <v>2.8015817870135784</v>
      </c>
      <c r="DN52" s="59">
        <f t="shared" si="51"/>
        <v>42</v>
      </c>
      <c r="DO52" s="32">
        <f t="shared" si="52"/>
        <v>43</v>
      </c>
      <c r="DP52" s="59">
        <f t="shared" si="53"/>
        <v>6.6248286341677325</v>
      </c>
      <c r="DQ52" s="59" t="e">
        <f t="shared" si="54"/>
        <v>#N/A</v>
      </c>
      <c r="DR52" s="59" t="e">
        <f t="shared" si="55"/>
        <v>#N/A</v>
      </c>
      <c r="DS52" s="59">
        <f t="shared" si="56"/>
        <v>7.6243165119018616E-2</v>
      </c>
      <c r="DT52" s="59" t="e">
        <f t="shared" si="57"/>
        <v>#N/A</v>
      </c>
      <c r="DU52" s="59" t="b">
        <f t="shared" si="58"/>
        <v>0</v>
      </c>
      <c r="DV52" s="59" t="b">
        <f t="shared" si="59"/>
        <v>1</v>
      </c>
      <c r="DW52" s="59" t="b">
        <f t="shared" si="60"/>
        <v>0</v>
      </c>
      <c r="DX52" s="59" t="b">
        <f t="shared" si="61"/>
        <v>1</v>
      </c>
      <c r="DY52" s="59">
        <f t="shared" si="62"/>
        <v>7.6243165119018616E-2</v>
      </c>
      <c r="DZ52" s="59" t="e">
        <f t="shared" si="63"/>
        <v>#N/A</v>
      </c>
      <c r="EA52" s="59">
        <f t="shared" si="64"/>
        <v>7.6243165119018616E-2</v>
      </c>
      <c r="EB52" s="60" t="str">
        <f t="shared" si="65"/>
        <v/>
      </c>
      <c r="EG52" s="59">
        <f t="shared" si="66"/>
        <v>42</v>
      </c>
      <c r="EH52" s="32">
        <f t="shared" si="67"/>
        <v>43</v>
      </c>
      <c r="EI52" s="59">
        <f t="shared" si="68"/>
        <v>-2.0841101599736414</v>
      </c>
      <c r="EJ52" s="59">
        <f t="shared" si="69"/>
        <v>4.5470290940174081E-2</v>
      </c>
      <c r="EK52" s="59" t="e">
        <f t="shared" si="70"/>
        <v>#N/A</v>
      </c>
      <c r="EL52" s="59" t="e">
        <f t="shared" si="71"/>
        <v>#N/A</v>
      </c>
      <c r="EM52" s="59" t="e">
        <f t="shared" si="72"/>
        <v>#N/A</v>
      </c>
      <c r="EN52" s="59" t="b">
        <f t="shared" si="73"/>
        <v>1</v>
      </c>
      <c r="EO52" s="59" t="b">
        <f t="shared" si="74"/>
        <v>0</v>
      </c>
      <c r="EP52" s="59" t="b">
        <f t="shared" si="75"/>
        <v>1</v>
      </c>
      <c r="EQ52" s="59" t="b">
        <f t="shared" si="76"/>
        <v>0</v>
      </c>
      <c r="ER52" s="59">
        <f t="shared" si="77"/>
        <v>4.5470290940174081E-2</v>
      </c>
      <c r="ES52" s="59">
        <f t="shared" si="78"/>
        <v>4.5470290940174081E-2</v>
      </c>
      <c r="ET52" s="59" t="e">
        <f t="shared" si="79"/>
        <v>#N/A</v>
      </c>
      <c r="EU52" s="60" t="str">
        <f t="shared" si="80"/>
        <v/>
      </c>
      <c r="EV5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2" s="32" t="e" cm="1">
        <f t="array" ref="EY52">IF($CR$3,INDEX(Eu_tabel_a[[#This Row],[Styrke venstre]:[Styrke tosidet]],EY$7),NA())</f>
        <v>#N/A</v>
      </c>
      <c r="EZ52" s="32" t="e">
        <f>IF(EY$3,IF(CHOOSE(EY$7,Eu_tabel_a[[#This Row],[x base]]&gt;0,Eu_tabel_a[[#This Row],[x base]]&lt;0,Eu_tabel_a[[#This Row],[x base]]=0),1,NA()),NA())</f>
        <v>#N/A</v>
      </c>
      <c r="FA52" s="32" t="e">
        <f>IF(CHOOSE(EY$7,Eu_tabel_a[[#This Row],[x base]]&gt;0,Eu_tabel_a[[#This Row],[x base]]&lt;0,Eu_tabel_a[[#This Row],[x base]]=0),Eu_tabel_a[[#This Row],[Styrke, aktiv]],NA())</f>
        <v>#N/A</v>
      </c>
      <c r="FB52" s="32" t="e">
        <f>IFERROR(IF($EY$3,Eu_tabel_a[[#This Row],[Styrke, aktiv]],NA()),NA())</f>
        <v>#N/A</v>
      </c>
      <c r="FC52" s="32" t="e">
        <f>IF(ISNA(Eu_tabel_a[[#This Row],[Sand negativ
Nulhypotese afvises
Korrekt]]),NA(),IF(EY$3,1,NA()))</f>
        <v>#N/A</v>
      </c>
      <c r="FD52" s="33" t="str" cm="1">
        <f t="array" ref="FD52">IFERROR(_xlfn.SWITCH(Eu_tabel_a[[#This Row],[Indeks]],_xlfn.IFNA(FB$2,-99),FB$5,_xlfn.IFNA(FB$3,-99),FB$6,_xlfn.IFNA(FB$4,-99),FB$7,""),"")</f>
        <v/>
      </c>
      <c r="FE52" s="32">
        <f>Eu_tabel_a[[#This Row],[x base]]*SQRT(Eu_a_h0_x*(1-Eu_a_h0_x)/Eu_a_n_x)+Eu_a_h0_x</f>
        <v>0</v>
      </c>
      <c r="FJ52" s="74" t="e">
        <f t="shared" si="18"/>
        <v>#N/A</v>
      </c>
      <c r="FK52" s="82" t="e">
        <f t="shared" si="113"/>
        <v>#DIV/0!</v>
      </c>
      <c r="FL52" s="7" t="e">
        <f t="shared" si="12"/>
        <v>#DIV/0!</v>
      </c>
      <c r="FM52" t="e">
        <f t="shared" si="114"/>
        <v>#DIV/0!</v>
      </c>
      <c r="FN52" s="8" t="e">
        <f t="shared" si="115"/>
        <v>#DIV/0!</v>
      </c>
      <c r="FO52" s="8" t="e">
        <f t="shared" si="116"/>
        <v>#DIV/0!</v>
      </c>
      <c r="FP52" s="81" t="e">
        <f t="shared" si="117"/>
        <v>#DIV/0!</v>
      </c>
      <c r="FQ52" s="74" t="e">
        <f t="shared" ca="1" si="13"/>
        <v>#N/A</v>
      </c>
      <c r="FR52" s="82" t="e" vm="3">
        <f t="shared" ca="1" si="19"/>
        <v>#VALUE!</v>
      </c>
      <c r="FS52" s="7" t="e" vm="3">
        <f t="shared" ca="1" si="14"/>
        <v>#VALUE!</v>
      </c>
      <c r="FT52" t="e" vm="3">
        <f t="shared" ca="1" si="8"/>
        <v>#VALUE!</v>
      </c>
      <c r="FU52" s="8" t="e" vm="3">
        <f t="shared" ca="1" si="9"/>
        <v>#VALUE!</v>
      </c>
      <c r="FV52" s="8" t="e" vm="3">
        <f t="shared" ca="1" si="10"/>
        <v>#VALUE!</v>
      </c>
      <c r="FW52" s="81" t="e" vm="3">
        <f t="shared" ca="1" si="11"/>
        <v>#VALUE!</v>
      </c>
      <c r="FX52" s="74" t="e">
        <f t="shared" si="15"/>
        <v>#N/A</v>
      </c>
      <c r="FY52" s="82" t="e">
        <f t="shared" si="20"/>
        <v>#N/A</v>
      </c>
      <c r="FZ52" s="7" t="e">
        <f t="shared" si="16"/>
        <v>#N/A</v>
      </c>
      <c r="GA52" t="e">
        <f t="shared" si="21"/>
        <v>#N/A</v>
      </c>
      <c r="GB52" s="8" t="e">
        <f t="shared" si="22"/>
        <v>#N/A</v>
      </c>
      <c r="GC52" s="8" t="e">
        <f t="shared" si="23"/>
        <v>#N/A</v>
      </c>
      <c r="GD52" s="81" t="e">
        <f t="shared" si="24"/>
        <v>#N/A</v>
      </c>
      <c r="GE52" s="74" t="e">
        <f t="shared" si="25"/>
        <v>#N/A</v>
      </c>
      <c r="GF52" s="82" t="e">
        <f t="shared" si="26"/>
        <v>#N/A</v>
      </c>
      <c r="GG52" s="7" t="e">
        <f t="shared" si="17"/>
        <v>#N/A</v>
      </c>
      <c r="GH52" t="e">
        <f t="shared" si="27"/>
        <v>#N/A</v>
      </c>
      <c r="GI52" s="8" t="e">
        <f t="shared" si="28"/>
        <v>#N/A</v>
      </c>
      <c r="GJ52" s="8" t="e">
        <f t="shared" si="29"/>
        <v>#N/A</v>
      </c>
      <c r="GK52" s="81" t="e">
        <f t="shared" si="30"/>
        <v>#N/A</v>
      </c>
      <c r="GL52" s="81"/>
      <c r="GM52" s="81"/>
      <c r="GP52" s="59">
        <f t="shared" si="81"/>
        <v>42</v>
      </c>
      <c r="GQ52" s="32">
        <f t="shared" si="82"/>
        <v>43</v>
      </c>
      <c r="GR52" s="59">
        <f t="shared" si="83"/>
        <v>-2.0841101599736414</v>
      </c>
      <c r="GS52" s="59">
        <f t="shared" si="84"/>
        <v>4.5470290940174081E-2</v>
      </c>
      <c r="GT52" s="59" t="e">
        <f t="shared" si="85"/>
        <v>#N/A</v>
      </c>
      <c r="GU52" s="59" t="e">
        <f t="shared" si="86"/>
        <v>#N/A</v>
      </c>
      <c r="GV52" s="59" t="e">
        <f t="shared" si="87"/>
        <v>#N/A</v>
      </c>
      <c r="GW52" s="59" t="b">
        <f t="shared" si="88"/>
        <v>1</v>
      </c>
      <c r="GX52" s="59" t="b">
        <f t="shared" si="89"/>
        <v>0</v>
      </c>
      <c r="GY52" s="59" t="b">
        <f t="shared" si="90"/>
        <v>1</v>
      </c>
      <c r="GZ52" s="59" t="b">
        <f t="shared" si="91"/>
        <v>0</v>
      </c>
      <c r="HA52" s="59">
        <f t="shared" si="92"/>
        <v>4.5470290940174081E-2</v>
      </c>
      <c r="HB52" s="59">
        <f t="shared" si="93"/>
        <v>4.5470290940174081E-2</v>
      </c>
      <c r="HC52" s="59" t="e">
        <f t="shared" si="94"/>
        <v>#N/A</v>
      </c>
      <c r="HD52" s="60" t="str">
        <f t="shared" si="95"/>
        <v/>
      </c>
      <c r="HJ52" s="59">
        <f t="shared" si="96"/>
        <v>42</v>
      </c>
      <c r="HK52" s="32">
        <f t="shared" si="97"/>
        <v>43</v>
      </c>
      <c r="HL52" s="59">
        <f t="shared" si="98"/>
        <v>-3.2272883541979454</v>
      </c>
      <c r="HM52" s="59" t="e">
        <f t="shared" si="99"/>
        <v>#N/A</v>
      </c>
      <c r="HN52" s="59">
        <f t="shared" si="100"/>
        <v>1.0048712376837356E-2</v>
      </c>
      <c r="HO52" s="59" t="e">
        <f t="shared" si="101"/>
        <v>#N/A</v>
      </c>
      <c r="HP52" s="59" t="e">
        <f t="shared" si="102"/>
        <v>#N/A</v>
      </c>
      <c r="HQ52" s="59" t="b">
        <f t="shared" si="103"/>
        <v>1</v>
      </c>
      <c r="HR52" s="59" t="b">
        <f t="shared" si="104"/>
        <v>0</v>
      </c>
      <c r="HS52" s="59" t="b">
        <f t="shared" si="105"/>
        <v>1</v>
      </c>
      <c r="HT52" s="59" t="b">
        <f t="shared" si="106"/>
        <v>0</v>
      </c>
      <c r="HU52" s="59">
        <f t="shared" si="107"/>
        <v>1.0048712376837356E-2</v>
      </c>
      <c r="HV52" s="59">
        <f t="shared" si="108"/>
        <v>1.0048712376837356E-2</v>
      </c>
      <c r="HW52" s="59" t="e">
        <f t="shared" si="109"/>
        <v>#N/A</v>
      </c>
      <c r="HX52" s="60" t="str">
        <f t="shared" si="110"/>
        <v/>
      </c>
    </row>
    <row r="53" spans="58:232" x14ac:dyDescent="0.2">
      <c r="BF53">
        <v>0.91409189597286977</v>
      </c>
      <c r="BG53">
        <v>9.7085240838788316</v>
      </c>
      <c r="BH53" t="b">
        <v>0</v>
      </c>
      <c r="BI53">
        <v>0.91409189597286977</v>
      </c>
      <c r="BJ53">
        <v>9.7085240838788316</v>
      </c>
      <c r="BL53" s="53" t="s">
        <v>29</v>
      </c>
      <c r="BM53" s="86" t="e" cm="1">
        <f t="array" ref="BM53">IF(NOT($BI$2),INDEX(E_i_valg[Teststørrelse],E_i_aktiv),NA())</f>
        <v>#N/A</v>
      </c>
      <c r="BZ53" s="59">
        <f t="shared" si="36"/>
        <v>43</v>
      </c>
      <c r="CA53" s="32">
        <f>Eu_tabel_g[[#This Row],[Indeks]]+1</f>
        <v>44</v>
      </c>
      <c r="CB53" s="59">
        <f t="shared" si="37"/>
        <v>-2.0601548707785424</v>
      </c>
      <c r="CC53" s="59">
        <f t="shared" si="38"/>
        <v>4.7784327061153015E-2</v>
      </c>
      <c r="CD53" s="59" t="e">
        <f t="shared" si="39"/>
        <v>#N/A</v>
      </c>
      <c r="CE53" s="59" t="e">
        <f t="shared" si="40"/>
        <v>#N/A</v>
      </c>
      <c r="CF53" s="59" t="e">
        <f t="shared" si="41"/>
        <v>#N/A</v>
      </c>
      <c r="CG53" s="59" t="b">
        <f t="shared" si="42"/>
        <v>1</v>
      </c>
      <c r="CH53" s="59" t="b">
        <f t="shared" si="43"/>
        <v>0</v>
      </c>
      <c r="CI53" s="59" t="b">
        <f t="shared" si="44"/>
        <v>1</v>
      </c>
      <c r="CJ53" s="59" t="b">
        <f t="shared" si="45"/>
        <v>0</v>
      </c>
      <c r="CK53" s="59">
        <f t="shared" si="118"/>
        <v>4.7784327061153015E-2</v>
      </c>
      <c r="CL53" s="59">
        <f t="shared" si="47"/>
        <v>4.7784327061153015E-2</v>
      </c>
      <c r="CM53" s="59" t="e">
        <f t="shared" si="48"/>
        <v>#N/A</v>
      </c>
      <c r="CN53" s="60" t="str">
        <f t="shared" si="49"/>
        <v/>
      </c>
      <c r="CO53" s="32">
        <f>_xlfn.NORM.DIST(_xlfn.NORM.INV(1-Eu_g_konfidensniveau,0,1)-Eu_tabel_g[[#This Row],[x base]],0,1,TRUE)</f>
        <v>0.66103930460390115</v>
      </c>
      <c r="CP53" s="32">
        <f>1-_xlfn.NORM.DIST(_xlfn.NORM.INV(Eu_g_konfidensniveau,0,1)-Eu_tabel_g[[#This Row],[x base]],0,1,TRUE)</f>
        <v>1.0569182294417612E-4</v>
      </c>
      <c r="CQ53" s="32">
        <f>_xlfn.NORM.DIST(_xlfn.NORM.INV((1-Eu_g_konfidensniveau)/2,0,1)-Eu_tabel_g[[#This Row],[x base]],0,1,TRUE)+1-_xlfn.NORM.DIST(_xlfn.NORM.INV(1-(1-Eu_g_konfidensniveau)/2,0,1)-Eu_tabel_g[[#This Row],[x base]],0,1,TRUE)</f>
        <v>0.53993269372568653</v>
      </c>
      <c r="CR53" s="32" t="e" cm="1">
        <f t="array" ref="CR53">IF($CR$3,INDEX(Eu_tabel_g[[#This Row],[Styrke venstre]:[Styrke tosidet]],CR$7),NA())</f>
        <v>#N/A</v>
      </c>
      <c r="CS53" s="52" t="e">
        <f>Eu_tabel_g[[#This Row],[Falsk positiv
Nulhypotese accepteres
Fejltype 1]]</f>
        <v>#N/A</v>
      </c>
      <c r="CT53" s="52" t="e">
        <f>IF(CHOOSE(CR$7,Eu_tabel_g[[#This Row],[x base]]&gt;0,Eu_tabel_g[[#This Row],[x base]]&lt;0,Eu_tabel_g[[#This Row],[x base]]=0),Eu_tabel_g[[#This Row],[Styrke, aktiv]],NA())</f>
        <v>#N/A</v>
      </c>
      <c r="CU53" s="52" t="e">
        <f>IFERROR(IF($CR$3,Eu_tabel_g[[#This Row],[Styrke, aktiv]],NA()),NA())</f>
        <v>#N/A</v>
      </c>
      <c r="CV53" s="52" t="e">
        <f>IF(ISNA(Eu_tabel_g[[#This Row],[Sand negativ
Nulhypotese afvises
Korrekt]]),NA(),IF($CR$3,1,NA()))</f>
        <v>#N/A</v>
      </c>
      <c r="CW53" s="34" t="str" cm="1">
        <f t="array" ref="CW53">_xlfn.SWITCH(BZ53,_xlfn.IFNA(CU$2,-99),CU$5,_xlfn.IFNA(CU$3,-99),CU$6,_xlfn.IFNA(CU$4,-99),CU$7,"")</f>
        <v/>
      </c>
      <c r="DA53" s="7">
        <f t="shared" si="50"/>
        <v>0.8</v>
      </c>
      <c r="DB53">
        <f>IF(ROW(Styrkeberegning_G[[#This Row],[X base venstre]])=ROW(Styrkeberegning_G[[#Headers],[X base venstre]])+1,DB$7/(DA$7/$B$67),DB52/(DA52/$B$67))</f>
        <v>-2.8015817870135784</v>
      </c>
      <c r="DC53">
        <f>Styrkeberegning_G[[#This Row],[X base venstre]]*-1</f>
        <v>2.8015817870135784</v>
      </c>
      <c r="DN53" s="59">
        <f t="shared" si="51"/>
        <v>43</v>
      </c>
      <c r="DO53" s="32">
        <f t="shared" si="52"/>
        <v>44</v>
      </c>
      <c r="DP53" s="59">
        <f t="shared" si="53"/>
        <v>6.7388994905847337</v>
      </c>
      <c r="DQ53" s="59" t="e">
        <f t="shared" si="54"/>
        <v>#N/A</v>
      </c>
      <c r="DR53" s="59" t="e">
        <f t="shared" si="55"/>
        <v>#N/A</v>
      </c>
      <c r="DS53" s="59">
        <f t="shared" si="56"/>
        <v>7.7766979547437623E-2</v>
      </c>
      <c r="DT53" s="59" t="e">
        <f t="shared" si="57"/>
        <v>#N/A</v>
      </c>
      <c r="DU53" s="59" t="b">
        <f t="shared" si="58"/>
        <v>0</v>
      </c>
      <c r="DV53" s="59" t="b">
        <f t="shared" si="59"/>
        <v>1</v>
      </c>
      <c r="DW53" s="59" t="b">
        <f t="shared" si="60"/>
        <v>0</v>
      </c>
      <c r="DX53" s="59" t="b">
        <f t="shared" si="61"/>
        <v>1</v>
      </c>
      <c r="DY53" s="59">
        <f t="shared" si="62"/>
        <v>7.7766979547437623E-2</v>
      </c>
      <c r="DZ53" s="59" t="e">
        <f t="shared" si="63"/>
        <v>#N/A</v>
      </c>
      <c r="EA53" s="59">
        <f t="shared" si="64"/>
        <v>7.7766979547437623E-2</v>
      </c>
      <c r="EB53" s="60" t="str">
        <f t="shared" si="65"/>
        <v/>
      </c>
      <c r="EG53" s="59">
        <f t="shared" si="66"/>
        <v>43</v>
      </c>
      <c r="EH53" s="32">
        <f t="shared" si="67"/>
        <v>44</v>
      </c>
      <c r="EI53" s="59">
        <f t="shared" si="68"/>
        <v>-2.0601548707785424</v>
      </c>
      <c r="EJ53" s="59">
        <f t="shared" si="69"/>
        <v>4.7784327061153015E-2</v>
      </c>
      <c r="EK53" s="59" t="e">
        <f t="shared" si="70"/>
        <v>#N/A</v>
      </c>
      <c r="EL53" s="59" t="e">
        <f t="shared" si="71"/>
        <v>#N/A</v>
      </c>
      <c r="EM53" s="59" t="e">
        <f t="shared" si="72"/>
        <v>#N/A</v>
      </c>
      <c r="EN53" s="59" t="b">
        <f t="shared" si="73"/>
        <v>1</v>
      </c>
      <c r="EO53" s="59" t="b">
        <f t="shared" si="74"/>
        <v>0</v>
      </c>
      <c r="EP53" s="59" t="b">
        <f t="shared" si="75"/>
        <v>1</v>
      </c>
      <c r="EQ53" s="59" t="b">
        <f t="shared" si="76"/>
        <v>0</v>
      </c>
      <c r="ER53" s="59">
        <f t="shared" si="77"/>
        <v>4.7784327061153015E-2</v>
      </c>
      <c r="ES53" s="59">
        <f t="shared" si="78"/>
        <v>4.7784327061153015E-2</v>
      </c>
      <c r="ET53" s="59" t="e">
        <f t="shared" si="79"/>
        <v>#N/A</v>
      </c>
      <c r="EU53" s="60" t="str">
        <f t="shared" si="80"/>
        <v/>
      </c>
      <c r="EV5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3" s="32" t="e" cm="1">
        <f t="array" ref="EY53">IF($CR$3,INDEX(Eu_tabel_a[[#This Row],[Styrke venstre]:[Styrke tosidet]],EY$7),NA())</f>
        <v>#N/A</v>
      </c>
      <c r="EZ53" s="32" t="e">
        <f>IF(EY$3,IF(CHOOSE(EY$7,Eu_tabel_a[[#This Row],[x base]]&gt;0,Eu_tabel_a[[#This Row],[x base]]&lt;0,Eu_tabel_a[[#This Row],[x base]]=0),1,NA()),NA())</f>
        <v>#N/A</v>
      </c>
      <c r="FA53" s="32" t="e">
        <f>IF(CHOOSE(EY$7,Eu_tabel_a[[#This Row],[x base]]&gt;0,Eu_tabel_a[[#This Row],[x base]]&lt;0,Eu_tabel_a[[#This Row],[x base]]=0),Eu_tabel_a[[#This Row],[Styrke, aktiv]],NA())</f>
        <v>#N/A</v>
      </c>
      <c r="FB53" s="32" t="e">
        <f>IFERROR(IF($EY$3,Eu_tabel_a[[#This Row],[Styrke, aktiv]],NA()),NA())</f>
        <v>#N/A</v>
      </c>
      <c r="FC53" s="32" t="e">
        <f>IF(ISNA(Eu_tabel_a[[#This Row],[Sand negativ
Nulhypotese afvises
Korrekt]]),NA(),IF(EY$3,1,NA()))</f>
        <v>#N/A</v>
      </c>
      <c r="FD53" s="33" t="str" cm="1">
        <f t="array" ref="FD53">IFERROR(_xlfn.SWITCH(Eu_tabel_a[[#This Row],[Indeks]],_xlfn.IFNA(FB$2,-99),FB$5,_xlfn.IFNA(FB$3,-99),FB$6,_xlfn.IFNA(FB$4,-99),FB$7,""),"")</f>
        <v/>
      </c>
      <c r="FE53" s="32">
        <f>Eu_tabel_a[[#This Row],[x base]]*SQRT(Eu_a_h0_x*(1-Eu_a_h0_x)/Eu_a_n_x)+Eu_a_h0_x</f>
        <v>0</v>
      </c>
      <c r="FJ53" s="74" t="e">
        <f t="shared" si="18"/>
        <v>#N/A</v>
      </c>
      <c r="FK53" s="82" t="e">
        <f t="shared" si="113"/>
        <v>#DIV/0!</v>
      </c>
      <c r="FL53" s="7" t="e">
        <f t="shared" si="12"/>
        <v>#DIV/0!</v>
      </c>
      <c r="FM53" t="e">
        <f t="shared" si="114"/>
        <v>#DIV/0!</v>
      </c>
      <c r="FN53" s="8" t="e">
        <f t="shared" si="115"/>
        <v>#DIV/0!</v>
      </c>
      <c r="FO53" s="8" t="e">
        <f t="shared" si="116"/>
        <v>#DIV/0!</v>
      </c>
      <c r="FP53" s="81" t="e">
        <f t="shared" si="117"/>
        <v>#DIV/0!</v>
      </c>
      <c r="FQ53" s="74" t="e">
        <f t="shared" ca="1" si="13"/>
        <v>#N/A</v>
      </c>
      <c r="FR53" s="82" t="e" vm="3">
        <f t="shared" ca="1" si="19"/>
        <v>#VALUE!</v>
      </c>
      <c r="FS53" s="7" t="e" vm="3">
        <f t="shared" ca="1" si="14"/>
        <v>#VALUE!</v>
      </c>
      <c r="FT53" t="e" vm="3">
        <f t="shared" ca="1" si="8"/>
        <v>#VALUE!</v>
      </c>
      <c r="FU53" s="8" t="e" vm="3">
        <f t="shared" ca="1" si="9"/>
        <v>#VALUE!</v>
      </c>
      <c r="FV53" s="8" t="e" vm="3">
        <f t="shared" ca="1" si="10"/>
        <v>#VALUE!</v>
      </c>
      <c r="FW53" s="81" t="e" vm="3">
        <f t="shared" ca="1" si="11"/>
        <v>#VALUE!</v>
      </c>
      <c r="FX53" s="74" t="e">
        <f t="shared" si="15"/>
        <v>#N/A</v>
      </c>
      <c r="FY53" s="82" t="e">
        <f t="shared" si="20"/>
        <v>#N/A</v>
      </c>
      <c r="FZ53" s="7" t="e">
        <f t="shared" si="16"/>
        <v>#N/A</v>
      </c>
      <c r="GA53" t="e">
        <f t="shared" si="21"/>
        <v>#N/A</v>
      </c>
      <c r="GB53" s="8" t="e">
        <f t="shared" si="22"/>
        <v>#N/A</v>
      </c>
      <c r="GC53" s="8" t="e">
        <f t="shared" si="23"/>
        <v>#N/A</v>
      </c>
      <c r="GD53" s="81" t="e">
        <f t="shared" si="24"/>
        <v>#N/A</v>
      </c>
      <c r="GE53" s="74" t="e">
        <f t="shared" si="25"/>
        <v>#N/A</v>
      </c>
      <c r="GF53" s="82" t="e">
        <f t="shared" si="26"/>
        <v>#N/A</v>
      </c>
      <c r="GG53" s="7" t="e">
        <f t="shared" si="17"/>
        <v>#N/A</v>
      </c>
      <c r="GH53" t="e">
        <f t="shared" si="27"/>
        <v>#N/A</v>
      </c>
      <c r="GI53" s="8" t="e">
        <f t="shared" si="28"/>
        <v>#N/A</v>
      </c>
      <c r="GJ53" s="8" t="e">
        <f t="shared" si="29"/>
        <v>#N/A</v>
      </c>
      <c r="GK53" s="81" t="e">
        <f t="shared" si="30"/>
        <v>#N/A</v>
      </c>
      <c r="GL53" s="81"/>
      <c r="GM53" s="81"/>
      <c r="GP53" s="59">
        <f t="shared" si="81"/>
        <v>43</v>
      </c>
      <c r="GQ53" s="32">
        <f t="shared" si="82"/>
        <v>44</v>
      </c>
      <c r="GR53" s="59">
        <f t="shared" si="83"/>
        <v>-2.0601548707785424</v>
      </c>
      <c r="GS53" s="59">
        <f t="shared" si="84"/>
        <v>4.7784327061153015E-2</v>
      </c>
      <c r="GT53" s="59" t="e">
        <f t="shared" si="85"/>
        <v>#N/A</v>
      </c>
      <c r="GU53" s="59" t="e">
        <f t="shared" si="86"/>
        <v>#N/A</v>
      </c>
      <c r="GV53" s="59" t="e">
        <f t="shared" si="87"/>
        <v>#N/A</v>
      </c>
      <c r="GW53" s="59" t="b">
        <f t="shared" si="88"/>
        <v>1</v>
      </c>
      <c r="GX53" s="59" t="b">
        <f t="shared" si="89"/>
        <v>0</v>
      </c>
      <c r="GY53" s="59" t="b">
        <f t="shared" si="90"/>
        <v>1</v>
      </c>
      <c r="GZ53" s="59" t="b">
        <f t="shared" si="91"/>
        <v>0</v>
      </c>
      <c r="HA53" s="59">
        <f t="shared" si="92"/>
        <v>4.7784327061153015E-2</v>
      </c>
      <c r="HB53" s="59">
        <f t="shared" si="93"/>
        <v>4.7784327061153015E-2</v>
      </c>
      <c r="HC53" s="59" t="e">
        <f t="shared" si="94"/>
        <v>#N/A</v>
      </c>
      <c r="HD53" s="60" t="str">
        <f t="shared" si="95"/>
        <v/>
      </c>
      <c r="HJ53" s="59">
        <f t="shared" si="96"/>
        <v>43</v>
      </c>
      <c r="HK53" s="32">
        <f t="shared" si="97"/>
        <v>44</v>
      </c>
      <c r="HL53" s="59">
        <f t="shared" si="98"/>
        <v>-3.1901930857588887</v>
      </c>
      <c r="HM53" s="59" t="e">
        <f t="shared" si="99"/>
        <v>#N/A</v>
      </c>
      <c r="HN53" s="59">
        <f t="shared" si="100"/>
        <v>1.061745464710373E-2</v>
      </c>
      <c r="HO53" s="59" t="e">
        <f t="shared" si="101"/>
        <v>#N/A</v>
      </c>
      <c r="HP53" s="59" t="e">
        <f t="shared" si="102"/>
        <v>#N/A</v>
      </c>
      <c r="HQ53" s="59" t="b">
        <f t="shared" si="103"/>
        <v>1</v>
      </c>
      <c r="HR53" s="59" t="b">
        <f t="shared" si="104"/>
        <v>0</v>
      </c>
      <c r="HS53" s="59" t="b">
        <f t="shared" si="105"/>
        <v>1</v>
      </c>
      <c r="HT53" s="59" t="b">
        <f t="shared" si="106"/>
        <v>0</v>
      </c>
      <c r="HU53" s="59">
        <f t="shared" si="107"/>
        <v>1.061745464710373E-2</v>
      </c>
      <c r="HV53" s="59">
        <f t="shared" si="108"/>
        <v>1.061745464710373E-2</v>
      </c>
      <c r="HW53" s="59" t="e">
        <f t="shared" si="109"/>
        <v>#N/A</v>
      </c>
      <c r="HX53" s="60" t="str">
        <f t="shared" si="110"/>
        <v/>
      </c>
    </row>
    <row r="54" spans="58:232" x14ac:dyDescent="0.2">
      <c r="BF54">
        <v>-0.89773712069108735</v>
      </c>
      <c r="BG54">
        <v>9.7085240838788316</v>
      </c>
      <c r="BH54" t="b">
        <v>0</v>
      </c>
      <c r="BI54">
        <v>-0.89773712069108735</v>
      </c>
      <c r="BJ54">
        <v>9.7085240838788316</v>
      </c>
      <c r="BL54" s="53" t="s">
        <v>209</v>
      </c>
      <c r="BM54" s="87" t="e" cm="1">
        <f t="array" ref="BM54">IF(NOT($BI$2),INDEX(E_i_valg[p-værdi],E_i_aktiv),NA())</f>
        <v>#N/A</v>
      </c>
      <c r="BZ54" s="59">
        <f t="shared" si="36"/>
        <v>44</v>
      </c>
      <c r="CA54" s="32">
        <f>Eu_tabel_g[[#This Row],[Indeks]]+1</f>
        <v>45</v>
      </c>
      <c r="CB54" s="59">
        <f t="shared" si="37"/>
        <v>-2.0361995815834426</v>
      </c>
      <c r="CC54" s="59">
        <f t="shared" si="38"/>
        <v>5.0187318625221689E-2</v>
      </c>
      <c r="CD54" s="59" t="e">
        <f t="shared" si="39"/>
        <v>#N/A</v>
      </c>
      <c r="CE54" s="59" t="e">
        <f t="shared" si="40"/>
        <v>#N/A</v>
      </c>
      <c r="CF54" s="59" t="e">
        <f t="shared" si="41"/>
        <v>#N/A</v>
      </c>
      <c r="CG54" s="59" t="b">
        <f t="shared" si="42"/>
        <v>1</v>
      </c>
      <c r="CH54" s="59" t="b">
        <f t="shared" si="43"/>
        <v>0</v>
      </c>
      <c r="CI54" s="59" t="b">
        <f t="shared" si="44"/>
        <v>1</v>
      </c>
      <c r="CJ54" s="59" t="b">
        <f t="shared" si="45"/>
        <v>0</v>
      </c>
      <c r="CK54" s="59">
        <f t="shared" si="118"/>
        <v>5.0187318625221689E-2</v>
      </c>
      <c r="CL54" s="59">
        <f t="shared" si="47"/>
        <v>5.0187318625221689E-2</v>
      </c>
      <c r="CM54" s="59" t="e">
        <f t="shared" si="48"/>
        <v>#N/A</v>
      </c>
      <c r="CN54" s="60" t="str">
        <f t="shared" si="49"/>
        <v/>
      </c>
      <c r="CO54" s="32">
        <f>_xlfn.NORM.DIST(_xlfn.NORM.INV(1-Eu_g_konfidensniveau,0,1)-Eu_tabel_g[[#This Row],[x base]],0,1,TRUE)</f>
        <v>0.65222923248733788</v>
      </c>
      <c r="CP54" s="32">
        <f>1-_xlfn.NORM.DIST(_xlfn.NORM.INV(Eu_g_konfidensniveau,0,1)-Eu_tabel_g[[#This Row],[x base]],0,1,TRUE)</f>
        <v>1.1613626122131127E-4</v>
      </c>
      <c r="CQ54" s="32">
        <f>_xlfn.NORM.DIST(_xlfn.NORM.INV((1-Eu_g_konfidensniveau)/2,0,1)-Eu_tabel_g[[#This Row],[x base]],0,1,TRUE)+1-_xlfn.NORM.DIST(_xlfn.NORM.INV(1-(1-Eu_g_konfidensniveau)/2,0,1)-Eu_tabel_g[[#This Row],[x base]],0,1,TRUE)</f>
        <v>0.53041635726275116</v>
      </c>
      <c r="CR54" s="32" t="e" cm="1">
        <f t="array" ref="CR54">IF($CR$3,INDEX(Eu_tabel_g[[#This Row],[Styrke venstre]:[Styrke tosidet]],CR$7),NA())</f>
        <v>#N/A</v>
      </c>
      <c r="CS54" s="52" t="e">
        <f>Eu_tabel_g[[#This Row],[Falsk positiv
Nulhypotese accepteres
Fejltype 1]]</f>
        <v>#N/A</v>
      </c>
      <c r="CT54" s="52" t="e">
        <f>IF(CHOOSE(CR$7,Eu_tabel_g[[#This Row],[x base]]&gt;0,Eu_tabel_g[[#This Row],[x base]]&lt;0,Eu_tabel_g[[#This Row],[x base]]=0),Eu_tabel_g[[#This Row],[Styrke, aktiv]],NA())</f>
        <v>#N/A</v>
      </c>
      <c r="CU54" s="52" t="e">
        <f>IFERROR(IF($CR$3,Eu_tabel_g[[#This Row],[Styrke, aktiv]],NA()),NA())</f>
        <v>#N/A</v>
      </c>
      <c r="CV54" s="52" t="e">
        <f>IF(ISNA(Eu_tabel_g[[#This Row],[Sand negativ
Nulhypotese afvises
Korrekt]]),NA(),IF($CR$3,1,NA()))</f>
        <v>#N/A</v>
      </c>
      <c r="CW54" s="34" t="str" cm="1">
        <f t="array" ref="CW54">_xlfn.SWITCH(BZ54,_xlfn.IFNA(CU$2,-99),CU$5,_xlfn.IFNA(CU$3,-99),CU$6,_xlfn.IFNA(CU$4,-99),CU$7,"")</f>
        <v/>
      </c>
      <c r="DA54" s="7">
        <f t="shared" si="50"/>
        <v>0.8</v>
      </c>
      <c r="DB54">
        <f>IF(ROW(Styrkeberegning_G[[#This Row],[X base venstre]])=ROW(Styrkeberegning_G[[#Headers],[X base venstre]])+1,DB$7/(DA$7/$B$67),DB53/(DA53/$B$67))</f>
        <v>-2.8015817870135784</v>
      </c>
      <c r="DC54">
        <f>Styrkeberegning_G[[#This Row],[X base venstre]]*-1</f>
        <v>2.8015817870135784</v>
      </c>
      <c r="DN54" s="59">
        <f t="shared" si="51"/>
        <v>44</v>
      </c>
      <c r="DO54" s="32">
        <f t="shared" si="52"/>
        <v>45</v>
      </c>
      <c r="DP54" s="59">
        <f t="shared" si="53"/>
        <v>6.8529703470017349</v>
      </c>
      <c r="DQ54" s="59" t="e">
        <f t="shared" si="54"/>
        <v>#N/A</v>
      </c>
      <c r="DR54" s="59" t="e">
        <f t="shared" si="55"/>
        <v>#N/A</v>
      </c>
      <c r="DS54" s="59">
        <f t="shared" si="56"/>
        <v>7.9219024627133594E-2</v>
      </c>
      <c r="DT54" s="59" t="e">
        <f t="shared" si="57"/>
        <v>#N/A</v>
      </c>
      <c r="DU54" s="59" t="b">
        <f t="shared" si="58"/>
        <v>0</v>
      </c>
      <c r="DV54" s="59" t="b">
        <f t="shared" si="59"/>
        <v>1</v>
      </c>
      <c r="DW54" s="59" t="b">
        <f t="shared" si="60"/>
        <v>0</v>
      </c>
      <c r="DX54" s="59" t="b">
        <f t="shared" si="61"/>
        <v>1</v>
      </c>
      <c r="DY54" s="59">
        <f t="shared" si="62"/>
        <v>7.9219024627133594E-2</v>
      </c>
      <c r="DZ54" s="59" t="e">
        <f t="shared" si="63"/>
        <v>#N/A</v>
      </c>
      <c r="EA54" s="59">
        <f t="shared" si="64"/>
        <v>7.9219024627133594E-2</v>
      </c>
      <c r="EB54" s="60" t="str">
        <f t="shared" si="65"/>
        <v/>
      </c>
      <c r="EG54" s="59">
        <f t="shared" si="66"/>
        <v>44</v>
      </c>
      <c r="EH54" s="32">
        <f t="shared" si="67"/>
        <v>45</v>
      </c>
      <c r="EI54" s="59">
        <f t="shared" si="68"/>
        <v>-2.0361995815834426</v>
      </c>
      <c r="EJ54" s="59">
        <f t="shared" si="69"/>
        <v>5.0187318625221689E-2</v>
      </c>
      <c r="EK54" s="59" t="e">
        <f t="shared" si="70"/>
        <v>#N/A</v>
      </c>
      <c r="EL54" s="59" t="e">
        <f t="shared" si="71"/>
        <v>#N/A</v>
      </c>
      <c r="EM54" s="59" t="e">
        <f t="shared" si="72"/>
        <v>#N/A</v>
      </c>
      <c r="EN54" s="59" t="b">
        <f t="shared" si="73"/>
        <v>1</v>
      </c>
      <c r="EO54" s="59" t="b">
        <f t="shared" si="74"/>
        <v>0</v>
      </c>
      <c r="EP54" s="59" t="b">
        <f t="shared" si="75"/>
        <v>1</v>
      </c>
      <c r="EQ54" s="59" t="b">
        <f t="shared" si="76"/>
        <v>0</v>
      </c>
      <c r="ER54" s="59">
        <f t="shared" si="77"/>
        <v>5.0187318625221689E-2</v>
      </c>
      <c r="ES54" s="59">
        <f t="shared" si="78"/>
        <v>5.0187318625221689E-2</v>
      </c>
      <c r="ET54" s="59" t="e">
        <f t="shared" si="79"/>
        <v>#N/A</v>
      </c>
      <c r="EU54" s="60" t="str">
        <f t="shared" si="80"/>
        <v/>
      </c>
      <c r="EV5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4" s="32" t="e" cm="1">
        <f t="array" ref="EY54">IF($CR$3,INDEX(Eu_tabel_a[[#This Row],[Styrke venstre]:[Styrke tosidet]],EY$7),NA())</f>
        <v>#N/A</v>
      </c>
      <c r="EZ54" s="32" t="e">
        <f>IF(EY$3,IF(CHOOSE(EY$7,Eu_tabel_a[[#This Row],[x base]]&gt;0,Eu_tabel_a[[#This Row],[x base]]&lt;0,Eu_tabel_a[[#This Row],[x base]]=0),1,NA()),NA())</f>
        <v>#N/A</v>
      </c>
      <c r="FA54" s="32" t="e">
        <f>IF(CHOOSE(EY$7,Eu_tabel_a[[#This Row],[x base]]&gt;0,Eu_tabel_a[[#This Row],[x base]]&lt;0,Eu_tabel_a[[#This Row],[x base]]=0),Eu_tabel_a[[#This Row],[Styrke, aktiv]],NA())</f>
        <v>#N/A</v>
      </c>
      <c r="FB54" s="32" t="e">
        <f>IFERROR(IF($EY$3,Eu_tabel_a[[#This Row],[Styrke, aktiv]],NA()),NA())</f>
        <v>#N/A</v>
      </c>
      <c r="FC54" s="32" t="e">
        <f>IF(ISNA(Eu_tabel_a[[#This Row],[Sand negativ
Nulhypotese afvises
Korrekt]]),NA(),IF(EY$3,1,NA()))</f>
        <v>#N/A</v>
      </c>
      <c r="FD54" s="33" t="str" cm="1">
        <f t="array" ref="FD54">IFERROR(_xlfn.SWITCH(Eu_tabel_a[[#This Row],[Indeks]],_xlfn.IFNA(FB$2,-99),FB$5,_xlfn.IFNA(FB$3,-99),FB$6,_xlfn.IFNA(FB$4,-99),FB$7,""),"")</f>
        <v/>
      </c>
      <c r="FE54" s="32">
        <f>Eu_tabel_a[[#This Row],[x base]]*SQRT(Eu_a_h0_x*(1-Eu_a_h0_x)/Eu_a_n_x)+Eu_a_h0_x</f>
        <v>0</v>
      </c>
      <c r="FJ54" s="74" t="e">
        <f t="shared" si="18"/>
        <v>#N/A</v>
      </c>
      <c r="FK54" s="82" t="e">
        <f t="shared" si="113"/>
        <v>#DIV/0!</v>
      </c>
      <c r="FL54" s="7" t="e">
        <f t="shared" si="12"/>
        <v>#DIV/0!</v>
      </c>
      <c r="FM54" t="e">
        <f t="shared" si="114"/>
        <v>#DIV/0!</v>
      </c>
      <c r="FN54" s="8" t="e">
        <f t="shared" si="115"/>
        <v>#DIV/0!</v>
      </c>
      <c r="FO54" s="8" t="e">
        <f t="shared" si="116"/>
        <v>#DIV/0!</v>
      </c>
      <c r="FP54" s="81" t="e">
        <f t="shared" si="117"/>
        <v>#DIV/0!</v>
      </c>
      <c r="FQ54" s="74" t="e">
        <f t="shared" ca="1" si="13"/>
        <v>#N/A</v>
      </c>
      <c r="FR54" s="82" t="e" vm="3">
        <f t="shared" ca="1" si="19"/>
        <v>#VALUE!</v>
      </c>
      <c r="FS54" s="7" t="e" vm="3">
        <f t="shared" ca="1" si="14"/>
        <v>#VALUE!</v>
      </c>
      <c r="FT54" t="e" vm="3">
        <f t="shared" ca="1" si="8"/>
        <v>#VALUE!</v>
      </c>
      <c r="FU54" s="8" t="e" vm="3">
        <f t="shared" ca="1" si="9"/>
        <v>#VALUE!</v>
      </c>
      <c r="FV54" s="8" t="e" vm="3">
        <f t="shared" ca="1" si="10"/>
        <v>#VALUE!</v>
      </c>
      <c r="FW54" s="81" t="e" vm="3">
        <f t="shared" ca="1" si="11"/>
        <v>#VALUE!</v>
      </c>
      <c r="FX54" s="74" t="e">
        <f t="shared" si="15"/>
        <v>#N/A</v>
      </c>
      <c r="FY54" s="82" t="e">
        <f t="shared" si="20"/>
        <v>#N/A</v>
      </c>
      <c r="FZ54" s="7" t="e">
        <f t="shared" si="16"/>
        <v>#N/A</v>
      </c>
      <c r="GA54" t="e">
        <f t="shared" si="21"/>
        <v>#N/A</v>
      </c>
      <c r="GB54" s="8" t="e">
        <f t="shared" si="22"/>
        <v>#N/A</v>
      </c>
      <c r="GC54" s="8" t="e">
        <f t="shared" si="23"/>
        <v>#N/A</v>
      </c>
      <c r="GD54" s="81" t="e">
        <f t="shared" si="24"/>
        <v>#N/A</v>
      </c>
      <c r="GE54" s="74" t="e">
        <f t="shared" si="25"/>
        <v>#N/A</v>
      </c>
      <c r="GF54" s="82" t="e">
        <f t="shared" si="26"/>
        <v>#N/A</v>
      </c>
      <c r="GG54" s="7" t="e">
        <f t="shared" si="17"/>
        <v>#N/A</v>
      </c>
      <c r="GH54" t="e">
        <f t="shared" si="27"/>
        <v>#N/A</v>
      </c>
      <c r="GI54" s="8" t="e">
        <f t="shared" si="28"/>
        <v>#N/A</v>
      </c>
      <c r="GJ54" s="8" t="e">
        <f t="shared" si="29"/>
        <v>#N/A</v>
      </c>
      <c r="GK54" s="81" t="e">
        <f t="shared" si="30"/>
        <v>#N/A</v>
      </c>
      <c r="GL54" s="81"/>
      <c r="GM54" s="81"/>
      <c r="GP54" s="59">
        <f t="shared" si="81"/>
        <v>44</v>
      </c>
      <c r="GQ54" s="32">
        <f t="shared" si="82"/>
        <v>45</v>
      </c>
      <c r="GR54" s="59">
        <f t="shared" si="83"/>
        <v>-2.0361995815834426</v>
      </c>
      <c r="GS54" s="59">
        <f t="shared" si="84"/>
        <v>5.0187318625221689E-2</v>
      </c>
      <c r="GT54" s="59" t="e">
        <f t="shared" si="85"/>
        <v>#N/A</v>
      </c>
      <c r="GU54" s="59" t="e">
        <f t="shared" si="86"/>
        <v>#N/A</v>
      </c>
      <c r="GV54" s="59" t="e">
        <f t="shared" si="87"/>
        <v>#N/A</v>
      </c>
      <c r="GW54" s="59" t="b">
        <f t="shared" si="88"/>
        <v>1</v>
      </c>
      <c r="GX54" s="59" t="b">
        <f t="shared" si="89"/>
        <v>0</v>
      </c>
      <c r="GY54" s="59" t="b">
        <f t="shared" si="90"/>
        <v>1</v>
      </c>
      <c r="GZ54" s="59" t="b">
        <f t="shared" si="91"/>
        <v>0</v>
      </c>
      <c r="HA54" s="59">
        <f t="shared" si="92"/>
        <v>5.0187318625221689E-2</v>
      </c>
      <c r="HB54" s="59">
        <f t="shared" si="93"/>
        <v>5.0187318625221689E-2</v>
      </c>
      <c r="HC54" s="59" t="e">
        <f t="shared" si="94"/>
        <v>#N/A</v>
      </c>
      <c r="HD54" s="60" t="str">
        <f t="shared" si="95"/>
        <v/>
      </c>
      <c r="HJ54" s="59">
        <f t="shared" si="96"/>
        <v>44</v>
      </c>
      <c r="HK54" s="32">
        <f t="shared" si="97"/>
        <v>45</v>
      </c>
      <c r="HL54" s="59">
        <f t="shared" si="98"/>
        <v>-3.1530978173198321</v>
      </c>
      <c r="HM54" s="59" t="e">
        <f t="shared" si="99"/>
        <v>#N/A</v>
      </c>
      <c r="HN54" s="59">
        <f t="shared" si="100"/>
        <v>1.1219716568102925E-2</v>
      </c>
      <c r="HO54" s="59" t="e">
        <f t="shared" si="101"/>
        <v>#N/A</v>
      </c>
      <c r="HP54" s="59" t="e">
        <f t="shared" si="102"/>
        <v>#N/A</v>
      </c>
      <c r="HQ54" s="59" t="b">
        <f t="shared" si="103"/>
        <v>1</v>
      </c>
      <c r="HR54" s="59" t="b">
        <f t="shared" si="104"/>
        <v>0</v>
      </c>
      <c r="HS54" s="59" t="b">
        <f t="shared" si="105"/>
        <v>1</v>
      </c>
      <c r="HT54" s="59" t="b">
        <f t="shared" si="106"/>
        <v>0</v>
      </c>
      <c r="HU54" s="59">
        <f t="shared" si="107"/>
        <v>1.1219716568102925E-2</v>
      </c>
      <c r="HV54" s="59">
        <f t="shared" si="108"/>
        <v>1.1219716568102925E-2</v>
      </c>
      <c r="HW54" s="59" t="e">
        <f t="shared" si="109"/>
        <v>#N/A</v>
      </c>
      <c r="HX54" s="60" t="str">
        <f t="shared" si="110"/>
        <v/>
      </c>
    </row>
    <row r="55" spans="58:232" x14ac:dyDescent="0.2">
      <c r="BL55" s="53" t="s">
        <v>248</v>
      </c>
      <c r="BM55" s="87" t="e" cm="1">
        <f t="array" ref="BM55">IF(NOT($BI$2),IF(INDEX(E_i_valg[Nulhypotese kan ikke afvises],E_i_aktiv),"Nulhypotese kan ikke afvises","Nulhypotese afvises"),NA())</f>
        <v>#N/A</v>
      </c>
      <c r="BZ55" s="59">
        <f t="shared" si="36"/>
        <v>45</v>
      </c>
      <c r="CA55" s="32">
        <f>Eu_tabel_g[[#This Row],[Indeks]]+1</f>
        <v>46</v>
      </c>
      <c r="CB55" s="59">
        <f t="shared" si="37"/>
        <v>-2.0122442923883437</v>
      </c>
      <c r="CC55" s="59">
        <f t="shared" si="38"/>
        <v>5.2680912571830774E-2</v>
      </c>
      <c r="CD55" s="59" t="e">
        <f t="shared" si="39"/>
        <v>#N/A</v>
      </c>
      <c r="CE55" s="59" t="e">
        <f t="shared" si="40"/>
        <v>#N/A</v>
      </c>
      <c r="CF55" s="59" t="e">
        <f t="shared" si="41"/>
        <v>#N/A</v>
      </c>
      <c r="CG55" s="59" t="b">
        <f t="shared" si="42"/>
        <v>1</v>
      </c>
      <c r="CH55" s="59" t="b">
        <f t="shared" si="43"/>
        <v>0</v>
      </c>
      <c r="CI55" s="59" t="b">
        <f t="shared" si="44"/>
        <v>1</v>
      </c>
      <c r="CJ55" s="59" t="b">
        <f t="shared" si="45"/>
        <v>0</v>
      </c>
      <c r="CK55" s="59">
        <f t="shared" si="118"/>
        <v>5.2680912571830774E-2</v>
      </c>
      <c r="CL55" s="59">
        <f t="shared" si="47"/>
        <v>5.2680912571830774E-2</v>
      </c>
      <c r="CM55" s="59" t="e">
        <f t="shared" si="48"/>
        <v>#N/A</v>
      </c>
      <c r="CN55" s="60" t="str">
        <f t="shared" si="49"/>
        <v/>
      </c>
      <c r="CO55" s="32">
        <f>_xlfn.NORM.DIST(_xlfn.NORM.INV(1-Eu_g_konfidensniveau,0,1)-Eu_tabel_g[[#This Row],[x base]],0,1,TRUE)</f>
        <v>0.64333618328693531</v>
      </c>
      <c r="CP55" s="32">
        <f>1-_xlfn.NORM.DIST(_xlfn.NORM.INV(Eu_g_konfidensniveau,0,1)-Eu_tabel_g[[#This Row],[x base]],0,1,TRUE)</f>
        <v>1.2754347670462796E-4</v>
      </c>
      <c r="CQ55" s="32">
        <f>_xlfn.NORM.DIST(_xlfn.NORM.INV((1-Eu_g_konfidensniveau)/2,0,1)-Eu_tabel_g[[#This Row],[x base]],0,1,TRUE)+1-_xlfn.NORM.DIST(_xlfn.NORM.INV(1-(1-Eu_g_konfidensniveau)/2,0,1)-Eu_tabel_g[[#This Row],[x base]],0,1,TRUE)</f>
        <v>0.5208829327495752</v>
      </c>
      <c r="CR55" s="32" t="e" cm="1">
        <f t="array" ref="CR55">IF($CR$3,INDEX(Eu_tabel_g[[#This Row],[Styrke venstre]:[Styrke tosidet]],CR$7),NA())</f>
        <v>#N/A</v>
      </c>
      <c r="CS55" s="52" t="e">
        <f>Eu_tabel_g[[#This Row],[Falsk positiv
Nulhypotese accepteres
Fejltype 1]]</f>
        <v>#N/A</v>
      </c>
      <c r="CT55" s="52" t="e">
        <f>IF(CHOOSE(CR$7,Eu_tabel_g[[#This Row],[x base]]&gt;0,Eu_tabel_g[[#This Row],[x base]]&lt;0,Eu_tabel_g[[#This Row],[x base]]=0),Eu_tabel_g[[#This Row],[Styrke, aktiv]],NA())</f>
        <v>#N/A</v>
      </c>
      <c r="CU55" s="52" t="e">
        <f>IFERROR(IF($CR$3,Eu_tabel_g[[#This Row],[Styrke, aktiv]],NA()),NA())</f>
        <v>#N/A</v>
      </c>
      <c r="CV55" s="52" t="e">
        <f>IF(ISNA(Eu_tabel_g[[#This Row],[Sand negativ
Nulhypotese afvises
Korrekt]]),NA(),IF($CR$3,1,NA()))</f>
        <v>#N/A</v>
      </c>
      <c r="CW55" s="34" t="str" cm="1">
        <f t="array" ref="CW55">_xlfn.SWITCH(BZ55,_xlfn.IFNA(CU$2,-99),CU$5,_xlfn.IFNA(CU$3,-99),CU$6,_xlfn.IFNA(CU$4,-99),CU$7,"")</f>
        <v/>
      </c>
      <c r="DA55" s="7">
        <f t="shared" si="50"/>
        <v>0.8</v>
      </c>
      <c r="DB55">
        <f>IF(ROW(Styrkeberegning_G[[#This Row],[X base venstre]])=ROW(Styrkeberegning_G[[#Headers],[X base venstre]])+1,DB$7/(DA$7/$B$67),DB54/(DA54/$B$67))</f>
        <v>-2.8015817870135784</v>
      </c>
      <c r="DC55">
        <f>Styrkeberegning_G[[#This Row],[X base venstre]]*-1</f>
        <v>2.8015817870135784</v>
      </c>
      <c r="DN55" s="59">
        <f t="shared" si="51"/>
        <v>45</v>
      </c>
      <c r="DO55" s="32">
        <f t="shared" si="52"/>
        <v>46</v>
      </c>
      <c r="DP55" s="59">
        <f t="shared" si="53"/>
        <v>6.9670412034187352</v>
      </c>
      <c r="DQ55" s="59" t="e">
        <f t="shared" si="54"/>
        <v>#N/A</v>
      </c>
      <c r="DR55" s="59" t="e">
        <f t="shared" si="55"/>
        <v>#N/A</v>
      </c>
      <c r="DS55" s="59">
        <f t="shared" si="56"/>
        <v>8.0597614482774499E-2</v>
      </c>
      <c r="DT55" s="59" t="e">
        <f t="shared" si="57"/>
        <v>#N/A</v>
      </c>
      <c r="DU55" s="59" t="b">
        <f t="shared" si="58"/>
        <v>0</v>
      </c>
      <c r="DV55" s="59" t="b">
        <f t="shared" si="59"/>
        <v>1</v>
      </c>
      <c r="DW55" s="59" t="b">
        <f t="shared" si="60"/>
        <v>0</v>
      </c>
      <c r="DX55" s="59" t="b">
        <f t="shared" si="61"/>
        <v>1</v>
      </c>
      <c r="DY55" s="59">
        <f t="shared" si="62"/>
        <v>8.0597614482774499E-2</v>
      </c>
      <c r="DZ55" s="59" t="e">
        <f t="shared" si="63"/>
        <v>#N/A</v>
      </c>
      <c r="EA55" s="59">
        <f t="shared" si="64"/>
        <v>8.0597614482774499E-2</v>
      </c>
      <c r="EB55" s="60" t="str">
        <f t="shared" si="65"/>
        <v/>
      </c>
      <c r="EG55" s="59">
        <f t="shared" si="66"/>
        <v>45</v>
      </c>
      <c r="EH55" s="32">
        <f t="shared" si="67"/>
        <v>46</v>
      </c>
      <c r="EI55" s="59">
        <f t="shared" si="68"/>
        <v>-2.0122442923883437</v>
      </c>
      <c r="EJ55" s="59">
        <f t="shared" si="69"/>
        <v>5.2680912571830774E-2</v>
      </c>
      <c r="EK55" s="59" t="e">
        <f t="shared" si="70"/>
        <v>#N/A</v>
      </c>
      <c r="EL55" s="59" t="e">
        <f t="shared" si="71"/>
        <v>#N/A</v>
      </c>
      <c r="EM55" s="59" t="e">
        <f t="shared" si="72"/>
        <v>#N/A</v>
      </c>
      <c r="EN55" s="59" t="b">
        <f t="shared" si="73"/>
        <v>1</v>
      </c>
      <c r="EO55" s="59" t="b">
        <f t="shared" si="74"/>
        <v>0</v>
      </c>
      <c r="EP55" s="59" t="b">
        <f t="shared" si="75"/>
        <v>1</v>
      </c>
      <c r="EQ55" s="59" t="b">
        <f t="shared" si="76"/>
        <v>0</v>
      </c>
      <c r="ER55" s="59">
        <f t="shared" si="77"/>
        <v>5.2680912571830774E-2</v>
      </c>
      <c r="ES55" s="59">
        <f t="shared" si="78"/>
        <v>5.2680912571830774E-2</v>
      </c>
      <c r="ET55" s="59" t="e">
        <f t="shared" si="79"/>
        <v>#N/A</v>
      </c>
      <c r="EU55" s="60" t="str">
        <f t="shared" si="80"/>
        <v/>
      </c>
      <c r="EV5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5" s="32" t="e" cm="1">
        <f t="array" ref="EY55">IF($CR$3,INDEX(Eu_tabel_a[[#This Row],[Styrke venstre]:[Styrke tosidet]],EY$7),NA())</f>
        <v>#N/A</v>
      </c>
      <c r="EZ55" s="32" t="e">
        <f>IF(EY$3,IF(CHOOSE(EY$7,Eu_tabel_a[[#This Row],[x base]]&gt;0,Eu_tabel_a[[#This Row],[x base]]&lt;0,Eu_tabel_a[[#This Row],[x base]]=0),1,NA()),NA())</f>
        <v>#N/A</v>
      </c>
      <c r="FA55" s="32" t="e">
        <f>IF(CHOOSE(EY$7,Eu_tabel_a[[#This Row],[x base]]&gt;0,Eu_tabel_a[[#This Row],[x base]]&lt;0,Eu_tabel_a[[#This Row],[x base]]=0),Eu_tabel_a[[#This Row],[Styrke, aktiv]],NA())</f>
        <v>#N/A</v>
      </c>
      <c r="FB55" s="32" t="e">
        <f>IFERROR(IF($EY$3,Eu_tabel_a[[#This Row],[Styrke, aktiv]],NA()),NA())</f>
        <v>#N/A</v>
      </c>
      <c r="FC55" s="32" t="e">
        <f>IF(ISNA(Eu_tabel_a[[#This Row],[Sand negativ
Nulhypotese afvises
Korrekt]]),NA(),IF(EY$3,1,NA()))</f>
        <v>#N/A</v>
      </c>
      <c r="FD55" s="33" t="str" cm="1">
        <f t="array" ref="FD55">IFERROR(_xlfn.SWITCH(Eu_tabel_a[[#This Row],[Indeks]],_xlfn.IFNA(FB$2,-99),FB$5,_xlfn.IFNA(FB$3,-99),FB$6,_xlfn.IFNA(FB$4,-99),FB$7,""),"")</f>
        <v/>
      </c>
      <c r="FE55" s="32">
        <f>Eu_tabel_a[[#This Row],[x base]]*SQRT(Eu_a_h0_x*(1-Eu_a_h0_x)/Eu_a_n_x)+Eu_a_h0_x</f>
        <v>0</v>
      </c>
      <c r="FJ55" s="74" t="e">
        <f t="shared" si="18"/>
        <v>#N/A</v>
      </c>
      <c r="FK55" s="82" t="e">
        <f t="shared" si="113"/>
        <v>#DIV/0!</v>
      </c>
      <c r="FL55" s="7" t="e">
        <f t="shared" si="12"/>
        <v>#DIV/0!</v>
      </c>
      <c r="FM55" t="e">
        <f t="shared" si="114"/>
        <v>#DIV/0!</v>
      </c>
      <c r="FN55" s="8" t="e">
        <f t="shared" si="115"/>
        <v>#DIV/0!</v>
      </c>
      <c r="FO55" s="8" t="e">
        <f t="shared" si="116"/>
        <v>#DIV/0!</v>
      </c>
      <c r="FP55" s="81" t="e">
        <f t="shared" si="117"/>
        <v>#DIV/0!</v>
      </c>
      <c r="FQ55" s="74" t="e">
        <f t="shared" ca="1" si="13"/>
        <v>#N/A</v>
      </c>
      <c r="FR55" s="82" t="e" vm="3">
        <f t="shared" ca="1" si="19"/>
        <v>#VALUE!</v>
      </c>
      <c r="FS55" s="7" t="e" vm="3">
        <f t="shared" ca="1" si="14"/>
        <v>#VALUE!</v>
      </c>
      <c r="FT55" t="e" vm="3">
        <f t="shared" ca="1" si="8"/>
        <v>#VALUE!</v>
      </c>
      <c r="FU55" s="8" t="e" vm="3">
        <f t="shared" ca="1" si="9"/>
        <v>#VALUE!</v>
      </c>
      <c r="FV55" s="8" t="e" vm="3">
        <f t="shared" ca="1" si="10"/>
        <v>#VALUE!</v>
      </c>
      <c r="FW55" s="81" t="e" vm="3">
        <f t="shared" ca="1" si="11"/>
        <v>#VALUE!</v>
      </c>
      <c r="FX55" s="74" t="e">
        <f t="shared" si="15"/>
        <v>#N/A</v>
      </c>
      <c r="FY55" s="82" t="e">
        <f t="shared" si="20"/>
        <v>#N/A</v>
      </c>
      <c r="FZ55" s="7" t="e">
        <f t="shared" si="16"/>
        <v>#N/A</v>
      </c>
      <c r="GA55" t="e">
        <f t="shared" si="21"/>
        <v>#N/A</v>
      </c>
      <c r="GB55" s="8" t="e">
        <f t="shared" si="22"/>
        <v>#N/A</v>
      </c>
      <c r="GC55" s="8" t="e">
        <f t="shared" si="23"/>
        <v>#N/A</v>
      </c>
      <c r="GD55" s="81" t="e">
        <f t="shared" si="24"/>
        <v>#N/A</v>
      </c>
      <c r="GE55" s="74" t="e">
        <f t="shared" si="25"/>
        <v>#N/A</v>
      </c>
      <c r="GF55" s="82" t="e">
        <f t="shared" si="26"/>
        <v>#N/A</v>
      </c>
      <c r="GG55" s="7" t="e">
        <f t="shared" si="17"/>
        <v>#N/A</v>
      </c>
      <c r="GH55" t="e">
        <f t="shared" si="27"/>
        <v>#N/A</v>
      </c>
      <c r="GI55" s="8" t="e">
        <f t="shared" si="28"/>
        <v>#N/A</v>
      </c>
      <c r="GJ55" s="8" t="e">
        <f t="shared" si="29"/>
        <v>#N/A</v>
      </c>
      <c r="GK55" s="81" t="e">
        <f t="shared" si="30"/>
        <v>#N/A</v>
      </c>
      <c r="GL55" s="81"/>
      <c r="GM55" s="81"/>
      <c r="GP55" s="59">
        <f t="shared" si="81"/>
        <v>45</v>
      </c>
      <c r="GQ55" s="32">
        <f t="shared" si="82"/>
        <v>46</v>
      </c>
      <c r="GR55" s="59">
        <f t="shared" si="83"/>
        <v>-2.0122442923883437</v>
      </c>
      <c r="GS55" s="59">
        <f t="shared" si="84"/>
        <v>5.2680912571830774E-2</v>
      </c>
      <c r="GT55" s="59" t="e">
        <f t="shared" si="85"/>
        <v>#N/A</v>
      </c>
      <c r="GU55" s="59" t="e">
        <f t="shared" si="86"/>
        <v>#N/A</v>
      </c>
      <c r="GV55" s="59" t="e">
        <f t="shared" si="87"/>
        <v>#N/A</v>
      </c>
      <c r="GW55" s="59" t="b">
        <f t="shared" si="88"/>
        <v>1</v>
      </c>
      <c r="GX55" s="59" t="b">
        <f t="shared" si="89"/>
        <v>0</v>
      </c>
      <c r="GY55" s="59" t="b">
        <f t="shared" si="90"/>
        <v>1</v>
      </c>
      <c r="GZ55" s="59" t="b">
        <f t="shared" si="91"/>
        <v>0</v>
      </c>
      <c r="HA55" s="59">
        <f t="shared" si="92"/>
        <v>5.2680912571830774E-2</v>
      </c>
      <c r="HB55" s="59">
        <f t="shared" si="93"/>
        <v>5.2680912571830774E-2</v>
      </c>
      <c r="HC55" s="59" t="e">
        <f t="shared" si="94"/>
        <v>#N/A</v>
      </c>
      <c r="HD55" s="60" t="str">
        <f t="shared" si="95"/>
        <v/>
      </c>
      <c r="HJ55" s="59">
        <f t="shared" si="96"/>
        <v>45</v>
      </c>
      <c r="HK55" s="32">
        <f t="shared" si="97"/>
        <v>46</v>
      </c>
      <c r="HL55" s="59">
        <f t="shared" si="98"/>
        <v>-3.116002548880775</v>
      </c>
      <c r="HM55" s="59" t="e">
        <f t="shared" si="99"/>
        <v>#N/A</v>
      </c>
      <c r="HN55" s="59">
        <f t="shared" si="100"/>
        <v>1.1857478614188162E-2</v>
      </c>
      <c r="HO55" s="59" t="e">
        <f t="shared" si="101"/>
        <v>#N/A</v>
      </c>
      <c r="HP55" s="59" t="e">
        <f t="shared" si="102"/>
        <v>#N/A</v>
      </c>
      <c r="HQ55" s="59" t="b">
        <f t="shared" si="103"/>
        <v>1</v>
      </c>
      <c r="HR55" s="59" t="b">
        <f t="shared" si="104"/>
        <v>0</v>
      </c>
      <c r="HS55" s="59" t="b">
        <f t="shared" si="105"/>
        <v>1</v>
      </c>
      <c r="HT55" s="59" t="b">
        <f t="shared" si="106"/>
        <v>0</v>
      </c>
      <c r="HU55" s="59">
        <f t="shared" si="107"/>
        <v>1.1857478614188162E-2</v>
      </c>
      <c r="HV55" s="59">
        <f t="shared" si="108"/>
        <v>1.1857478614188162E-2</v>
      </c>
      <c r="HW55" s="59" t="e">
        <f t="shared" si="109"/>
        <v>#N/A</v>
      </c>
      <c r="HX55" s="60" t="str">
        <f t="shared" si="110"/>
        <v/>
      </c>
    </row>
    <row r="56" spans="58:232" x14ac:dyDescent="0.2">
      <c r="BZ56" s="59">
        <f t="shared" si="36"/>
        <v>46</v>
      </c>
      <c r="CA56" s="32">
        <f>Eu_tabel_g[[#This Row],[Indeks]]+1</f>
        <v>47</v>
      </c>
      <c r="CB56" s="59">
        <f t="shared" si="37"/>
        <v>-1.9882890031932441</v>
      </c>
      <c r="CC56" s="59">
        <f t="shared" si="38"/>
        <v>5.5266678363017151E-2</v>
      </c>
      <c r="CD56" s="59" t="e">
        <f t="shared" si="39"/>
        <v>#N/A</v>
      </c>
      <c r="CE56" s="59" t="e">
        <f t="shared" si="40"/>
        <v>#N/A</v>
      </c>
      <c r="CF56" s="59" t="e">
        <f t="shared" si="41"/>
        <v>#N/A</v>
      </c>
      <c r="CG56" s="59" t="b">
        <f t="shared" si="42"/>
        <v>1</v>
      </c>
      <c r="CH56" s="59" t="b">
        <f t="shared" si="43"/>
        <v>0</v>
      </c>
      <c r="CI56" s="59" t="b">
        <f t="shared" si="44"/>
        <v>1</v>
      </c>
      <c r="CJ56" s="59" t="b">
        <f t="shared" si="45"/>
        <v>0</v>
      </c>
      <c r="CK56" s="59">
        <f t="shared" si="118"/>
        <v>5.5266678363017151E-2</v>
      </c>
      <c r="CL56" s="59">
        <f t="shared" si="47"/>
        <v>5.5266678363017151E-2</v>
      </c>
      <c r="CM56" s="59" t="e">
        <f t="shared" si="48"/>
        <v>#N/A</v>
      </c>
      <c r="CN56" s="60" t="str">
        <f t="shared" si="49"/>
        <v/>
      </c>
      <c r="CO56" s="32">
        <f>_xlfn.NORM.DIST(_xlfn.NORM.INV(1-Eu_g_konfidensniveau,0,1)-Eu_tabel_g[[#This Row],[x base]],0,1,TRUE)</f>
        <v>0.63436452515844188</v>
      </c>
      <c r="CP56" s="32">
        <f>1-_xlfn.NORM.DIST(_xlfn.NORM.INV(Eu_g_konfidensniveau,0,1)-Eu_tabel_g[[#This Row],[x base]],0,1,TRUE)</f>
        <v>1.3999507188600102E-4</v>
      </c>
      <c r="CQ56" s="32">
        <f>_xlfn.NORM.DIST(_xlfn.NORM.INV((1-Eu_g_konfidensniveau)/2,0,1)-Eu_tabel_g[[#This Row],[x base]],0,1,TRUE)+1-_xlfn.NORM.DIST(_xlfn.NORM.INV(1-(1-Eu_g_konfidensniveau)/2,0,1)-Eu_tabel_g[[#This Row],[x base]],0,1,TRUE)</f>
        <v>0.51133789849221656</v>
      </c>
      <c r="CR56" s="32" t="e" cm="1">
        <f t="array" ref="CR56">IF($CR$3,INDEX(Eu_tabel_g[[#This Row],[Styrke venstre]:[Styrke tosidet]],CR$7),NA())</f>
        <v>#N/A</v>
      </c>
      <c r="CS56" s="52" t="e">
        <f>Eu_tabel_g[[#This Row],[Falsk positiv
Nulhypotese accepteres
Fejltype 1]]</f>
        <v>#N/A</v>
      </c>
      <c r="CT56" s="52" t="e">
        <f>IF(CHOOSE(CR$7,Eu_tabel_g[[#This Row],[x base]]&gt;0,Eu_tabel_g[[#This Row],[x base]]&lt;0,Eu_tabel_g[[#This Row],[x base]]=0),Eu_tabel_g[[#This Row],[Styrke, aktiv]],NA())</f>
        <v>#N/A</v>
      </c>
      <c r="CU56" s="52" t="e">
        <f>IFERROR(IF($CR$3,Eu_tabel_g[[#This Row],[Styrke, aktiv]],NA()),NA())</f>
        <v>#N/A</v>
      </c>
      <c r="CV56" s="52" t="e">
        <f>IF(ISNA(Eu_tabel_g[[#This Row],[Sand negativ
Nulhypotese afvises
Korrekt]]),NA(),IF($CR$3,1,NA()))</f>
        <v>#N/A</v>
      </c>
      <c r="CW56" s="34" t="str" cm="1">
        <f t="array" ref="CW56">_xlfn.SWITCH(BZ56,_xlfn.IFNA(CU$2,-99),CU$5,_xlfn.IFNA(CU$3,-99),CU$6,_xlfn.IFNA(CU$4,-99),CU$7,"")</f>
        <v/>
      </c>
      <c r="DA56" s="7">
        <f t="shared" si="50"/>
        <v>0.8</v>
      </c>
      <c r="DB56">
        <f>IF(ROW(Styrkeberegning_G[[#This Row],[X base venstre]])=ROW(Styrkeberegning_G[[#Headers],[X base venstre]])+1,DB$7/(DA$7/$B$67),DB55/(DA55/$B$67))</f>
        <v>-2.8015817870135784</v>
      </c>
      <c r="DC56">
        <f>Styrkeberegning_G[[#This Row],[X base venstre]]*-1</f>
        <v>2.8015817870135784</v>
      </c>
      <c r="DN56" s="59">
        <f t="shared" si="51"/>
        <v>46</v>
      </c>
      <c r="DO56" s="32">
        <f t="shared" si="52"/>
        <v>47</v>
      </c>
      <c r="DP56" s="59">
        <f t="shared" si="53"/>
        <v>7.0811120598357364</v>
      </c>
      <c r="DQ56" s="59" t="e">
        <f t="shared" si="54"/>
        <v>#N/A</v>
      </c>
      <c r="DR56" s="59" t="e">
        <f t="shared" si="55"/>
        <v>#N/A</v>
      </c>
      <c r="DS56" s="59">
        <f t="shared" si="56"/>
        <v>8.1901322234579216E-2</v>
      </c>
      <c r="DT56" s="59" t="e">
        <f t="shared" si="57"/>
        <v>#N/A</v>
      </c>
      <c r="DU56" s="59" t="b">
        <f t="shared" si="58"/>
        <v>0</v>
      </c>
      <c r="DV56" s="59" t="b">
        <f t="shared" si="59"/>
        <v>1</v>
      </c>
      <c r="DW56" s="59" t="b">
        <f t="shared" si="60"/>
        <v>0</v>
      </c>
      <c r="DX56" s="59" t="b">
        <f t="shared" si="61"/>
        <v>1</v>
      </c>
      <c r="DY56" s="59">
        <f t="shared" si="62"/>
        <v>8.1901322234579216E-2</v>
      </c>
      <c r="DZ56" s="59" t="e">
        <f t="shared" si="63"/>
        <v>#N/A</v>
      </c>
      <c r="EA56" s="59">
        <f t="shared" si="64"/>
        <v>8.1901322234579216E-2</v>
      </c>
      <c r="EB56" s="60" t="str">
        <f t="shared" si="65"/>
        <v/>
      </c>
      <c r="EG56" s="59">
        <f t="shared" si="66"/>
        <v>46</v>
      </c>
      <c r="EH56" s="32">
        <f t="shared" si="67"/>
        <v>47</v>
      </c>
      <c r="EI56" s="59">
        <f t="shared" si="68"/>
        <v>-1.9882890031932441</v>
      </c>
      <c r="EJ56" s="59">
        <f t="shared" si="69"/>
        <v>5.5266678363017151E-2</v>
      </c>
      <c r="EK56" s="59" t="e">
        <f t="shared" si="70"/>
        <v>#N/A</v>
      </c>
      <c r="EL56" s="59" t="e">
        <f t="shared" si="71"/>
        <v>#N/A</v>
      </c>
      <c r="EM56" s="59" t="e">
        <f t="shared" si="72"/>
        <v>#N/A</v>
      </c>
      <c r="EN56" s="59" t="b">
        <f t="shared" si="73"/>
        <v>1</v>
      </c>
      <c r="EO56" s="59" t="b">
        <f t="shared" si="74"/>
        <v>0</v>
      </c>
      <c r="EP56" s="59" t="b">
        <f t="shared" si="75"/>
        <v>1</v>
      </c>
      <c r="EQ56" s="59" t="b">
        <f t="shared" si="76"/>
        <v>0</v>
      </c>
      <c r="ER56" s="59">
        <f t="shared" si="77"/>
        <v>5.5266678363017151E-2</v>
      </c>
      <c r="ES56" s="59">
        <f t="shared" si="78"/>
        <v>5.5266678363017151E-2</v>
      </c>
      <c r="ET56" s="59" t="e">
        <f t="shared" si="79"/>
        <v>#N/A</v>
      </c>
      <c r="EU56" s="60" t="str">
        <f t="shared" si="80"/>
        <v/>
      </c>
      <c r="EV5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6" s="32" t="e" cm="1">
        <f t="array" ref="EY56">IF($CR$3,INDEX(Eu_tabel_a[[#This Row],[Styrke venstre]:[Styrke tosidet]],EY$7),NA())</f>
        <v>#N/A</v>
      </c>
      <c r="EZ56" s="32" t="e">
        <f>IF(EY$3,IF(CHOOSE(EY$7,Eu_tabel_a[[#This Row],[x base]]&gt;0,Eu_tabel_a[[#This Row],[x base]]&lt;0,Eu_tabel_a[[#This Row],[x base]]=0),1,NA()),NA())</f>
        <v>#N/A</v>
      </c>
      <c r="FA56" s="32" t="e">
        <f>IF(CHOOSE(EY$7,Eu_tabel_a[[#This Row],[x base]]&gt;0,Eu_tabel_a[[#This Row],[x base]]&lt;0,Eu_tabel_a[[#This Row],[x base]]=0),Eu_tabel_a[[#This Row],[Styrke, aktiv]],NA())</f>
        <v>#N/A</v>
      </c>
      <c r="FB56" s="32" t="e">
        <f>IFERROR(IF($EY$3,Eu_tabel_a[[#This Row],[Styrke, aktiv]],NA()),NA())</f>
        <v>#N/A</v>
      </c>
      <c r="FC56" s="32" t="e">
        <f>IF(ISNA(Eu_tabel_a[[#This Row],[Sand negativ
Nulhypotese afvises
Korrekt]]),NA(),IF(EY$3,1,NA()))</f>
        <v>#N/A</v>
      </c>
      <c r="FD56" s="33" t="str" cm="1">
        <f t="array" ref="FD56">IFERROR(_xlfn.SWITCH(Eu_tabel_a[[#This Row],[Indeks]],_xlfn.IFNA(FB$2,-99),FB$5,_xlfn.IFNA(FB$3,-99),FB$6,_xlfn.IFNA(FB$4,-99),FB$7,""),"")</f>
        <v/>
      </c>
      <c r="FE56" s="32">
        <f>Eu_tabel_a[[#This Row],[x base]]*SQRT(Eu_a_h0_x*(1-Eu_a_h0_x)/Eu_a_n_x)+Eu_a_h0_x</f>
        <v>0</v>
      </c>
      <c r="FJ56" s="74" t="e">
        <f t="shared" si="18"/>
        <v>#N/A</v>
      </c>
      <c r="FK56" s="82" t="e">
        <f t="shared" si="113"/>
        <v>#DIV/0!</v>
      </c>
      <c r="FL56" s="7" t="e">
        <f t="shared" si="12"/>
        <v>#DIV/0!</v>
      </c>
      <c r="FM56" t="e">
        <f t="shared" si="114"/>
        <v>#DIV/0!</v>
      </c>
      <c r="FN56" s="8" t="e">
        <f t="shared" si="115"/>
        <v>#DIV/0!</v>
      </c>
      <c r="FO56" s="8" t="e">
        <f t="shared" si="116"/>
        <v>#DIV/0!</v>
      </c>
      <c r="FP56" s="81" t="e">
        <f t="shared" si="117"/>
        <v>#DIV/0!</v>
      </c>
      <c r="FQ56" s="74" t="e">
        <f t="shared" ca="1" si="13"/>
        <v>#N/A</v>
      </c>
      <c r="FR56" s="82" t="e" vm="3">
        <f t="shared" ca="1" si="19"/>
        <v>#VALUE!</v>
      </c>
      <c r="FS56" s="7" t="e" vm="3">
        <f t="shared" ca="1" si="14"/>
        <v>#VALUE!</v>
      </c>
      <c r="FT56" t="e" vm="3">
        <f t="shared" ca="1" si="8"/>
        <v>#VALUE!</v>
      </c>
      <c r="FU56" s="8" t="e" vm="3">
        <f t="shared" ca="1" si="9"/>
        <v>#VALUE!</v>
      </c>
      <c r="FV56" s="8" t="e" vm="3">
        <f t="shared" ca="1" si="10"/>
        <v>#VALUE!</v>
      </c>
      <c r="FW56" s="81" t="e" vm="3">
        <f t="shared" ca="1" si="11"/>
        <v>#VALUE!</v>
      </c>
      <c r="FX56" s="74" t="e">
        <f t="shared" si="15"/>
        <v>#N/A</v>
      </c>
      <c r="FY56" s="82" t="e">
        <f t="shared" si="20"/>
        <v>#N/A</v>
      </c>
      <c r="FZ56" s="7" t="e">
        <f t="shared" si="16"/>
        <v>#N/A</v>
      </c>
      <c r="GA56" t="e">
        <f t="shared" si="21"/>
        <v>#N/A</v>
      </c>
      <c r="GB56" s="8" t="e">
        <f t="shared" si="22"/>
        <v>#N/A</v>
      </c>
      <c r="GC56" s="8" t="e">
        <f t="shared" si="23"/>
        <v>#N/A</v>
      </c>
      <c r="GD56" s="81" t="e">
        <f t="shared" si="24"/>
        <v>#N/A</v>
      </c>
      <c r="GE56" s="74" t="e">
        <f t="shared" si="25"/>
        <v>#N/A</v>
      </c>
      <c r="GF56" s="82" t="e">
        <f t="shared" si="26"/>
        <v>#N/A</v>
      </c>
      <c r="GG56" s="7" t="e">
        <f t="shared" si="17"/>
        <v>#N/A</v>
      </c>
      <c r="GH56" t="e">
        <f t="shared" si="27"/>
        <v>#N/A</v>
      </c>
      <c r="GI56" s="8" t="e">
        <f t="shared" si="28"/>
        <v>#N/A</v>
      </c>
      <c r="GJ56" s="8" t="e">
        <f t="shared" si="29"/>
        <v>#N/A</v>
      </c>
      <c r="GK56" s="81" t="e">
        <f t="shared" si="30"/>
        <v>#N/A</v>
      </c>
      <c r="GL56" s="81"/>
      <c r="GM56" s="81"/>
      <c r="GP56" s="59">
        <f t="shared" si="81"/>
        <v>46</v>
      </c>
      <c r="GQ56" s="32">
        <f t="shared" si="82"/>
        <v>47</v>
      </c>
      <c r="GR56" s="59">
        <f t="shared" si="83"/>
        <v>-1.9882890031932441</v>
      </c>
      <c r="GS56" s="59">
        <f t="shared" si="84"/>
        <v>5.5266678363017151E-2</v>
      </c>
      <c r="GT56" s="59" t="e">
        <f t="shared" si="85"/>
        <v>#N/A</v>
      </c>
      <c r="GU56" s="59" t="e">
        <f t="shared" si="86"/>
        <v>#N/A</v>
      </c>
      <c r="GV56" s="59" t="e">
        <f t="shared" si="87"/>
        <v>#N/A</v>
      </c>
      <c r="GW56" s="59" t="b">
        <f t="shared" si="88"/>
        <v>1</v>
      </c>
      <c r="GX56" s="59" t="b">
        <f t="shared" si="89"/>
        <v>0</v>
      </c>
      <c r="GY56" s="59" t="b">
        <f t="shared" si="90"/>
        <v>1</v>
      </c>
      <c r="GZ56" s="59" t="b">
        <f t="shared" si="91"/>
        <v>0</v>
      </c>
      <c r="HA56" s="59">
        <f t="shared" si="92"/>
        <v>5.5266678363017151E-2</v>
      </c>
      <c r="HB56" s="59">
        <f t="shared" si="93"/>
        <v>5.5266678363017151E-2</v>
      </c>
      <c r="HC56" s="59" t="e">
        <f t="shared" si="94"/>
        <v>#N/A</v>
      </c>
      <c r="HD56" s="60" t="str">
        <f t="shared" si="95"/>
        <v/>
      </c>
      <c r="HJ56" s="59">
        <f t="shared" si="96"/>
        <v>46</v>
      </c>
      <c r="HK56" s="32">
        <f t="shared" si="97"/>
        <v>47</v>
      </c>
      <c r="HL56" s="59">
        <f t="shared" si="98"/>
        <v>-3.0789072804417179</v>
      </c>
      <c r="HM56" s="59" t="e">
        <f t="shared" si="99"/>
        <v>#N/A</v>
      </c>
      <c r="HN56" s="59">
        <f t="shared" si="100"/>
        <v>1.2532831418244374E-2</v>
      </c>
      <c r="HO56" s="59" t="e">
        <f t="shared" si="101"/>
        <v>#N/A</v>
      </c>
      <c r="HP56" s="59" t="e">
        <f t="shared" si="102"/>
        <v>#N/A</v>
      </c>
      <c r="HQ56" s="59" t="b">
        <f t="shared" si="103"/>
        <v>1</v>
      </c>
      <c r="HR56" s="59" t="b">
        <f t="shared" si="104"/>
        <v>0</v>
      </c>
      <c r="HS56" s="59" t="b">
        <f t="shared" si="105"/>
        <v>1</v>
      </c>
      <c r="HT56" s="59" t="b">
        <f t="shared" si="106"/>
        <v>0</v>
      </c>
      <c r="HU56" s="59">
        <f t="shared" si="107"/>
        <v>1.2532831418244374E-2</v>
      </c>
      <c r="HV56" s="59">
        <f t="shared" si="108"/>
        <v>1.2532831418244374E-2</v>
      </c>
      <c r="HW56" s="59" t="e">
        <f t="shared" si="109"/>
        <v>#N/A</v>
      </c>
      <c r="HX56" s="60" t="str">
        <f t="shared" si="110"/>
        <v/>
      </c>
    </row>
    <row r="57" spans="58:232" x14ac:dyDescent="0.2">
      <c r="BL57" s="53" t="s">
        <v>42</v>
      </c>
      <c r="BM57" s="86" t="str" cm="1">
        <f t="array" ref="BM57">INDEX(E_k_valg[Parameter],E_k_aktiv)</f>
        <v>Koefficient i regressionsmodel</v>
      </c>
      <c r="BZ57" s="59">
        <f t="shared" si="36"/>
        <v>47</v>
      </c>
      <c r="CA57" s="32">
        <f>Eu_tabel_g[[#This Row],[Indeks]]+1</f>
        <v>48</v>
      </c>
      <c r="CB57" s="59">
        <f t="shared" si="37"/>
        <v>-1.9643337139981449</v>
      </c>
      <c r="CC57" s="59">
        <f t="shared" si="38"/>
        <v>5.7946100444885101E-2</v>
      </c>
      <c r="CD57" s="59" t="e">
        <f t="shared" si="39"/>
        <v>#N/A</v>
      </c>
      <c r="CE57" s="59" t="e">
        <f t="shared" si="40"/>
        <v>#N/A</v>
      </c>
      <c r="CF57" s="59" t="e">
        <f t="shared" si="41"/>
        <v>#N/A</v>
      </c>
      <c r="CG57" s="59" t="b">
        <f t="shared" si="42"/>
        <v>1</v>
      </c>
      <c r="CH57" s="59" t="b">
        <f t="shared" si="43"/>
        <v>0</v>
      </c>
      <c r="CI57" s="59" t="b">
        <f t="shared" si="44"/>
        <v>1</v>
      </c>
      <c r="CJ57" s="59" t="b">
        <f t="shared" si="45"/>
        <v>0</v>
      </c>
      <c r="CK57" s="59">
        <f t="shared" si="118"/>
        <v>5.7946100444885101E-2</v>
      </c>
      <c r="CL57" s="59">
        <f t="shared" si="47"/>
        <v>5.7946100444885101E-2</v>
      </c>
      <c r="CM57" s="59" t="e">
        <f t="shared" si="48"/>
        <v>#N/A</v>
      </c>
      <c r="CN57" s="60">
        <f t="shared" si="49"/>
        <v>-0.58299999999999996</v>
      </c>
      <c r="CO57" s="32">
        <f>_xlfn.NORM.DIST(_xlfn.NORM.INV(1-Eu_g_konfidensniveau,0,1)-Eu_tabel_g[[#This Row],[x base]],0,1,TRUE)</f>
        <v>0.62531875545814997</v>
      </c>
      <c r="CP57" s="32">
        <f>1-_xlfn.NORM.DIST(_xlfn.NORM.INV(Eu_g_konfidensniveau,0,1)-Eu_tabel_g[[#This Row],[x base]],0,1,TRUE)</f>
        <v>1.5357886721900638E-4</v>
      </c>
      <c r="CQ57" s="32">
        <f>_xlfn.NORM.DIST(_xlfn.NORM.INV((1-Eu_g_konfidensniveau)/2,0,1)-Eu_tabel_g[[#This Row],[x base]],0,1,TRUE)+1-_xlfn.NORM.DIST(_xlfn.NORM.INV(1-(1-Eu_g_konfidensniveau)/2,0,1)-Eu_tabel_g[[#This Row],[x base]],0,1,TRUE)</f>
        <v>0.50178675584621901</v>
      </c>
      <c r="CR57" s="32" t="e" cm="1">
        <f t="array" ref="CR57">IF($CR$3,INDEX(Eu_tabel_g[[#This Row],[Styrke venstre]:[Styrke tosidet]],CR$7),NA())</f>
        <v>#N/A</v>
      </c>
      <c r="CS57" s="52" t="e">
        <f>Eu_tabel_g[[#This Row],[Falsk positiv
Nulhypotese accepteres
Fejltype 1]]</f>
        <v>#N/A</v>
      </c>
      <c r="CT57" s="52" t="e">
        <f>IF(CHOOSE(CR$7,Eu_tabel_g[[#This Row],[x base]]&gt;0,Eu_tabel_g[[#This Row],[x base]]&lt;0,Eu_tabel_g[[#This Row],[x base]]=0),Eu_tabel_g[[#This Row],[Styrke, aktiv]],NA())</f>
        <v>#N/A</v>
      </c>
      <c r="CU57" s="52" t="e">
        <f>IFERROR(IF($CR$3,Eu_tabel_g[[#This Row],[Styrke, aktiv]],NA()),NA())</f>
        <v>#N/A</v>
      </c>
      <c r="CV57" s="52" t="e">
        <f>IF(ISNA(Eu_tabel_g[[#This Row],[Sand negativ
Nulhypotese afvises
Korrekt]]),NA(),IF($CR$3,1,NA()))</f>
        <v>#N/A</v>
      </c>
      <c r="CW57" s="34" t="str" cm="1">
        <f t="array" ref="CW57">_xlfn.SWITCH(BZ57,_xlfn.IFNA(CU$2,-99),CU$5,_xlfn.IFNA(CU$3,-99),CU$6,_xlfn.IFNA(CU$4,-99),CU$7,"")</f>
        <v/>
      </c>
      <c r="DA57" s="7">
        <f t="shared" si="50"/>
        <v>0.8</v>
      </c>
      <c r="DB57">
        <f>IF(ROW(Styrkeberegning_G[[#This Row],[X base venstre]])=ROW(Styrkeberegning_G[[#Headers],[X base venstre]])+1,DB$7/(DA$7/$B$67),DB56/(DA56/$B$67))</f>
        <v>-2.8015817870135784</v>
      </c>
      <c r="DC57">
        <f>Styrkeberegning_G[[#This Row],[X base venstre]]*-1</f>
        <v>2.8015817870135784</v>
      </c>
      <c r="DN57" s="59">
        <f t="shared" si="51"/>
        <v>47</v>
      </c>
      <c r="DO57" s="32">
        <f t="shared" si="52"/>
        <v>48</v>
      </c>
      <c r="DP57" s="59">
        <f t="shared" si="53"/>
        <v>7.1951829162527376</v>
      </c>
      <c r="DQ57" s="59" t="e">
        <f t="shared" si="54"/>
        <v>#N/A</v>
      </c>
      <c r="DR57" s="59" t="e">
        <f t="shared" si="55"/>
        <v>#N/A</v>
      </c>
      <c r="DS57" s="59">
        <f t="shared" si="56"/>
        <v>8.3128972917823465E-2</v>
      </c>
      <c r="DT57" s="59" t="e">
        <f t="shared" si="57"/>
        <v>#N/A</v>
      </c>
      <c r="DU57" s="59" t="b">
        <f t="shared" si="58"/>
        <v>0</v>
      </c>
      <c r="DV57" s="59" t="b">
        <f t="shared" si="59"/>
        <v>1</v>
      </c>
      <c r="DW57" s="59" t="b">
        <f t="shared" si="60"/>
        <v>0</v>
      </c>
      <c r="DX57" s="59" t="b">
        <f t="shared" si="61"/>
        <v>1</v>
      </c>
      <c r="DY57" s="59">
        <f t="shared" si="62"/>
        <v>8.3128972917823465E-2</v>
      </c>
      <c r="DZ57" s="59" t="e">
        <f t="shared" si="63"/>
        <v>#N/A</v>
      </c>
      <c r="EA57" s="59">
        <f t="shared" si="64"/>
        <v>8.3128972917823465E-2</v>
      </c>
      <c r="EB57" s="60" t="str">
        <f t="shared" si="65"/>
        <v/>
      </c>
      <c r="EG57" s="59">
        <f t="shared" si="66"/>
        <v>47</v>
      </c>
      <c r="EH57" s="32">
        <f t="shared" si="67"/>
        <v>48</v>
      </c>
      <c r="EI57" s="59">
        <f t="shared" si="68"/>
        <v>-1.9643337139981449</v>
      </c>
      <c r="EJ57" s="59">
        <f t="shared" si="69"/>
        <v>5.7946100444885101E-2</v>
      </c>
      <c r="EK57" s="59" t="e">
        <f t="shared" si="70"/>
        <v>#N/A</v>
      </c>
      <c r="EL57" s="59" t="e">
        <f t="shared" si="71"/>
        <v>#N/A</v>
      </c>
      <c r="EM57" s="59" t="e">
        <f t="shared" si="72"/>
        <v>#N/A</v>
      </c>
      <c r="EN57" s="59" t="b">
        <f t="shared" si="73"/>
        <v>1</v>
      </c>
      <c r="EO57" s="59" t="b">
        <f t="shared" si="74"/>
        <v>0</v>
      </c>
      <c r="EP57" s="59" t="b">
        <f t="shared" si="75"/>
        <v>1</v>
      </c>
      <c r="EQ57" s="59" t="b">
        <f t="shared" si="76"/>
        <v>0</v>
      </c>
      <c r="ER57" s="59">
        <f t="shared" si="77"/>
        <v>5.7946100444885101E-2</v>
      </c>
      <c r="ES57" s="59">
        <f t="shared" si="78"/>
        <v>5.7946100444885101E-2</v>
      </c>
      <c r="ET57" s="59" t="e">
        <f t="shared" si="79"/>
        <v>#N/A</v>
      </c>
      <c r="EU57" s="60" t="str">
        <f t="shared" si="80"/>
        <v>20.06%</v>
      </c>
      <c r="EV5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7" s="32" t="e" cm="1">
        <f t="array" ref="EY57">IF($CR$3,INDEX(Eu_tabel_a[[#This Row],[Styrke venstre]:[Styrke tosidet]],EY$7),NA())</f>
        <v>#N/A</v>
      </c>
      <c r="EZ57" s="32" t="e">
        <f>IF(EY$3,IF(CHOOSE(EY$7,Eu_tabel_a[[#This Row],[x base]]&gt;0,Eu_tabel_a[[#This Row],[x base]]&lt;0,Eu_tabel_a[[#This Row],[x base]]=0),1,NA()),NA())</f>
        <v>#N/A</v>
      </c>
      <c r="FA57" s="32" t="e">
        <f>IF(CHOOSE(EY$7,Eu_tabel_a[[#This Row],[x base]]&gt;0,Eu_tabel_a[[#This Row],[x base]]&lt;0,Eu_tabel_a[[#This Row],[x base]]=0),Eu_tabel_a[[#This Row],[Styrke, aktiv]],NA())</f>
        <v>#N/A</v>
      </c>
      <c r="FB57" s="32" t="e">
        <f>IFERROR(IF($EY$3,Eu_tabel_a[[#This Row],[Styrke, aktiv]],NA()),NA())</f>
        <v>#N/A</v>
      </c>
      <c r="FC57" s="32" t="e">
        <f>IF(ISNA(Eu_tabel_a[[#This Row],[Sand negativ
Nulhypotese afvises
Korrekt]]),NA(),IF(EY$3,1,NA()))</f>
        <v>#N/A</v>
      </c>
      <c r="FD57" s="33" t="str" cm="1">
        <f t="array" ref="FD57">IFERROR(_xlfn.SWITCH(Eu_tabel_a[[#This Row],[Indeks]],_xlfn.IFNA(FB$2,-99),FB$5,_xlfn.IFNA(FB$3,-99),FB$6,_xlfn.IFNA(FB$4,-99),FB$7,""),"")</f>
        <v/>
      </c>
      <c r="FE57" s="32">
        <f>Eu_tabel_a[[#This Row],[x base]]*SQRT(Eu_a_h0_x*(1-Eu_a_h0_x)/Eu_a_n_x)+Eu_a_h0_x</f>
        <v>0</v>
      </c>
      <c r="FJ57" s="74" t="e">
        <f t="shared" si="18"/>
        <v>#N/A</v>
      </c>
      <c r="FK57" s="82" t="e">
        <f t="shared" si="113"/>
        <v>#DIV/0!</v>
      </c>
      <c r="FL57" s="7" t="e">
        <f t="shared" si="12"/>
        <v>#DIV/0!</v>
      </c>
      <c r="FM57" t="e">
        <f t="shared" si="114"/>
        <v>#DIV/0!</v>
      </c>
      <c r="FN57" s="8" t="e">
        <f t="shared" si="115"/>
        <v>#DIV/0!</v>
      </c>
      <c r="FO57" s="8" t="e">
        <f t="shared" si="116"/>
        <v>#DIV/0!</v>
      </c>
      <c r="FP57" s="81" t="e">
        <f t="shared" si="117"/>
        <v>#DIV/0!</v>
      </c>
      <c r="FQ57" s="74" t="e">
        <f t="shared" ca="1" si="13"/>
        <v>#N/A</v>
      </c>
      <c r="FR57" s="82" t="e" vm="3">
        <f t="shared" ca="1" si="19"/>
        <v>#VALUE!</v>
      </c>
      <c r="FS57" s="7" t="e" vm="3">
        <f t="shared" ca="1" si="14"/>
        <v>#VALUE!</v>
      </c>
      <c r="FT57" t="e" vm="3">
        <f t="shared" ca="1" si="8"/>
        <v>#VALUE!</v>
      </c>
      <c r="FU57" s="8" t="e" vm="3">
        <f t="shared" ca="1" si="9"/>
        <v>#VALUE!</v>
      </c>
      <c r="FV57" s="8" t="e" vm="3">
        <f t="shared" ca="1" si="10"/>
        <v>#VALUE!</v>
      </c>
      <c r="FW57" s="81" t="e" vm="3">
        <f t="shared" ca="1" si="11"/>
        <v>#VALUE!</v>
      </c>
      <c r="FX57" s="74" t="e">
        <f t="shared" si="15"/>
        <v>#N/A</v>
      </c>
      <c r="FY57" s="82" t="e">
        <f t="shared" si="20"/>
        <v>#N/A</v>
      </c>
      <c r="FZ57" s="7" t="e">
        <f t="shared" si="16"/>
        <v>#N/A</v>
      </c>
      <c r="GA57" t="e">
        <f t="shared" si="21"/>
        <v>#N/A</v>
      </c>
      <c r="GB57" s="8" t="e">
        <f t="shared" si="22"/>
        <v>#N/A</v>
      </c>
      <c r="GC57" s="8" t="e">
        <f t="shared" si="23"/>
        <v>#N/A</v>
      </c>
      <c r="GD57" s="81" t="e">
        <f t="shared" si="24"/>
        <v>#N/A</v>
      </c>
      <c r="GE57" s="74" t="e">
        <f t="shared" si="25"/>
        <v>#N/A</v>
      </c>
      <c r="GF57" s="82" t="e">
        <f t="shared" si="26"/>
        <v>#N/A</v>
      </c>
      <c r="GG57" s="7" t="e">
        <f t="shared" si="17"/>
        <v>#N/A</v>
      </c>
      <c r="GH57" t="e">
        <f t="shared" si="27"/>
        <v>#N/A</v>
      </c>
      <c r="GI57" s="8" t="e">
        <f t="shared" si="28"/>
        <v>#N/A</v>
      </c>
      <c r="GJ57" s="8" t="e">
        <f t="shared" si="29"/>
        <v>#N/A</v>
      </c>
      <c r="GK57" s="81" t="e">
        <f t="shared" si="30"/>
        <v>#N/A</v>
      </c>
      <c r="GL57" s="81"/>
      <c r="GM57" s="81"/>
      <c r="GP57" s="59">
        <f t="shared" si="81"/>
        <v>47</v>
      </c>
      <c r="GQ57" s="32">
        <f t="shared" si="82"/>
        <v>48</v>
      </c>
      <c r="GR57" s="59">
        <f t="shared" si="83"/>
        <v>-1.9643337139981449</v>
      </c>
      <c r="GS57" s="59">
        <f t="shared" si="84"/>
        <v>5.7946100444885101E-2</v>
      </c>
      <c r="GT57" s="59" t="e">
        <f t="shared" si="85"/>
        <v>#N/A</v>
      </c>
      <c r="GU57" s="59" t="e">
        <f t="shared" si="86"/>
        <v>#N/A</v>
      </c>
      <c r="GV57" s="59" t="e">
        <f t="shared" si="87"/>
        <v>#N/A</v>
      </c>
      <c r="GW57" s="59" t="b">
        <f t="shared" si="88"/>
        <v>1</v>
      </c>
      <c r="GX57" s="59" t="b">
        <f t="shared" si="89"/>
        <v>0</v>
      </c>
      <c r="GY57" s="59" t="b">
        <f t="shared" si="90"/>
        <v>1</v>
      </c>
      <c r="GZ57" s="59" t="b">
        <f t="shared" si="91"/>
        <v>0</v>
      </c>
      <c r="HA57" s="59">
        <f t="shared" si="92"/>
        <v>5.7946100444885101E-2</v>
      </c>
      <c r="HB57" s="59">
        <f t="shared" si="93"/>
        <v>5.7946100444885101E-2</v>
      </c>
      <c r="HC57" s="59" t="e">
        <f t="shared" si="94"/>
        <v>#N/A</v>
      </c>
      <c r="HD57" s="60">
        <f t="shared" si="95"/>
        <v>1.0840000000000001</v>
      </c>
      <c r="HJ57" s="59">
        <f t="shared" si="96"/>
        <v>47</v>
      </c>
      <c r="HK57" s="32">
        <f t="shared" si="97"/>
        <v>48</v>
      </c>
      <c r="HL57" s="59">
        <f t="shared" si="98"/>
        <v>-3.0418120120026613</v>
      </c>
      <c r="HM57" s="59" t="e">
        <f t="shared" si="99"/>
        <v>#N/A</v>
      </c>
      <c r="HN57" s="59">
        <f t="shared" si="100"/>
        <v>1.3247980696787178E-2</v>
      </c>
      <c r="HO57" s="59" t="e">
        <f t="shared" si="101"/>
        <v>#N/A</v>
      </c>
      <c r="HP57" s="59" t="e">
        <f t="shared" si="102"/>
        <v>#N/A</v>
      </c>
      <c r="HQ57" s="59" t="b">
        <f t="shared" si="103"/>
        <v>1</v>
      </c>
      <c r="HR57" s="59" t="b">
        <f t="shared" si="104"/>
        <v>0</v>
      </c>
      <c r="HS57" s="59" t="b">
        <f t="shared" si="105"/>
        <v>1</v>
      </c>
      <c r="HT57" s="59" t="b">
        <f t="shared" si="106"/>
        <v>0</v>
      </c>
      <c r="HU57" s="59">
        <f t="shared" si="107"/>
        <v>1.3247980696787178E-2</v>
      </c>
      <c r="HV57" s="59">
        <f t="shared" si="108"/>
        <v>1.3247980696787178E-2</v>
      </c>
      <c r="HW57" s="59" t="e">
        <f t="shared" si="109"/>
        <v>#N/A</v>
      </c>
      <c r="HX57" s="60" t="str">
        <f t="shared" si="110"/>
        <v/>
      </c>
    </row>
    <row r="58" spans="58:232" x14ac:dyDescent="0.2">
      <c r="BL58" s="53" t="s">
        <v>49</v>
      </c>
      <c r="BM58" s="86" t="str" cm="1">
        <f t="array" ref="BM58">INDEX(E_k_valg[Hypotesetype],E_k_aktiv)</f>
        <v>Venstresidet hypotese om værdi</v>
      </c>
      <c r="BZ58" s="59">
        <f t="shared" si="36"/>
        <v>48</v>
      </c>
      <c r="CA58" s="32">
        <f>Eu_tabel_g[[#This Row],[Indeks]]+1</f>
        <v>49</v>
      </c>
      <c r="CB58" s="59">
        <f t="shared" si="37"/>
        <v>-1.9403784248030456</v>
      </c>
      <c r="CC58" s="59">
        <f t="shared" si="38"/>
        <v>6.0720570586669888E-2</v>
      </c>
      <c r="CD58" s="59" t="e">
        <f t="shared" si="39"/>
        <v>#N/A</v>
      </c>
      <c r="CE58" s="59" t="e">
        <f t="shared" si="40"/>
        <v>#N/A</v>
      </c>
      <c r="CF58" s="59" t="e">
        <f t="shared" si="41"/>
        <v>#N/A</v>
      </c>
      <c r="CG58" s="59" t="b">
        <f t="shared" si="42"/>
        <v>0</v>
      </c>
      <c r="CH58" s="59" t="b">
        <f t="shared" si="43"/>
        <v>1</v>
      </c>
      <c r="CI58" s="59" t="b">
        <f t="shared" si="44"/>
        <v>0</v>
      </c>
      <c r="CJ58" s="59" t="b">
        <f t="shared" si="45"/>
        <v>1</v>
      </c>
      <c r="CK58" s="59">
        <f t="shared" si="118"/>
        <v>6.0720570586669888E-2</v>
      </c>
      <c r="CL58" s="59" t="e">
        <f t="shared" si="47"/>
        <v>#N/A</v>
      </c>
      <c r="CM58" s="59">
        <f t="shared" si="48"/>
        <v>6.0720570586669888E-2</v>
      </c>
      <c r="CN58" s="60" t="str">
        <f t="shared" si="49"/>
        <v/>
      </c>
      <c r="CO58" s="32">
        <f>_xlfn.NORM.DIST(_xlfn.NORM.INV(1-Eu_g_konfidensniveau,0,1)-Eu_tabel_g[[#This Row],[x base]],0,1,TRUE)</f>
        <v>0.61620349407481712</v>
      </c>
      <c r="CP58" s="32">
        <f>1-_xlfn.NORM.DIST(_xlfn.NORM.INV(Eu_g_konfidensniveau,0,1)-Eu_tabel_g[[#This Row],[x base]],0,1,TRUE)</f>
        <v>1.6838931044338423E-4</v>
      </c>
      <c r="CQ58" s="32">
        <f>_xlfn.NORM.DIST(_xlfn.NORM.INV((1-Eu_g_konfidensniveau)/2,0,1)-Eu_tabel_g[[#This Row],[x base]],0,1,TRUE)+1-_xlfn.NORM.DIST(_xlfn.NORM.INV(1-(1-Eu_g_konfidensniveau)/2,0,1)-Eu_tabel_g[[#This Row],[x base]],0,1,TRUE)</f>
        <v>0.49223502001074981</v>
      </c>
      <c r="CR58" s="32" t="e" cm="1">
        <f t="array" ref="CR58">IF($CR$3,INDEX(Eu_tabel_g[[#This Row],[Styrke venstre]:[Styrke tosidet]],CR$7),NA())</f>
        <v>#N/A</v>
      </c>
      <c r="CS58" s="52" t="e">
        <f>Eu_tabel_g[[#This Row],[Falsk positiv
Nulhypotese accepteres
Fejltype 1]]</f>
        <v>#N/A</v>
      </c>
      <c r="CT58" s="52" t="e">
        <f>IF(CHOOSE(CR$7,Eu_tabel_g[[#This Row],[x base]]&gt;0,Eu_tabel_g[[#This Row],[x base]]&lt;0,Eu_tabel_g[[#This Row],[x base]]=0),Eu_tabel_g[[#This Row],[Styrke, aktiv]],NA())</f>
        <v>#N/A</v>
      </c>
      <c r="CU58" s="52" t="e">
        <f>IFERROR(IF($CR$3,Eu_tabel_g[[#This Row],[Styrke, aktiv]],NA()),NA())</f>
        <v>#N/A</v>
      </c>
      <c r="CV58" s="52" t="e">
        <f>IF(ISNA(Eu_tabel_g[[#This Row],[Sand negativ
Nulhypotese afvises
Korrekt]]),NA(),IF($CR$3,1,NA()))</f>
        <v>#N/A</v>
      </c>
      <c r="CW58" s="34" t="str" cm="1">
        <f t="array" ref="CW58">_xlfn.SWITCH(BZ58,_xlfn.IFNA(CU$2,-99),CU$5,_xlfn.IFNA(CU$3,-99),CU$6,_xlfn.IFNA(CU$4,-99),CU$7,"")</f>
        <v/>
      </c>
      <c r="DA58" s="7">
        <f t="shared" si="50"/>
        <v>0.8</v>
      </c>
      <c r="DB58">
        <f>IF(ROW(Styrkeberegning_G[[#This Row],[X base venstre]])=ROW(Styrkeberegning_G[[#Headers],[X base venstre]])+1,DB$7/(DA$7/$B$67),DB57/(DA57/$B$67))</f>
        <v>-2.8015817870135784</v>
      </c>
      <c r="DC58">
        <f>Styrkeberegning_G[[#This Row],[X base venstre]]*-1</f>
        <v>2.8015817870135784</v>
      </c>
      <c r="DN58" s="59">
        <f t="shared" si="51"/>
        <v>48</v>
      </c>
      <c r="DO58" s="32">
        <f t="shared" si="52"/>
        <v>49</v>
      </c>
      <c r="DP58" s="59">
        <f t="shared" si="53"/>
        <v>7.3092537726697389</v>
      </c>
      <c r="DQ58" s="59" t="e">
        <f t="shared" si="54"/>
        <v>#N/A</v>
      </c>
      <c r="DR58" s="59" t="e">
        <f t="shared" si="55"/>
        <v>#N/A</v>
      </c>
      <c r="DS58" s="59">
        <f t="shared" si="56"/>
        <v>8.4279635710785644E-2</v>
      </c>
      <c r="DT58" s="59" t="e">
        <f t="shared" si="57"/>
        <v>#N/A</v>
      </c>
      <c r="DU58" s="59" t="b">
        <f t="shared" si="58"/>
        <v>0</v>
      </c>
      <c r="DV58" s="59" t="b">
        <f t="shared" si="59"/>
        <v>1</v>
      </c>
      <c r="DW58" s="59" t="b">
        <f t="shared" si="60"/>
        <v>0</v>
      </c>
      <c r="DX58" s="59" t="b">
        <f t="shared" si="61"/>
        <v>1</v>
      </c>
      <c r="DY58" s="59">
        <f t="shared" si="62"/>
        <v>8.4279635710785644E-2</v>
      </c>
      <c r="DZ58" s="59" t="e">
        <f t="shared" si="63"/>
        <v>#N/A</v>
      </c>
      <c r="EA58" s="59">
        <f t="shared" si="64"/>
        <v>8.4279635710785644E-2</v>
      </c>
      <c r="EB58" s="60" t="str">
        <f t="shared" si="65"/>
        <v/>
      </c>
      <c r="EG58" s="59">
        <f t="shared" si="66"/>
        <v>48</v>
      </c>
      <c r="EH58" s="32">
        <f t="shared" si="67"/>
        <v>49</v>
      </c>
      <c r="EI58" s="59">
        <f t="shared" si="68"/>
        <v>-1.9403784248030456</v>
      </c>
      <c r="EJ58" s="59">
        <f t="shared" si="69"/>
        <v>6.0720570586669888E-2</v>
      </c>
      <c r="EK58" s="59" t="e">
        <f t="shared" si="70"/>
        <v>#N/A</v>
      </c>
      <c r="EL58" s="59" t="e">
        <f t="shared" si="71"/>
        <v>#N/A</v>
      </c>
      <c r="EM58" s="59" t="e">
        <f t="shared" si="72"/>
        <v>#N/A</v>
      </c>
      <c r="EN58" s="59" t="b">
        <f t="shared" si="73"/>
        <v>0</v>
      </c>
      <c r="EO58" s="59" t="b">
        <f t="shared" si="74"/>
        <v>1</v>
      </c>
      <c r="EP58" s="59" t="b">
        <f t="shared" si="75"/>
        <v>0</v>
      </c>
      <c r="EQ58" s="59" t="b">
        <f t="shared" si="76"/>
        <v>1</v>
      </c>
      <c r="ER58" s="59">
        <f t="shared" si="77"/>
        <v>6.0720570586669888E-2</v>
      </c>
      <c r="ES58" s="59" t="e">
        <f t="shared" si="78"/>
        <v>#N/A</v>
      </c>
      <c r="ET58" s="59">
        <f t="shared" si="79"/>
        <v>6.0720570586669888E-2</v>
      </c>
      <c r="EU58" s="60" t="str">
        <f t="shared" si="80"/>
        <v/>
      </c>
      <c r="EV5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8" s="32" t="e" cm="1">
        <f t="array" ref="EY58">IF($CR$3,INDEX(Eu_tabel_a[[#This Row],[Styrke venstre]:[Styrke tosidet]],EY$7),NA())</f>
        <v>#N/A</v>
      </c>
      <c r="EZ58" s="32" t="e">
        <f>IF(EY$3,IF(CHOOSE(EY$7,Eu_tabel_a[[#This Row],[x base]]&gt;0,Eu_tabel_a[[#This Row],[x base]]&lt;0,Eu_tabel_a[[#This Row],[x base]]=0),1,NA()),NA())</f>
        <v>#N/A</v>
      </c>
      <c r="FA58" s="32" t="e">
        <f>IF(CHOOSE(EY$7,Eu_tabel_a[[#This Row],[x base]]&gt;0,Eu_tabel_a[[#This Row],[x base]]&lt;0,Eu_tabel_a[[#This Row],[x base]]=0),Eu_tabel_a[[#This Row],[Styrke, aktiv]],NA())</f>
        <v>#N/A</v>
      </c>
      <c r="FB58" s="32" t="e">
        <f>IFERROR(IF($EY$3,Eu_tabel_a[[#This Row],[Styrke, aktiv]],NA()),NA())</f>
        <v>#N/A</v>
      </c>
      <c r="FC58" s="32" t="e">
        <f>IF(ISNA(Eu_tabel_a[[#This Row],[Sand negativ
Nulhypotese afvises
Korrekt]]),NA(),IF(EY$3,1,NA()))</f>
        <v>#N/A</v>
      </c>
      <c r="FD58" s="33" t="str" cm="1">
        <f t="array" ref="FD58">IFERROR(_xlfn.SWITCH(Eu_tabel_a[[#This Row],[Indeks]],_xlfn.IFNA(FB$2,-99),FB$5,_xlfn.IFNA(FB$3,-99),FB$6,_xlfn.IFNA(FB$4,-99),FB$7,""),"")</f>
        <v/>
      </c>
      <c r="FE58" s="32">
        <f>Eu_tabel_a[[#This Row],[x base]]*SQRT(Eu_a_h0_x*(1-Eu_a_h0_x)/Eu_a_n_x)+Eu_a_h0_x</f>
        <v>0</v>
      </c>
      <c r="FJ58" s="74" t="e">
        <f t="shared" si="18"/>
        <v>#N/A</v>
      </c>
      <c r="FK58" s="82" t="e">
        <f t="shared" si="113"/>
        <v>#DIV/0!</v>
      </c>
      <c r="FL58" s="7" t="e">
        <f t="shared" si="12"/>
        <v>#DIV/0!</v>
      </c>
      <c r="FM58" t="e">
        <f t="shared" si="114"/>
        <v>#DIV/0!</v>
      </c>
      <c r="FN58" s="8" t="e">
        <f t="shared" si="115"/>
        <v>#DIV/0!</v>
      </c>
      <c r="FO58" s="8" t="e">
        <f t="shared" si="116"/>
        <v>#DIV/0!</v>
      </c>
      <c r="FP58" s="81" t="e">
        <f t="shared" si="117"/>
        <v>#DIV/0!</v>
      </c>
      <c r="FQ58" s="74" t="e">
        <f t="shared" ca="1" si="13"/>
        <v>#N/A</v>
      </c>
      <c r="FR58" s="82" t="e" vm="3">
        <f t="shared" ca="1" si="19"/>
        <v>#VALUE!</v>
      </c>
      <c r="FS58" s="7" t="e" vm="3">
        <f t="shared" ca="1" si="14"/>
        <v>#VALUE!</v>
      </c>
      <c r="FT58" t="e" vm="3">
        <f t="shared" ca="1" si="8"/>
        <v>#VALUE!</v>
      </c>
      <c r="FU58" s="8" t="e" vm="3">
        <f t="shared" ca="1" si="9"/>
        <v>#VALUE!</v>
      </c>
      <c r="FV58" s="8" t="e" vm="3">
        <f t="shared" ca="1" si="10"/>
        <v>#VALUE!</v>
      </c>
      <c r="FW58" s="81" t="e" vm="3">
        <f t="shared" ca="1" si="11"/>
        <v>#VALUE!</v>
      </c>
      <c r="FX58" s="74" t="e">
        <f t="shared" si="15"/>
        <v>#N/A</v>
      </c>
      <c r="FY58" s="82" t="e">
        <f t="shared" si="20"/>
        <v>#N/A</v>
      </c>
      <c r="FZ58" s="7" t="e">
        <f t="shared" si="16"/>
        <v>#N/A</v>
      </c>
      <c r="GA58" t="e">
        <f t="shared" si="21"/>
        <v>#N/A</v>
      </c>
      <c r="GB58" s="8" t="e">
        <f t="shared" si="22"/>
        <v>#N/A</v>
      </c>
      <c r="GC58" s="8" t="e">
        <f t="shared" si="23"/>
        <v>#N/A</v>
      </c>
      <c r="GD58" s="81" t="e">
        <f t="shared" si="24"/>
        <v>#N/A</v>
      </c>
      <c r="GE58" s="74" t="e">
        <f t="shared" si="25"/>
        <v>#N/A</v>
      </c>
      <c r="GF58" s="82" t="e">
        <f t="shared" si="26"/>
        <v>#N/A</v>
      </c>
      <c r="GG58" s="7" t="e">
        <f t="shared" si="17"/>
        <v>#N/A</v>
      </c>
      <c r="GH58" t="e">
        <f t="shared" si="27"/>
        <v>#N/A</v>
      </c>
      <c r="GI58" s="8" t="e">
        <f t="shared" si="28"/>
        <v>#N/A</v>
      </c>
      <c r="GJ58" s="8" t="e">
        <f t="shared" si="29"/>
        <v>#N/A</v>
      </c>
      <c r="GK58" s="81" t="e">
        <f t="shared" si="30"/>
        <v>#N/A</v>
      </c>
      <c r="GL58" s="81"/>
      <c r="GM58" s="81"/>
      <c r="GP58" s="59">
        <f t="shared" si="81"/>
        <v>48</v>
      </c>
      <c r="GQ58" s="32">
        <f t="shared" si="82"/>
        <v>49</v>
      </c>
      <c r="GR58" s="59">
        <f t="shared" si="83"/>
        <v>-1.9403784248030456</v>
      </c>
      <c r="GS58" s="59">
        <f t="shared" si="84"/>
        <v>6.0720570586669888E-2</v>
      </c>
      <c r="GT58" s="59" t="e">
        <f t="shared" si="85"/>
        <v>#N/A</v>
      </c>
      <c r="GU58" s="59" t="e">
        <f t="shared" si="86"/>
        <v>#N/A</v>
      </c>
      <c r="GV58" s="59" t="e">
        <f t="shared" si="87"/>
        <v>#N/A</v>
      </c>
      <c r="GW58" s="59" t="b">
        <f t="shared" si="88"/>
        <v>0</v>
      </c>
      <c r="GX58" s="59" t="b">
        <f t="shared" si="89"/>
        <v>1</v>
      </c>
      <c r="GY58" s="59" t="b">
        <f t="shared" si="90"/>
        <v>0</v>
      </c>
      <c r="GZ58" s="59" t="b">
        <f t="shared" si="91"/>
        <v>1</v>
      </c>
      <c r="HA58" s="59">
        <f t="shared" si="92"/>
        <v>6.0720570586669888E-2</v>
      </c>
      <c r="HB58" s="59" t="e">
        <f t="shared" si="93"/>
        <v>#N/A</v>
      </c>
      <c r="HC58" s="59">
        <f t="shared" si="94"/>
        <v>6.0720570586669888E-2</v>
      </c>
      <c r="HD58" s="60" t="str">
        <f t="shared" si="95"/>
        <v/>
      </c>
      <c r="HJ58" s="59">
        <f t="shared" si="96"/>
        <v>48</v>
      </c>
      <c r="HK58" s="32">
        <f t="shared" si="97"/>
        <v>49</v>
      </c>
      <c r="HL58" s="59">
        <f t="shared" si="98"/>
        <v>-3.0047167435636046</v>
      </c>
      <c r="HM58" s="59" t="e">
        <f t="shared" si="99"/>
        <v>#N/A</v>
      </c>
      <c r="HN58" s="59">
        <f t="shared" si="100"/>
        <v>1.4005252222668935E-2</v>
      </c>
      <c r="HO58" s="59" t="e">
        <f t="shared" si="101"/>
        <v>#N/A</v>
      </c>
      <c r="HP58" s="59" t="e">
        <f t="shared" si="102"/>
        <v>#N/A</v>
      </c>
      <c r="HQ58" s="59" t="b">
        <f t="shared" si="103"/>
        <v>1</v>
      </c>
      <c r="HR58" s="59" t="b">
        <f t="shared" si="104"/>
        <v>0</v>
      </c>
      <c r="HS58" s="59" t="b">
        <f t="shared" si="105"/>
        <v>1</v>
      </c>
      <c r="HT58" s="59" t="b">
        <f t="shared" si="106"/>
        <v>0</v>
      </c>
      <c r="HU58" s="59">
        <f t="shared" si="107"/>
        <v>1.4005252222668935E-2</v>
      </c>
      <c r="HV58" s="59">
        <f t="shared" si="108"/>
        <v>1.4005252222668935E-2</v>
      </c>
      <c r="HW58" s="59" t="e">
        <f t="shared" si="109"/>
        <v>#N/A</v>
      </c>
      <c r="HX58" s="60" t="str">
        <f t="shared" si="110"/>
        <v/>
      </c>
    </row>
    <row r="59" spans="58:232" x14ac:dyDescent="0.2">
      <c r="BL59" s="53" t="s">
        <v>108</v>
      </c>
      <c r="BM59" s="86" t="str" cm="1">
        <f t="array" ref="BM59">INDEX(E_k_valg[Beregningsmetode],E_k_aktiv)</f>
        <v>t-fordeling</v>
      </c>
      <c r="BZ59" s="59">
        <f t="shared" si="36"/>
        <v>49</v>
      </c>
      <c r="CA59" s="32">
        <f>Eu_tabel_g[[#This Row],[Indeks]]+1</f>
        <v>50</v>
      </c>
      <c r="CB59" s="59">
        <f t="shared" si="37"/>
        <v>-1.9164231356079462</v>
      </c>
      <c r="CC59" s="59">
        <f t="shared" si="38"/>
        <v>6.3591380118377214E-2</v>
      </c>
      <c r="CD59" s="59" t="e">
        <f t="shared" si="39"/>
        <v>#N/A</v>
      </c>
      <c r="CE59" s="59" t="e">
        <f t="shared" si="40"/>
        <v>#N/A</v>
      </c>
      <c r="CF59" s="59" t="e">
        <f t="shared" si="41"/>
        <v>#N/A</v>
      </c>
      <c r="CG59" s="59" t="b">
        <f t="shared" si="42"/>
        <v>0</v>
      </c>
      <c r="CH59" s="59" t="b">
        <f t="shared" si="43"/>
        <v>1</v>
      </c>
      <c r="CI59" s="59" t="b">
        <f t="shared" si="44"/>
        <v>0</v>
      </c>
      <c r="CJ59" s="59" t="b">
        <f t="shared" si="45"/>
        <v>1</v>
      </c>
      <c r="CK59" s="59">
        <f t="shared" si="118"/>
        <v>6.3591380118377214E-2</v>
      </c>
      <c r="CL59" s="59" t="e">
        <f t="shared" si="47"/>
        <v>#N/A</v>
      </c>
      <c r="CM59" s="59">
        <f t="shared" si="48"/>
        <v>6.3591380118377214E-2</v>
      </c>
      <c r="CN59" s="60" t="str">
        <f t="shared" si="49"/>
        <v/>
      </c>
      <c r="CO59" s="32">
        <f>_xlfn.NORM.DIST(_xlfn.NORM.INV(1-Eu_g_konfidensniveau,0,1)-Eu_tabel_g[[#This Row],[x base]],0,1,TRUE)</f>
        <v>0.60702347642423038</v>
      </c>
      <c r="CP59" s="32">
        <f>1-_xlfn.NORM.DIST(_xlfn.NORM.INV(Eu_g_konfidensniveau,0,1)-Eu_tabel_g[[#This Row],[x base]],0,1,TRUE)</f>
        <v>1.8452790723522128E-4</v>
      </c>
      <c r="CQ59" s="32">
        <f>_xlfn.NORM.DIST(_xlfn.NORM.INV((1-Eu_g_konfidensniveau)/2,0,1)-Eu_tabel_g[[#This Row],[x base]],0,1,TRUE)+1-_xlfn.NORM.DIST(_xlfn.NORM.INV(1-(1-Eu_g_konfidensniveau)/2,0,1)-Eu_tabel_g[[#This Row],[x base]],0,1,TRUE)</f>
        <v>0.48268821080330226</v>
      </c>
      <c r="CR59" s="32" t="e" cm="1">
        <f t="array" ref="CR59">IF($CR$3,INDEX(Eu_tabel_g[[#This Row],[Styrke venstre]:[Styrke tosidet]],CR$7),NA())</f>
        <v>#N/A</v>
      </c>
      <c r="CS59" s="52" t="e">
        <f>Eu_tabel_g[[#This Row],[Falsk positiv
Nulhypotese accepteres
Fejltype 1]]</f>
        <v>#N/A</v>
      </c>
      <c r="CT59" s="52" t="e">
        <f>IF(CHOOSE(CR$7,Eu_tabel_g[[#This Row],[x base]]&gt;0,Eu_tabel_g[[#This Row],[x base]]&lt;0,Eu_tabel_g[[#This Row],[x base]]=0),Eu_tabel_g[[#This Row],[Styrke, aktiv]],NA())</f>
        <v>#N/A</v>
      </c>
      <c r="CU59" s="52" t="e">
        <f>IFERROR(IF($CR$3,Eu_tabel_g[[#This Row],[Styrke, aktiv]],NA()),NA())</f>
        <v>#N/A</v>
      </c>
      <c r="CV59" s="52" t="e">
        <f>IF(ISNA(Eu_tabel_g[[#This Row],[Sand negativ
Nulhypotese afvises
Korrekt]]),NA(),IF($CR$3,1,NA()))</f>
        <v>#N/A</v>
      </c>
      <c r="CW59" s="34" t="str" cm="1">
        <f t="array" ref="CW59">_xlfn.SWITCH(BZ59,_xlfn.IFNA(CU$2,-99),CU$5,_xlfn.IFNA(CU$3,-99),CU$6,_xlfn.IFNA(CU$4,-99),CU$7,"")</f>
        <v/>
      </c>
      <c r="DA59" s="7">
        <f t="shared" si="50"/>
        <v>0.8</v>
      </c>
      <c r="DB59">
        <f>IF(ROW(Styrkeberegning_G[[#This Row],[X base venstre]])=ROW(Styrkeberegning_G[[#Headers],[X base venstre]])+1,DB$7/(DA$7/$B$67),DB58/(DA58/$B$67))</f>
        <v>-2.8015817870135784</v>
      </c>
      <c r="DC59">
        <f>Styrkeberegning_G[[#This Row],[X base venstre]]*-1</f>
        <v>2.8015817870135784</v>
      </c>
      <c r="DN59" s="59">
        <f t="shared" si="51"/>
        <v>49</v>
      </c>
      <c r="DO59" s="32">
        <f t="shared" si="52"/>
        <v>50</v>
      </c>
      <c r="DP59" s="59">
        <f t="shared" si="53"/>
        <v>7.4233246290867401</v>
      </c>
      <c r="DQ59" s="59" t="e">
        <f t="shared" si="54"/>
        <v>#N/A</v>
      </c>
      <c r="DR59" s="59" t="e">
        <f t="shared" si="55"/>
        <v>#N/A</v>
      </c>
      <c r="DS59" s="59">
        <f t="shared" si="56"/>
        <v>8.5352615566646459E-2</v>
      </c>
      <c r="DT59" s="59" t="e">
        <f t="shared" si="57"/>
        <v>#N/A</v>
      </c>
      <c r="DU59" s="59" t="b">
        <f t="shared" si="58"/>
        <v>0</v>
      </c>
      <c r="DV59" s="59" t="b">
        <f t="shared" si="59"/>
        <v>1</v>
      </c>
      <c r="DW59" s="59" t="b">
        <f t="shared" si="60"/>
        <v>0</v>
      </c>
      <c r="DX59" s="59" t="b">
        <f t="shared" si="61"/>
        <v>1</v>
      </c>
      <c r="DY59" s="59">
        <f t="shared" si="62"/>
        <v>8.5352615566646459E-2</v>
      </c>
      <c r="DZ59" s="59" t="e">
        <f t="shared" si="63"/>
        <v>#N/A</v>
      </c>
      <c r="EA59" s="59">
        <f t="shared" si="64"/>
        <v>8.5352615566646459E-2</v>
      </c>
      <c r="EB59" s="60" t="str">
        <f t="shared" si="65"/>
        <v/>
      </c>
      <c r="EG59" s="59">
        <f t="shared" si="66"/>
        <v>49</v>
      </c>
      <c r="EH59" s="32">
        <f t="shared" si="67"/>
        <v>50</v>
      </c>
      <c r="EI59" s="59">
        <f t="shared" si="68"/>
        <v>-1.9164231356079462</v>
      </c>
      <c r="EJ59" s="59">
        <f t="shared" si="69"/>
        <v>6.3591380118377214E-2</v>
      </c>
      <c r="EK59" s="59" t="e">
        <f t="shared" si="70"/>
        <v>#N/A</v>
      </c>
      <c r="EL59" s="59" t="e">
        <f t="shared" si="71"/>
        <v>#N/A</v>
      </c>
      <c r="EM59" s="59" t="e">
        <f t="shared" si="72"/>
        <v>#N/A</v>
      </c>
      <c r="EN59" s="59" t="b">
        <f t="shared" si="73"/>
        <v>0</v>
      </c>
      <c r="EO59" s="59" t="b">
        <f t="shared" si="74"/>
        <v>1</v>
      </c>
      <c r="EP59" s="59" t="b">
        <f t="shared" si="75"/>
        <v>0</v>
      </c>
      <c r="EQ59" s="59" t="b">
        <f t="shared" si="76"/>
        <v>1</v>
      </c>
      <c r="ER59" s="59">
        <f t="shared" si="77"/>
        <v>6.3591380118377214E-2</v>
      </c>
      <c r="ES59" s="59" t="e">
        <f t="shared" si="78"/>
        <v>#N/A</v>
      </c>
      <c r="ET59" s="59">
        <f t="shared" si="79"/>
        <v>6.3591380118377214E-2</v>
      </c>
      <c r="EU59" s="60" t="str">
        <f t="shared" si="80"/>
        <v/>
      </c>
      <c r="EV5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9" s="32" t="e" cm="1">
        <f t="array" ref="EY59">IF($CR$3,INDEX(Eu_tabel_a[[#This Row],[Styrke venstre]:[Styrke tosidet]],EY$7),NA())</f>
        <v>#N/A</v>
      </c>
      <c r="EZ59" s="32" t="e">
        <f>IF(EY$3,IF(CHOOSE(EY$7,Eu_tabel_a[[#This Row],[x base]]&gt;0,Eu_tabel_a[[#This Row],[x base]]&lt;0,Eu_tabel_a[[#This Row],[x base]]=0),1,NA()),NA())</f>
        <v>#N/A</v>
      </c>
      <c r="FA59" s="32" t="e">
        <f>IF(CHOOSE(EY$7,Eu_tabel_a[[#This Row],[x base]]&gt;0,Eu_tabel_a[[#This Row],[x base]]&lt;0,Eu_tabel_a[[#This Row],[x base]]=0),Eu_tabel_a[[#This Row],[Styrke, aktiv]],NA())</f>
        <v>#N/A</v>
      </c>
      <c r="FB59" s="32" t="e">
        <f>IFERROR(IF($EY$3,Eu_tabel_a[[#This Row],[Styrke, aktiv]],NA()),NA())</f>
        <v>#N/A</v>
      </c>
      <c r="FC59" s="32" t="e">
        <f>IF(ISNA(Eu_tabel_a[[#This Row],[Sand negativ
Nulhypotese afvises
Korrekt]]),NA(),IF(EY$3,1,NA()))</f>
        <v>#N/A</v>
      </c>
      <c r="FD59" s="33" t="str" cm="1">
        <f t="array" ref="FD59">IFERROR(_xlfn.SWITCH(Eu_tabel_a[[#This Row],[Indeks]],_xlfn.IFNA(FB$2,-99),FB$5,_xlfn.IFNA(FB$3,-99),FB$6,_xlfn.IFNA(FB$4,-99),FB$7,""),"")</f>
        <v/>
      </c>
      <c r="FE59" s="32">
        <f>Eu_tabel_a[[#This Row],[x base]]*SQRT(Eu_a_h0_x*(1-Eu_a_h0_x)/Eu_a_n_x)+Eu_a_h0_x</f>
        <v>0</v>
      </c>
      <c r="FJ59" s="74" t="e">
        <f t="shared" si="18"/>
        <v>#N/A</v>
      </c>
      <c r="FK59" s="82" t="e">
        <f t="shared" si="113"/>
        <v>#DIV/0!</v>
      </c>
      <c r="FL59" s="7" t="e">
        <f t="shared" si="12"/>
        <v>#DIV/0!</v>
      </c>
      <c r="FM59" t="e">
        <f t="shared" si="114"/>
        <v>#DIV/0!</v>
      </c>
      <c r="FN59" s="8" t="e">
        <f t="shared" si="115"/>
        <v>#DIV/0!</v>
      </c>
      <c r="FO59" s="8" t="e">
        <f t="shared" si="116"/>
        <v>#DIV/0!</v>
      </c>
      <c r="FP59" s="81" t="e">
        <f t="shared" si="117"/>
        <v>#DIV/0!</v>
      </c>
      <c r="FQ59" s="74" t="e">
        <f t="shared" ca="1" si="13"/>
        <v>#N/A</v>
      </c>
      <c r="FR59" s="82" t="e" vm="3">
        <f t="shared" ca="1" si="19"/>
        <v>#VALUE!</v>
      </c>
      <c r="FS59" s="7" t="e" vm="3">
        <f t="shared" ca="1" si="14"/>
        <v>#VALUE!</v>
      </c>
      <c r="FT59" t="e" vm="3">
        <f t="shared" ca="1" si="8"/>
        <v>#VALUE!</v>
      </c>
      <c r="FU59" s="8" t="e" vm="3">
        <f t="shared" ca="1" si="9"/>
        <v>#VALUE!</v>
      </c>
      <c r="FV59" s="8" t="e" vm="3">
        <f t="shared" ca="1" si="10"/>
        <v>#VALUE!</v>
      </c>
      <c r="FW59" s="81" t="e" vm="3">
        <f t="shared" ca="1" si="11"/>
        <v>#VALUE!</v>
      </c>
      <c r="FX59" s="74" t="e">
        <f t="shared" si="15"/>
        <v>#N/A</v>
      </c>
      <c r="FY59" s="82" t="e">
        <f t="shared" si="20"/>
        <v>#N/A</v>
      </c>
      <c r="FZ59" s="7" t="e">
        <f t="shared" si="16"/>
        <v>#N/A</v>
      </c>
      <c r="GA59" t="e">
        <f t="shared" si="21"/>
        <v>#N/A</v>
      </c>
      <c r="GB59" s="8" t="e">
        <f t="shared" si="22"/>
        <v>#N/A</v>
      </c>
      <c r="GC59" s="8" t="e">
        <f t="shared" si="23"/>
        <v>#N/A</v>
      </c>
      <c r="GD59" s="81" t="e">
        <f t="shared" si="24"/>
        <v>#N/A</v>
      </c>
      <c r="GE59" s="74" t="e">
        <f t="shared" si="25"/>
        <v>#N/A</v>
      </c>
      <c r="GF59" s="82" t="e">
        <f t="shared" si="26"/>
        <v>#N/A</v>
      </c>
      <c r="GG59" s="7" t="e">
        <f t="shared" si="17"/>
        <v>#N/A</v>
      </c>
      <c r="GH59" t="e">
        <f t="shared" si="27"/>
        <v>#N/A</v>
      </c>
      <c r="GI59" s="8" t="e">
        <f t="shared" si="28"/>
        <v>#N/A</v>
      </c>
      <c r="GJ59" s="8" t="e">
        <f t="shared" si="29"/>
        <v>#N/A</v>
      </c>
      <c r="GK59" s="81" t="e">
        <f t="shared" si="30"/>
        <v>#N/A</v>
      </c>
      <c r="GL59" s="81"/>
      <c r="GM59" s="81"/>
      <c r="GP59" s="59">
        <f t="shared" si="81"/>
        <v>49</v>
      </c>
      <c r="GQ59" s="32">
        <f t="shared" si="82"/>
        <v>50</v>
      </c>
      <c r="GR59" s="59">
        <f t="shared" si="83"/>
        <v>-1.9164231356079462</v>
      </c>
      <c r="GS59" s="59">
        <f t="shared" si="84"/>
        <v>6.3591380118377214E-2</v>
      </c>
      <c r="GT59" s="59" t="e">
        <f t="shared" si="85"/>
        <v>#N/A</v>
      </c>
      <c r="GU59" s="59" t="e">
        <f t="shared" si="86"/>
        <v>#N/A</v>
      </c>
      <c r="GV59" s="59" t="e">
        <f t="shared" si="87"/>
        <v>#N/A</v>
      </c>
      <c r="GW59" s="59" t="b">
        <f t="shared" si="88"/>
        <v>0</v>
      </c>
      <c r="GX59" s="59" t="b">
        <f t="shared" si="89"/>
        <v>1</v>
      </c>
      <c r="GY59" s="59" t="b">
        <f t="shared" si="90"/>
        <v>0</v>
      </c>
      <c r="GZ59" s="59" t="b">
        <f t="shared" si="91"/>
        <v>1</v>
      </c>
      <c r="HA59" s="59">
        <f t="shared" si="92"/>
        <v>6.3591380118377214E-2</v>
      </c>
      <c r="HB59" s="59" t="e">
        <f t="shared" si="93"/>
        <v>#N/A</v>
      </c>
      <c r="HC59" s="59">
        <f t="shared" si="94"/>
        <v>6.3591380118377214E-2</v>
      </c>
      <c r="HD59" s="60" t="str">
        <f t="shared" si="95"/>
        <v/>
      </c>
      <c r="HJ59" s="59">
        <f t="shared" si="96"/>
        <v>49</v>
      </c>
      <c r="HK59" s="32">
        <f t="shared" si="97"/>
        <v>50</v>
      </c>
      <c r="HL59" s="59">
        <f t="shared" si="98"/>
        <v>-2.9676214751245475</v>
      </c>
      <c r="HM59" s="59" t="e">
        <f t="shared" si="99"/>
        <v>#N/A</v>
      </c>
      <c r="HN59" s="59">
        <f t="shared" si="100"/>
        <v>1.4807096817980554E-2</v>
      </c>
      <c r="HO59" s="59" t="e">
        <f t="shared" si="101"/>
        <v>#N/A</v>
      </c>
      <c r="HP59" s="59" t="e">
        <f t="shared" si="102"/>
        <v>#N/A</v>
      </c>
      <c r="HQ59" s="59" t="b">
        <f t="shared" si="103"/>
        <v>1</v>
      </c>
      <c r="HR59" s="59" t="b">
        <f t="shared" si="104"/>
        <v>0</v>
      </c>
      <c r="HS59" s="59" t="b">
        <f t="shared" si="105"/>
        <v>1</v>
      </c>
      <c r="HT59" s="59" t="b">
        <f t="shared" si="106"/>
        <v>0</v>
      </c>
      <c r="HU59" s="59">
        <f t="shared" si="107"/>
        <v>1.4807096817980554E-2</v>
      </c>
      <c r="HV59" s="59">
        <f t="shared" si="108"/>
        <v>1.4807096817980554E-2</v>
      </c>
      <c r="HW59" s="59" t="e">
        <f t="shared" si="109"/>
        <v>#N/A</v>
      </c>
      <c r="HX59" s="60" t="str">
        <f t="shared" si="110"/>
        <v/>
      </c>
    </row>
    <row r="60" spans="58:232" x14ac:dyDescent="0.2">
      <c r="BL60" s="53" t="s">
        <v>4</v>
      </c>
      <c r="BM60" s="87">
        <f>Eu_k_konfidensniveau</f>
        <v>0.95</v>
      </c>
      <c r="BZ60" s="59">
        <f t="shared" si="36"/>
        <v>50</v>
      </c>
      <c r="CA60" s="32">
        <f>Eu_tabel_g[[#This Row],[Indeks]]+1</f>
        <v>51</v>
      </c>
      <c r="CB60" s="59">
        <f t="shared" si="37"/>
        <v>-1.8924678464128468</v>
      </c>
      <c r="CC60" s="59">
        <f t="shared" si="38"/>
        <v>6.6559712089436965E-2</v>
      </c>
      <c r="CD60" s="59" t="e">
        <f t="shared" si="39"/>
        <v>#N/A</v>
      </c>
      <c r="CE60" s="59" t="e">
        <f t="shared" si="40"/>
        <v>#N/A</v>
      </c>
      <c r="CF60" s="59" t="e">
        <f t="shared" si="41"/>
        <v>#N/A</v>
      </c>
      <c r="CG60" s="59" t="b">
        <f t="shared" si="42"/>
        <v>0</v>
      </c>
      <c r="CH60" s="59" t="b">
        <f t="shared" si="43"/>
        <v>1</v>
      </c>
      <c r="CI60" s="59" t="b">
        <f t="shared" si="44"/>
        <v>0</v>
      </c>
      <c r="CJ60" s="59" t="b">
        <f t="shared" si="45"/>
        <v>1</v>
      </c>
      <c r="CK60" s="59">
        <f t="shared" si="118"/>
        <v>6.6559712089436965E-2</v>
      </c>
      <c r="CL60" s="59" t="e">
        <f t="shared" si="47"/>
        <v>#N/A</v>
      </c>
      <c r="CM60" s="59">
        <f t="shared" si="48"/>
        <v>6.6559712089436965E-2</v>
      </c>
      <c r="CN60" s="60" t="str">
        <f t="shared" si="49"/>
        <v/>
      </c>
      <c r="CO60" s="32">
        <f>_xlfn.NORM.DIST(_xlfn.NORM.INV(1-Eu_g_konfidensniveau,0,1)-Eu_tabel_g[[#This Row],[x base]],0,1,TRUE)</f>
        <v>0.59778354612388784</v>
      </c>
      <c r="CP60" s="32">
        <f>1-_xlfn.NORM.DIST(_xlfn.NORM.INV(Eu_g_konfidensniveau,0,1)-Eu_tabel_g[[#This Row],[x base]],0,1,TRUE)</f>
        <v>2.0210367382411665E-4</v>
      </c>
      <c r="CQ60" s="32">
        <f>_xlfn.NORM.DIST(_xlfn.NORM.INV((1-Eu_g_konfidensniveau)/2,0,1)-Eu_tabel_g[[#This Row],[x base]],0,1,TRUE)+1-_xlfn.NORM.DIST(_xlfn.NORM.INV(1-(1-Eu_g_konfidensniveau)/2,0,1)-Eu_tabel_g[[#This Row],[x base]],0,1,TRUE)</f>
        <v>0.47315184344261096</v>
      </c>
      <c r="CR60" s="32" t="e" cm="1">
        <f t="array" ref="CR60">IF($CR$3,INDEX(Eu_tabel_g[[#This Row],[Styrke venstre]:[Styrke tosidet]],CR$7),NA())</f>
        <v>#N/A</v>
      </c>
      <c r="CS60" s="52" t="e">
        <f>Eu_tabel_g[[#This Row],[Falsk positiv
Nulhypotese accepteres
Fejltype 1]]</f>
        <v>#N/A</v>
      </c>
      <c r="CT60" s="52" t="e">
        <f>IF(CHOOSE(CR$7,Eu_tabel_g[[#This Row],[x base]]&gt;0,Eu_tabel_g[[#This Row],[x base]]&lt;0,Eu_tabel_g[[#This Row],[x base]]=0),Eu_tabel_g[[#This Row],[Styrke, aktiv]],NA())</f>
        <v>#N/A</v>
      </c>
      <c r="CU60" s="52" t="e">
        <f>IFERROR(IF($CR$3,Eu_tabel_g[[#This Row],[Styrke, aktiv]],NA()),NA())</f>
        <v>#N/A</v>
      </c>
      <c r="CV60" s="52" t="e">
        <f>IF(ISNA(Eu_tabel_g[[#This Row],[Sand negativ
Nulhypotese afvises
Korrekt]]),NA(),IF($CR$3,1,NA()))</f>
        <v>#N/A</v>
      </c>
      <c r="CW60" s="34" t="str" cm="1">
        <f t="array" ref="CW60">_xlfn.SWITCH(BZ60,_xlfn.IFNA(CU$2,-99),CU$5,_xlfn.IFNA(CU$3,-99),CU$6,_xlfn.IFNA(CU$4,-99),CU$7,"")</f>
        <v/>
      </c>
      <c r="DA60" s="7">
        <f t="shared" si="50"/>
        <v>0.8</v>
      </c>
      <c r="DB60">
        <f>IF(ROW(Styrkeberegning_G[[#This Row],[X base venstre]])=ROW(Styrkeberegning_G[[#Headers],[X base venstre]])+1,DB$7/(DA$7/$B$67),DB59/(DA59/$B$67))</f>
        <v>-2.8015817870135784</v>
      </c>
      <c r="DC60">
        <f>Styrkeberegning_G[[#This Row],[X base venstre]]*-1</f>
        <v>2.8015817870135784</v>
      </c>
      <c r="DN60" s="59">
        <f t="shared" si="51"/>
        <v>50</v>
      </c>
      <c r="DO60" s="32">
        <f t="shared" si="52"/>
        <v>51</v>
      </c>
      <c r="DP60" s="59">
        <f t="shared" si="53"/>
        <v>7.5373954855037404</v>
      </c>
      <c r="DQ60" s="59" t="e">
        <f t="shared" si="54"/>
        <v>#N/A</v>
      </c>
      <c r="DR60" s="59" t="e">
        <f t="shared" si="55"/>
        <v>#N/A</v>
      </c>
      <c r="DS60" s="59">
        <f t="shared" si="56"/>
        <v>8.6347444339654689E-2</v>
      </c>
      <c r="DT60" s="59" t="e">
        <f t="shared" si="57"/>
        <v>#N/A</v>
      </c>
      <c r="DU60" s="59" t="b">
        <f t="shared" si="58"/>
        <v>0</v>
      </c>
      <c r="DV60" s="59" t="b">
        <f t="shared" si="59"/>
        <v>1</v>
      </c>
      <c r="DW60" s="59" t="b">
        <f t="shared" si="60"/>
        <v>0</v>
      </c>
      <c r="DX60" s="59" t="b">
        <f t="shared" si="61"/>
        <v>1</v>
      </c>
      <c r="DY60" s="59">
        <f t="shared" si="62"/>
        <v>8.6347444339654689E-2</v>
      </c>
      <c r="DZ60" s="59" t="e">
        <f t="shared" si="63"/>
        <v>#N/A</v>
      </c>
      <c r="EA60" s="59">
        <f t="shared" si="64"/>
        <v>8.6347444339654689E-2</v>
      </c>
      <c r="EB60" s="60" t="str">
        <f t="shared" si="65"/>
        <v/>
      </c>
      <c r="EG60" s="59">
        <f t="shared" si="66"/>
        <v>50</v>
      </c>
      <c r="EH60" s="32">
        <f t="shared" si="67"/>
        <v>51</v>
      </c>
      <c r="EI60" s="59">
        <f t="shared" si="68"/>
        <v>-1.8924678464128468</v>
      </c>
      <c r="EJ60" s="59">
        <f t="shared" si="69"/>
        <v>6.6559712089436965E-2</v>
      </c>
      <c r="EK60" s="59" t="e">
        <f t="shared" si="70"/>
        <v>#N/A</v>
      </c>
      <c r="EL60" s="59" t="e">
        <f t="shared" si="71"/>
        <v>#N/A</v>
      </c>
      <c r="EM60" s="59" t="e">
        <f t="shared" si="72"/>
        <v>#N/A</v>
      </c>
      <c r="EN60" s="59" t="b">
        <f t="shared" si="73"/>
        <v>0</v>
      </c>
      <c r="EO60" s="59" t="b">
        <f t="shared" si="74"/>
        <v>1</v>
      </c>
      <c r="EP60" s="59" t="b">
        <f t="shared" si="75"/>
        <v>0</v>
      </c>
      <c r="EQ60" s="59" t="b">
        <f t="shared" si="76"/>
        <v>1</v>
      </c>
      <c r="ER60" s="59">
        <f t="shared" si="77"/>
        <v>6.6559712089436965E-2</v>
      </c>
      <c r="ES60" s="59" t="e">
        <f t="shared" si="78"/>
        <v>#N/A</v>
      </c>
      <c r="ET60" s="59">
        <f t="shared" si="79"/>
        <v>6.6559712089436965E-2</v>
      </c>
      <c r="EU60" s="60" t="str">
        <f t="shared" si="80"/>
        <v/>
      </c>
      <c r="EV6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0" s="32" t="e" cm="1">
        <f t="array" ref="EY60">IF($CR$3,INDEX(Eu_tabel_a[[#This Row],[Styrke venstre]:[Styrke tosidet]],EY$7),NA())</f>
        <v>#N/A</v>
      </c>
      <c r="EZ60" s="32" t="e">
        <f>IF(EY$3,IF(CHOOSE(EY$7,Eu_tabel_a[[#This Row],[x base]]&gt;0,Eu_tabel_a[[#This Row],[x base]]&lt;0,Eu_tabel_a[[#This Row],[x base]]=0),1,NA()),NA())</f>
        <v>#N/A</v>
      </c>
      <c r="FA60" s="32" t="e">
        <f>IF(CHOOSE(EY$7,Eu_tabel_a[[#This Row],[x base]]&gt;0,Eu_tabel_a[[#This Row],[x base]]&lt;0,Eu_tabel_a[[#This Row],[x base]]=0),Eu_tabel_a[[#This Row],[Styrke, aktiv]],NA())</f>
        <v>#N/A</v>
      </c>
      <c r="FB60" s="32" t="e">
        <f>IFERROR(IF($EY$3,Eu_tabel_a[[#This Row],[Styrke, aktiv]],NA()),NA())</f>
        <v>#N/A</v>
      </c>
      <c r="FC60" s="32" t="e">
        <f>IF(ISNA(Eu_tabel_a[[#This Row],[Sand negativ
Nulhypotese afvises
Korrekt]]),NA(),IF(EY$3,1,NA()))</f>
        <v>#N/A</v>
      </c>
      <c r="FD60" s="33" t="str" cm="1">
        <f t="array" ref="FD60">IFERROR(_xlfn.SWITCH(Eu_tabel_a[[#This Row],[Indeks]],_xlfn.IFNA(FB$2,-99),FB$5,_xlfn.IFNA(FB$3,-99),FB$6,_xlfn.IFNA(FB$4,-99),FB$7,""),"")</f>
        <v/>
      </c>
      <c r="FE60" s="32">
        <f>Eu_tabel_a[[#This Row],[x base]]*SQRT(Eu_a_h0_x*(1-Eu_a_h0_x)/Eu_a_n_x)+Eu_a_h0_x</f>
        <v>0</v>
      </c>
      <c r="FJ60" s="74" t="e">
        <f t="shared" si="18"/>
        <v>#N/A</v>
      </c>
      <c r="FK60" s="82" t="e">
        <f t="shared" si="113"/>
        <v>#DIV/0!</v>
      </c>
      <c r="FL60" s="7" t="e">
        <f t="shared" si="12"/>
        <v>#DIV/0!</v>
      </c>
      <c r="FM60" t="e">
        <f t="shared" si="114"/>
        <v>#DIV/0!</v>
      </c>
      <c r="FN60" s="8" t="e">
        <f t="shared" si="115"/>
        <v>#DIV/0!</v>
      </c>
      <c r="FO60" s="8" t="e">
        <f t="shared" si="116"/>
        <v>#DIV/0!</v>
      </c>
      <c r="FP60" s="81" t="e">
        <f t="shared" si="117"/>
        <v>#DIV/0!</v>
      </c>
      <c r="FQ60" s="74" t="e">
        <f t="shared" ca="1" si="13"/>
        <v>#N/A</v>
      </c>
      <c r="FR60" s="82" t="e" vm="3">
        <f t="shared" ca="1" si="19"/>
        <v>#VALUE!</v>
      </c>
      <c r="FS60" s="7" t="e" vm="3">
        <f t="shared" ca="1" si="14"/>
        <v>#VALUE!</v>
      </c>
      <c r="FT60" t="e" vm="3">
        <f t="shared" ca="1" si="8"/>
        <v>#VALUE!</v>
      </c>
      <c r="FU60" s="8" t="e" vm="3">
        <f t="shared" ca="1" si="9"/>
        <v>#VALUE!</v>
      </c>
      <c r="FV60" s="8" t="e" vm="3">
        <f t="shared" ca="1" si="10"/>
        <v>#VALUE!</v>
      </c>
      <c r="FW60" s="81" t="e" vm="3">
        <f t="shared" ca="1" si="11"/>
        <v>#VALUE!</v>
      </c>
      <c r="FX60" s="74" t="e">
        <f t="shared" si="15"/>
        <v>#N/A</v>
      </c>
      <c r="FY60" s="82" t="e">
        <f t="shared" si="20"/>
        <v>#N/A</v>
      </c>
      <c r="FZ60" s="7" t="e">
        <f t="shared" si="16"/>
        <v>#N/A</v>
      </c>
      <c r="GA60" t="e">
        <f t="shared" si="21"/>
        <v>#N/A</v>
      </c>
      <c r="GB60" s="8" t="e">
        <f t="shared" si="22"/>
        <v>#N/A</v>
      </c>
      <c r="GC60" s="8" t="e">
        <f t="shared" si="23"/>
        <v>#N/A</v>
      </c>
      <c r="GD60" s="81" t="e">
        <f t="shared" si="24"/>
        <v>#N/A</v>
      </c>
      <c r="GE60" s="74" t="e">
        <f t="shared" si="25"/>
        <v>#N/A</v>
      </c>
      <c r="GF60" s="82" t="e">
        <f t="shared" si="26"/>
        <v>#N/A</v>
      </c>
      <c r="GG60" s="7" t="e">
        <f t="shared" si="17"/>
        <v>#N/A</v>
      </c>
      <c r="GH60" t="e">
        <f t="shared" si="27"/>
        <v>#N/A</v>
      </c>
      <c r="GI60" s="8" t="e">
        <f t="shared" si="28"/>
        <v>#N/A</v>
      </c>
      <c r="GJ60" s="8" t="e">
        <f t="shared" si="29"/>
        <v>#N/A</v>
      </c>
      <c r="GK60" s="81" t="e">
        <f t="shared" si="30"/>
        <v>#N/A</v>
      </c>
      <c r="GL60" s="81"/>
      <c r="GM60" s="81"/>
      <c r="GP60" s="59">
        <f t="shared" si="81"/>
        <v>50</v>
      </c>
      <c r="GQ60" s="32">
        <f t="shared" si="82"/>
        <v>51</v>
      </c>
      <c r="GR60" s="59">
        <f t="shared" si="83"/>
        <v>-1.8924678464128468</v>
      </c>
      <c r="GS60" s="59">
        <f t="shared" si="84"/>
        <v>6.6559712089436965E-2</v>
      </c>
      <c r="GT60" s="59" t="e">
        <f t="shared" si="85"/>
        <v>#N/A</v>
      </c>
      <c r="GU60" s="59" t="e">
        <f t="shared" si="86"/>
        <v>#N/A</v>
      </c>
      <c r="GV60" s="59" t="e">
        <f t="shared" si="87"/>
        <v>#N/A</v>
      </c>
      <c r="GW60" s="59" t="b">
        <f t="shared" si="88"/>
        <v>0</v>
      </c>
      <c r="GX60" s="59" t="b">
        <f t="shared" si="89"/>
        <v>1</v>
      </c>
      <c r="GY60" s="59" t="b">
        <f t="shared" si="90"/>
        <v>0</v>
      </c>
      <c r="GZ60" s="59" t="b">
        <f t="shared" si="91"/>
        <v>1</v>
      </c>
      <c r="HA60" s="59">
        <f t="shared" si="92"/>
        <v>6.6559712089436965E-2</v>
      </c>
      <c r="HB60" s="59" t="e">
        <f t="shared" si="93"/>
        <v>#N/A</v>
      </c>
      <c r="HC60" s="59">
        <f t="shared" si="94"/>
        <v>6.6559712089436965E-2</v>
      </c>
      <c r="HD60" s="60" t="str">
        <f t="shared" si="95"/>
        <v/>
      </c>
      <c r="HJ60" s="59">
        <f t="shared" si="96"/>
        <v>50</v>
      </c>
      <c r="HK60" s="32">
        <f t="shared" si="97"/>
        <v>51</v>
      </c>
      <c r="HL60" s="59">
        <f t="shared" si="98"/>
        <v>-2.9305262066854905</v>
      </c>
      <c r="HM60" s="59" t="e">
        <f t="shared" si="99"/>
        <v>#N/A</v>
      </c>
      <c r="HN60" s="59">
        <f t="shared" si="100"/>
        <v>1.5656095335046926E-2</v>
      </c>
      <c r="HO60" s="59" t="e">
        <f t="shared" si="101"/>
        <v>#N/A</v>
      </c>
      <c r="HP60" s="59" t="e">
        <f t="shared" si="102"/>
        <v>#N/A</v>
      </c>
      <c r="HQ60" s="59" t="b">
        <f t="shared" si="103"/>
        <v>1</v>
      </c>
      <c r="HR60" s="59" t="b">
        <f t="shared" si="104"/>
        <v>0</v>
      </c>
      <c r="HS60" s="59" t="b">
        <f t="shared" si="105"/>
        <v>1</v>
      </c>
      <c r="HT60" s="59" t="b">
        <f t="shared" si="106"/>
        <v>0</v>
      </c>
      <c r="HU60" s="59">
        <f t="shared" si="107"/>
        <v>1.5656095335046926E-2</v>
      </c>
      <c r="HV60" s="59">
        <f t="shared" si="108"/>
        <v>1.5656095335046926E-2</v>
      </c>
      <c r="HW60" s="59" t="e">
        <f t="shared" si="109"/>
        <v>#N/A</v>
      </c>
      <c r="HX60" s="60" t="str">
        <f t="shared" si="110"/>
        <v/>
      </c>
    </row>
    <row r="61" spans="58:232" x14ac:dyDescent="0.2">
      <c r="BL61" s="53" t="s">
        <v>246</v>
      </c>
      <c r="BM61" s="86" t="e" cm="1">
        <f t="array" ref="BM61">IF($BJ$2,INDEX(E_k_valg[Venstre label base],E_k_aktiv),NA())</f>
        <v>#N/A</v>
      </c>
      <c r="BZ61" s="59">
        <f t="shared" si="36"/>
        <v>51</v>
      </c>
      <c r="CA61" s="32">
        <f>Eu_tabel_g[[#This Row],[Indeks]]+1</f>
        <v>52</v>
      </c>
      <c r="CB61" s="59">
        <f t="shared" si="37"/>
        <v>-1.8685125572177474</v>
      </c>
      <c r="CC61" s="59">
        <f t="shared" si="38"/>
        <v>6.962663337221206E-2</v>
      </c>
      <c r="CD61" s="59" t="e">
        <f t="shared" si="39"/>
        <v>#N/A</v>
      </c>
      <c r="CE61" s="59" t="e">
        <f t="shared" si="40"/>
        <v>#N/A</v>
      </c>
      <c r="CF61" s="59" t="e">
        <f t="shared" si="41"/>
        <v>#N/A</v>
      </c>
      <c r="CG61" s="59" t="b">
        <f t="shared" si="42"/>
        <v>0</v>
      </c>
      <c r="CH61" s="59" t="b">
        <f t="shared" si="43"/>
        <v>1</v>
      </c>
      <c r="CI61" s="59" t="b">
        <f t="shared" si="44"/>
        <v>0</v>
      </c>
      <c r="CJ61" s="59" t="b">
        <f t="shared" si="45"/>
        <v>1</v>
      </c>
      <c r="CK61" s="59">
        <f t="shared" si="118"/>
        <v>6.962663337221206E-2</v>
      </c>
      <c r="CL61" s="59" t="e">
        <f t="shared" si="47"/>
        <v>#N/A</v>
      </c>
      <c r="CM61" s="59">
        <f t="shared" si="48"/>
        <v>6.962663337221206E-2</v>
      </c>
      <c r="CN61" s="60" t="str">
        <f t="shared" si="49"/>
        <v/>
      </c>
      <c r="CO61" s="32">
        <f>_xlfn.NORM.DIST(_xlfn.NORM.INV(1-Eu_g_konfidensniveau,0,1)-Eu_tabel_g[[#This Row],[x base]],0,1,TRUE)</f>
        <v>0.58848864736652096</v>
      </c>
      <c r="CP61" s="32">
        <f>1-_xlfn.NORM.DIST(_xlfn.NORM.INV(Eu_g_konfidensniveau,0,1)-Eu_tabel_g[[#This Row],[x base]],0,1,TRUE)</f>
        <v>2.2123361219905657E-4</v>
      </c>
      <c r="CQ61" s="32">
        <f>_xlfn.NORM.DIST(_xlfn.NORM.INV((1-Eu_g_konfidensniveau)/2,0,1)-Eu_tabel_g[[#This Row],[x base]],0,1,TRUE)+1-_xlfn.NORM.DIST(_xlfn.NORM.INV(1-(1-Eu_g_konfidensniveau)/2,0,1)-Eu_tabel_g[[#This Row],[x base]],0,1,TRUE)</f>
        <v>0.46363141936747898</v>
      </c>
      <c r="CR61" s="32" t="e" cm="1">
        <f t="array" ref="CR61">IF($CR$3,INDEX(Eu_tabel_g[[#This Row],[Styrke venstre]:[Styrke tosidet]],CR$7),NA())</f>
        <v>#N/A</v>
      </c>
      <c r="CS61" s="52" t="e">
        <f>Eu_tabel_g[[#This Row],[Falsk positiv
Nulhypotese accepteres
Fejltype 1]]</f>
        <v>#N/A</v>
      </c>
      <c r="CT61" s="52" t="e">
        <f>IF(CHOOSE(CR$7,Eu_tabel_g[[#This Row],[x base]]&gt;0,Eu_tabel_g[[#This Row],[x base]]&lt;0,Eu_tabel_g[[#This Row],[x base]]=0),Eu_tabel_g[[#This Row],[Styrke, aktiv]],NA())</f>
        <v>#N/A</v>
      </c>
      <c r="CU61" s="52" t="e">
        <f>IFERROR(IF($CR$3,Eu_tabel_g[[#This Row],[Styrke, aktiv]],NA()),NA())</f>
        <v>#N/A</v>
      </c>
      <c r="CV61" s="52" t="e">
        <f>IF(ISNA(Eu_tabel_g[[#This Row],[Sand negativ
Nulhypotese afvises
Korrekt]]),NA(),IF($CR$3,1,NA()))</f>
        <v>#N/A</v>
      </c>
      <c r="CW61" s="34" t="str" cm="1">
        <f t="array" ref="CW61">_xlfn.SWITCH(BZ61,_xlfn.IFNA(CU$2,-99),CU$5,_xlfn.IFNA(CU$3,-99),CU$6,_xlfn.IFNA(CU$4,-99),CU$7,"")</f>
        <v/>
      </c>
      <c r="DA61" s="7">
        <f t="shared" si="50"/>
        <v>0.8</v>
      </c>
      <c r="DB61">
        <f>IF(ROW(Styrkeberegning_G[[#This Row],[X base venstre]])=ROW(Styrkeberegning_G[[#Headers],[X base venstre]])+1,DB$7/(DA$7/$B$67),DB60/(DA60/$B$67))</f>
        <v>-2.8015817870135784</v>
      </c>
      <c r="DC61">
        <f>Styrkeberegning_G[[#This Row],[X base venstre]]*-1</f>
        <v>2.8015817870135784</v>
      </c>
      <c r="DN61" s="59">
        <f t="shared" si="51"/>
        <v>51</v>
      </c>
      <c r="DO61" s="32">
        <f t="shared" si="52"/>
        <v>52</v>
      </c>
      <c r="DP61" s="59">
        <f t="shared" si="53"/>
        <v>7.6514663419207416</v>
      </c>
      <c r="DQ61" s="59" t="e">
        <f t="shared" si="54"/>
        <v>#N/A</v>
      </c>
      <c r="DR61" s="59" t="e">
        <f t="shared" si="55"/>
        <v>#N/A</v>
      </c>
      <c r="DS61" s="59">
        <f t="shared" si="56"/>
        <v>8.7263871490603204E-2</v>
      </c>
      <c r="DT61" s="59" t="e">
        <f t="shared" si="57"/>
        <v>#N/A</v>
      </c>
      <c r="DU61" s="59" t="b">
        <f t="shared" si="58"/>
        <v>0</v>
      </c>
      <c r="DV61" s="59" t="b">
        <f t="shared" si="59"/>
        <v>1</v>
      </c>
      <c r="DW61" s="59" t="b">
        <f t="shared" si="60"/>
        <v>0</v>
      </c>
      <c r="DX61" s="59" t="b">
        <f t="shared" si="61"/>
        <v>1</v>
      </c>
      <c r="DY61" s="59">
        <f t="shared" si="62"/>
        <v>8.7263871490603204E-2</v>
      </c>
      <c r="DZ61" s="59" t="e">
        <f t="shared" si="63"/>
        <v>#N/A</v>
      </c>
      <c r="EA61" s="59">
        <f t="shared" si="64"/>
        <v>8.7263871490603204E-2</v>
      </c>
      <c r="EB61" s="60" t="str">
        <f t="shared" si="65"/>
        <v/>
      </c>
      <c r="EG61" s="59">
        <f t="shared" si="66"/>
        <v>51</v>
      </c>
      <c r="EH61" s="32">
        <f t="shared" si="67"/>
        <v>52</v>
      </c>
      <c r="EI61" s="59">
        <f t="shared" si="68"/>
        <v>-1.8685125572177474</v>
      </c>
      <c r="EJ61" s="59">
        <f t="shared" si="69"/>
        <v>6.962663337221206E-2</v>
      </c>
      <c r="EK61" s="59" t="e">
        <f t="shared" si="70"/>
        <v>#N/A</v>
      </c>
      <c r="EL61" s="59" t="e">
        <f t="shared" si="71"/>
        <v>#N/A</v>
      </c>
      <c r="EM61" s="59" t="e">
        <f t="shared" si="72"/>
        <v>#N/A</v>
      </c>
      <c r="EN61" s="59" t="b">
        <f t="shared" si="73"/>
        <v>0</v>
      </c>
      <c r="EO61" s="59" t="b">
        <f t="shared" si="74"/>
        <v>1</v>
      </c>
      <c r="EP61" s="59" t="b">
        <f t="shared" si="75"/>
        <v>0</v>
      </c>
      <c r="EQ61" s="59" t="b">
        <f t="shared" si="76"/>
        <v>1</v>
      </c>
      <c r="ER61" s="59">
        <f t="shared" si="77"/>
        <v>6.962663337221206E-2</v>
      </c>
      <c r="ES61" s="59" t="e">
        <f t="shared" si="78"/>
        <v>#N/A</v>
      </c>
      <c r="ET61" s="59">
        <f t="shared" si="79"/>
        <v>6.962663337221206E-2</v>
      </c>
      <c r="EU61" s="60" t="str">
        <f t="shared" si="80"/>
        <v/>
      </c>
      <c r="EV6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1" s="32" t="e" cm="1">
        <f t="array" ref="EY61">IF($CR$3,INDEX(Eu_tabel_a[[#This Row],[Styrke venstre]:[Styrke tosidet]],EY$7),NA())</f>
        <v>#N/A</v>
      </c>
      <c r="EZ61" s="32" t="e">
        <f>IF(EY$3,IF(CHOOSE(EY$7,Eu_tabel_a[[#This Row],[x base]]&gt;0,Eu_tabel_a[[#This Row],[x base]]&lt;0,Eu_tabel_a[[#This Row],[x base]]=0),1,NA()),NA())</f>
        <v>#N/A</v>
      </c>
      <c r="FA61" s="32" t="e">
        <f>IF(CHOOSE(EY$7,Eu_tabel_a[[#This Row],[x base]]&gt;0,Eu_tabel_a[[#This Row],[x base]]&lt;0,Eu_tabel_a[[#This Row],[x base]]=0),Eu_tabel_a[[#This Row],[Styrke, aktiv]],NA())</f>
        <v>#N/A</v>
      </c>
      <c r="FB61" s="32" t="e">
        <f>IFERROR(IF($EY$3,Eu_tabel_a[[#This Row],[Styrke, aktiv]],NA()),NA())</f>
        <v>#N/A</v>
      </c>
      <c r="FC61" s="32" t="e">
        <f>IF(ISNA(Eu_tabel_a[[#This Row],[Sand negativ
Nulhypotese afvises
Korrekt]]),NA(),IF(EY$3,1,NA()))</f>
        <v>#N/A</v>
      </c>
      <c r="FD61" s="33" t="str" cm="1">
        <f t="array" ref="FD61">IFERROR(_xlfn.SWITCH(Eu_tabel_a[[#This Row],[Indeks]],_xlfn.IFNA(FB$2,-99),FB$5,_xlfn.IFNA(FB$3,-99),FB$6,_xlfn.IFNA(FB$4,-99),FB$7,""),"")</f>
        <v/>
      </c>
      <c r="FE61" s="32">
        <f>Eu_tabel_a[[#This Row],[x base]]*SQRT(Eu_a_h0_x*(1-Eu_a_h0_x)/Eu_a_n_x)+Eu_a_h0_x</f>
        <v>0</v>
      </c>
      <c r="FJ61" s="74" t="e">
        <f t="shared" si="18"/>
        <v>#N/A</v>
      </c>
      <c r="FK61" s="82" t="e">
        <f t="shared" si="113"/>
        <v>#DIV/0!</v>
      </c>
      <c r="FL61" s="7" t="e">
        <f t="shared" si="12"/>
        <v>#DIV/0!</v>
      </c>
      <c r="FM61" t="e">
        <f t="shared" si="114"/>
        <v>#DIV/0!</v>
      </c>
      <c r="FN61" s="8" t="e">
        <f t="shared" si="115"/>
        <v>#DIV/0!</v>
      </c>
      <c r="FO61" s="8" t="e">
        <f t="shared" si="116"/>
        <v>#DIV/0!</v>
      </c>
      <c r="FP61" s="81" t="e">
        <f t="shared" si="117"/>
        <v>#DIV/0!</v>
      </c>
      <c r="FQ61" s="74" t="e">
        <f t="shared" ca="1" si="13"/>
        <v>#N/A</v>
      </c>
      <c r="FR61" s="82" t="e" vm="3">
        <f t="shared" ca="1" si="19"/>
        <v>#VALUE!</v>
      </c>
      <c r="FS61" s="7" t="e" vm="3">
        <f t="shared" ca="1" si="14"/>
        <v>#VALUE!</v>
      </c>
      <c r="FT61" t="e" vm="3">
        <f t="shared" ca="1" si="8"/>
        <v>#VALUE!</v>
      </c>
      <c r="FU61" s="8" t="e" vm="3">
        <f t="shared" ca="1" si="9"/>
        <v>#VALUE!</v>
      </c>
      <c r="FV61" s="8" t="e" vm="3">
        <f t="shared" ca="1" si="10"/>
        <v>#VALUE!</v>
      </c>
      <c r="FW61" s="81" t="e" vm="3">
        <f t="shared" ca="1" si="11"/>
        <v>#VALUE!</v>
      </c>
      <c r="FX61" s="74" t="e">
        <f t="shared" si="15"/>
        <v>#N/A</v>
      </c>
      <c r="FY61" s="82" t="e">
        <f t="shared" si="20"/>
        <v>#N/A</v>
      </c>
      <c r="FZ61" s="7" t="e">
        <f t="shared" si="16"/>
        <v>#N/A</v>
      </c>
      <c r="GA61" t="e">
        <f t="shared" si="21"/>
        <v>#N/A</v>
      </c>
      <c r="GB61" s="8" t="e">
        <f t="shared" si="22"/>
        <v>#N/A</v>
      </c>
      <c r="GC61" s="8" t="e">
        <f t="shared" si="23"/>
        <v>#N/A</v>
      </c>
      <c r="GD61" s="81" t="e">
        <f t="shared" si="24"/>
        <v>#N/A</v>
      </c>
      <c r="GE61" s="74" t="e">
        <f t="shared" si="25"/>
        <v>#N/A</v>
      </c>
      <c r="GF61" s="82" t="e">
        <f t="shared" si="26"/>
        <v>#N/A</v>
      </c>
      <c r="GG61" s="7" t="e">
        <f t="shared" si="17"/>
        <v>#N/A</v>
      </c>
      <c r="GH61" t="e">
        <f t="shared" si="27"/>
        <v>#N/A</v>
      </c>
      <c r="GI61" s="8" t="e">
        <f t="shared" si="28"/>
        <v>#N/A</v>
      </c>
      <c r="GJ61" s="8" t="e">
        <f t="shared" si="29"/>
        <v>#N/A</v>
      </c>
      <c r="GK61" s="81" t="e">
        <f t="shared" si="30"/>
        <v>#N/A</v>
      </c>
      <c r="GL61" s="81"/>
      <c r="GM61" s="81"/>
      <c r="GP61" s="59">
        <f t="shared" si="81"/>
        <v>51</v>
      </c>
      <c r="GQ61" s="32">
        <f t="shared" si="82"/>
        <v>52</v>
      </c>
      <c r="GR61" s="59">
        <f t="shared" si="83"/>
        <v>-1.8685125572177474</v>
      </c>
      <c r="GS61" s="59">
        <f t="shared" si="84"/>
        <v>6.962663337221206E-2</v>
      </c>
      <c r="GT61" s="59" t="e">
        <f t="shared" si="85"/>
        <v>#N/A</v>
      </c>
      <c r="GU61" s="59" t="e">
        <f t="shared" si="86"/>
        <v>#N/A</v>
      </c>
      <c r="GV61" s="59" t="e">
        <f t="shared" si="87"/>
        <v>#N/A</v>
      </c>
      <c r="GW61" s="59" t="b">
        <f t="shared" si="88"/>
        <v>0</v>
      </c>
      <c r="GX61" s="59" t="b">
        <f t="shared" si="89"/>
        <v>1</v>
      </c>
      <c r="GY61" s="59" t="b">
        <f t="shared" si="90"/>
        <v>0</v>
      </c>
      <c r="GZ61" s="59" t="b">
        <f t="shared" si="91"/>
        <v>1</v>
      </c>
      <c r="HA61" s="59">
        <f t="shared" si="92"/>
        <v>6.962663337221206E-2</v>
      </c>
      <c r="HB61" s="59" t="e">
        <f t="shared" si="93"/>
        <v>#N/A</v>
      </c>
      <c r="HC61" s="59">
        <f t="shared" si="94"/>
        <v>6.962663337221206E-2</v>
      </c>
      <c r="HD61" s="60" t="str">
        <f t="shared" si="95"/>
        <v/>
      </c>
      <c r="HJ61" s="59">
        <f t="shared" si="96"/>
        <v>51</v>
      </c>
      <c r="HK61" s="32">
        <f t="shared" si="97"/>
        <v>52</v>
      </c>
      <c r="HL61" s="59">
        <f t="shared" si="98"/>
        <v>-2.8934309382464338</v>
      </c>
      <c r="HM61" s="59" t="e">
        <f t="shared" si="99"/>
        <v>#N/A</v>
      </c>
      <c r="HN61" s="59">
        <f t="shared" si="100"/>
        <v>1.6554963588224721E-2</v>
      </c>
      <c r="HO61" s="59" t="e">
        <f t="shared" si="101"/>
        <v>#N/A</v>
      </c>
      <c r="HP61" s="59" t="e">
        <f t="shared" si="102"/>
        <v>#N/A</v>
      </c>
      <c r="HQ61" s="59" t="b">
        <f t="shared" si="103"/>
        <v>1</v>
      </c>
      <c r="HR61" s="59" t="b">
        <f t="shared" si="104"/>
        <v>0</v>
      </c>
      <c r="HS61" s="59" t="b">
        <f t="shared" si="105"/>
        <v>1</v>
      </c>
      <c r="HT61" s="59" t="b">
        <f t="shared" si="106"/>
        <v>0</v>
      </c>
      <c r="HU61" s="59">
        <f t="shared" si="107"/>
        <v>1.6554963588224721E-2</v>
      </c>
      <c r="HV61" s="59">
        <f t="shared" si="108"/>
        <v>1.6554963588224721E-2</v>
      </c>
      <c r="HW61" s="59" t="e">
        <f t="shared" si="109"/>
        <v>#N/A</v>
      </c>
      <c r="HX61" s="60" t="str">
        <f t="shared" si="110"/>
        <v/>
      </c>
    </row>
    <row r="62" spans="58:232" x14ac:dyDescent="0.2">
      <c r="BL62" s="53" t="s">
        <v>247</v>
      </c>
      <c r="BM62" s="86" t="e" cm="1">
        <f t="array" ref="BM62">IF($BJ$2,INDEX(E_k_valg[Højre label base],E_k_aktiv),NA())</f>
        <v>#N/A</v>
      </c>
      <c r="BZ62" s="32">
        <f t="shared" si="36"/>
        <v>52</v>
      </c>
      <c r="CA62" s="32">
        <f>Eu_tabel_g[[#This Row],[Indeks]]+1</f>
        <v>53</v>
      </c>
      <c r="CB62" s="32">
        <f t="shared" si="37"/>
        <v>-1.8445572680226483</v>
      </c>
      <c r="CC62" s="32">
        <f t="shared" si="38"/>
        <v>7.279308673556574E-2</v>
      </c>
      <c r="CD62" s="32" t="e">
        <f t="shared" si="39"/>
        <v>#N/A</v>
      </c>
      <c r="CE62" s="32" t="e">
        <f t="shared" si="40"/>
        <v>#N/A</v>
      </c>
      <c r="CF62" s="32" t="e">
        <f t="shared" si="41"/>
        <v>#N/A</v>
      </c>
      <c r="CG62" s="32" t="b">
        <f t="shared" si="42"/>
        <v>0</v>
      </c>
      <c r="CH62" s="32" t="b">
        <f t="shared" si="43"/>
        <v>1</v>
      </c>
      <c r="CI62" s="32" t="b">
        <f t="shared" si="44"/>
        <v>0</v>
      </c>
      <c r="CJ62" s="32" t="b">
        <f t="shared" si="45"/>
        <v>1</v>
      </c>
      <c r="CK62" s="32">
        <f t="shared" ref="CK62:CK93" si="119">_xlfn.AGGREGATE(9,6,CC62:CF62)</f>
        <v>7.279308673556574E-2</v>
      </c>
      <c r="CL62" s="32" t="e">
        <f t="shared" si="47"/>
        <v>#N/A</v>
      </c>
      <c r="CM62" s="32">
        <f t="shared" si="48"/>
        <v>7.279308673556574E-2</v>
      </c>
      <c r="CN62" s="45" t="str">
        <f t="shared" si="49"/>
        <v/>
      </c>
      <c r="CO62" s="32">
        <f>_xlfn.NORM.DIST(_xlfn.NORM.INV(1-Eu_g_konfidensniveau,0,1)-Eu_tabel_g[[#This Row],[x base]],0,1,TRUE)</f>
        <v>0.57914381701234707</v>
      </c>
      <c r="CP62" s="32">
        <f>1-_xlfn.NORM.DIST(_xlfn.NORM.INV(Eu_g_konfidensniveau,0,1)-Eu_tabel_g[[#This Row],[x base]],0,1,TRUE)</f>
        <v>2.4204320849685601E-4</v>
      </c>
      <c r="CQ62" s="32">
        <f>_xlfn.NORM.DIST(_xlfn.NORM.INV((1-Eu_g_konfidensniveau)/2,0,1)-Eu_tabel_g[[#This Row],[x base]],0,1,TRUE)+1-_xlfn.NORM.DIST(_xlfn.NORM.INV(1-(1-Eu_g_konfidensniveau)/2,0,1)-Eu_tabel_g[[#This Row],[x base]],0,1,TRUE)</f>
        <v>0.45413241711912855</v>
      </c>
      <c r="CR62" s="32" t="e" cm="1">
        <f t="array" ref="CR62">IF($CR$3,INDEX(Eu_tabel_g[[#This Row],[Styrke venstre]:[Styrke tosidet]],CR$7),NA())</f>
        <v>#N/A</v>
      </c>
      <c r="CS62" s="52" t="e">
        <f>Eu_tabel_g[[#This Row],[Falsk positiv
Nulhypotese accepteres
Fejltype 1]]</f>
        <v>#N/A</v>
      </c>
      <c r="CT62" s="52" t="e">
        <f>IF(CHOOSE(CR$7,Eu_tabel_g[[#This Row],[x base]]&gt;0,Eu_tabel_g[[#This Row],[x base]]&lt;0,Eu_tabel_g[[#This Row],[x base]]=0),Eu_tabel_g[[#This Row],[Styrke, aktiv]],NA())</f>
        <v>#N/A</v>
      </c>
      <c r="CU62" s="52" t="e">
        <f>IFERROR(IF($CR$3,Eu_tabel_g[[#This Row],[Styrke, aktiv]],NA()),NA())</f>
        <v>#N/A</v>
      </c>
      <c r="CV62" s="52" t="e">
        <f>IF(ISNA(Eu_tabel_g[[#This Row],[Sand negativ
Nulhypotese afvises
Korrekt]]),NA(),IF($CR$3,1,NA()))</f>
        <v>#N/A</v>
      </c>
      <c r="CW62" s="34" t="str" cm="1">
        <f t="array" ref="CW62">_xlfn.SWITCH(BZ62,_xlfn.IFNA(CU$2,-99),CU$5,_xlfn.IFNA(CU$3,-99),CU$6,_xlfn.IFNA(CU$4,-99),CU$7,"")</f>
        <v/>
      </c>
      <c r="DA62" s="7">
        <f t="shared" si="50"/>
        <v>0.8</v>
      </c>
      <c r="DB62">
        <f>IF(ROW(Styrkeberegning_G[[#This Row],[X base venstre]])=ROW(Styrkeberegning_G[[#Headers],[X base venstre]])+1,DB$7/(DA$7/$B$67),DB61/(DA61/$B$67))</f>
        <v>-2.8015817870135784</v>
      </c>
      <c r="DC62">
        <f>Styrkeberegning_G[[#This Row],[X base venstre]]*-1</f>
        <v>2.8015817870135784</v>
      </c>
      <c r="DN62" s="32">
        <f t="shared" si="51"/>
        <v>52</v>
      </c>
      <c r="DO62" s="32">
        <f t="shared" si="52"/>
        <v>53</v>
      </c>
      <c r="DP62" s="32">
        <f t="shared" si="53"/>
        <v>7.7655371983377428</v>
      </c>
      <c r="DQ62" s="32" t="e">
        <f t="shared" si="54"/>
        <v>#N/A</v>
      </c>
      <c r="DR62" s="32" t="e">
        <f t="shared" si="55"/>
        <v>#N/A</v>
      </c>
      <c r="DS62" s="32">
        <f t="shared" si="56"/>
        <v>8.8101854451371309E-2</v>
      </c>
      <c r="DT62" s="32" t="e">
        <f t="shared" si="57"/>
        <v>#N/A</v>
      </c>
      <c r="DU62" s="32" t="b">
        <f t="shared" si="58"/>
        <v>0</v>
      </c>
      <c r="DV62" s="32" t="b">
        <f t="shared" si="59"/>
        <v>1</v>
      </c>
      <c r="DW62" s="32" t="b">
        <f t="shared" si="60"/>
        <v>0</v>
      </c>
      <c r="DX62" s="32" t="b">
        <f t="shared" si="61"/>
        <v>1</v>
      </c>
      <c r="DY62" s="32">
        <f t="shared" si="62"/>
        <v>8.8101854451371309E-2</v>
      </c>
      <c r="DZ62" s="32" t="e">
        <f t="shared" si="63"/>
        <v>#N/A</v>
      </c>
      <c r="EA62" s="32">
        <f t="shared" si="64"/>
        <v>8.8101854451371309E-2</v>
      </c>
      <c r="EB62" s="45" t="str">
        <f t="shared" si="65"/>
        <v/>
      </c>
      <c r="EG62" s="32">
        <f t="shared" si="66"/>
        <v>52</v>
      </c>
      <c r="EH62" s="32">
        <f t="shared" si="67"/>
        <v>53</v>
      </c>
      <c r="EI62" s="32">
        <f t="shared" si="68"/>
        <v>-1.8445572680226483</v>
      </c>
      <c r="EJ62" s="32">
        <f t="shared" si="69"/>
        <v>7.279308673556574E-2</v>
      </c>
      <c r="EK62" s="32" t="e">
        <f t="shared" si="70"/>
        <v>#N/A</v>
      </c>
      <c r="EL62" s="32" t="e">
        <f t="shared" si="71"/>
        <v>#N/A</v>
      </c>
      <c r="EM62" s="32" t="e">
        <f t="shared" si="72"/>
        <v>#N/A</v>
      </c>
      <c r="EN62" s="32" t="b">
        <f t="shared" si="73"/>
        <v>0</v>
      </c>
      <c r="EO62" s="32" t="b">
        <f t="shared" si="74"/>
        <v>1</v>
      </c>
      <c r="EP62" s="32" t="b">
        <f t="shared" si="75"/>
        <v>0</v>
      </c>
      <c r="EQ62" s="32" t="b">
        <f t="shared" si="76"/>
        <v>1</v>
      </c>
      <c r="ER62" s="32">
        <f t="shared" si="77"/>
        <v>7.279308673556574E-2</v>
      </c>
      <c r="ES62" s="32" t="e">
        <f t="shared" si="78"/>
        <v>#N/A</v>
      </c>
      <c r="ET62" s="32">
        <f t="shared" si="79"/>
        <v>7.279308673556574E-2</v>
      </c>
      <c r="EU62" s="45" t="str">
        <f t="shared" si="80"/>
        <v/>
      </c>
      <c r="EV6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2" s="32" t="e" cm="1">
        <f t="array" ref="EY62">IF($CR$3,INDEX(Eu_tabel_a[[#This Row],[Styrke venstre]:[Styrke tosidet]],EY$7),NA())</f>
        <v>#N/A</v>
      </c>
      <c r="EZ62" s="32" t="e">
        <f>IF(EY$3,IF(CHOOSE(EY$7,Eu_tabel_a[[#This Row],[x base]]&gt;0,Eu_tabel_a[[#This Row],[x base]]&lt;0,Eu_tabel_a[[#This Row],[x base]]=0),1,NA()),NA())</f>
        <v>#N/A</v>
      </c>
      <c r="FA62" s="32" t="e">
        <f>IF(CHOOSE(EY$7,Eu_tabel_a[[#This Row],[x base]]&gt;0,Eu_tabel_a[[#This Row],[x base]]&lt;0,Eu_tabel_a[[#This Row],[x base]]=0),Eu_tabel_a[[#This Row],[Styrke, aktiv]],NA())</f>
        <v>#N/A</v>
      </c>
      <c r="FB62" s="32" t="e">
        <f>IFERROR(IF($EY$3,Eu_tabel_a[[#This Row],[Styrke, aktiv]],NA()),NA())</f>
        <v>#N/A</v>
      </c>
      <c r="FC62" s="32" t="e">
        <f>IF(ISNA(Eu_tabel_a[[#This Row],[Sand negativ
Nulhypotese afvises
Korrekt]]),NA(),IF(EY$3,1,NA()))</f>
        <v>#N/A</v>
      </c>
      <c r="FD62" s="33" t="str" cm="1">
        <f t="array" ref="FD62">IFERROR(_xlfn.SWITCH(Eu_tabel_a[[#This Row],[Indeks]],_xlfn.IFNA(FB$2,-99),FB$5,_xlfn.IFNA(FB$3,-99),FB$6,_xlfn.IFNA(FB$4,-99),FB$7,""),"")</f>
        <v/>
      </c>
      <c r="FE62" s="32">
        <f>Eu_tabel_a[[#This Row],[x base]]*SQRT(Eu_a_h0_x*(1-Eu_a_h0_x)/Eu_a_n_x)+Eu_a_h0_x</f>
        <v>0</v>
      </c>
      <c r="FJ62" s="74" t="e">
        <f t="shared" si="18"/>
        <v>#N/A</v>
      </c>
      <c r="FK62" s="82" t="e">
        <f t="shared" si="113"/>
        <v>#DIV/0!</v>
      </c>
      <c r="FL62" s="7" t="e">
        <f t="shared" si="12"/>
        <v>#DIV/0!</v>
      </c>
      <c r="FM62" t="e">
        <f t="shared" si="114"/>
        <v>#DIV/0!</v>
      </c>
      <c r="FN62" s="8" t="e">
        <f t="shared" si="115"/>
        <v>#DIV/0!</v>
      </c>
      <c r="FO62" s="8" t="e">
        <f t="shared" si="116"/>
        <v>#DIV/0!</v>
      </c>
      <c r="FP62" s="81" t="e">
        <f t="shared" si="117"/>
        <v>#DIV/0!</v>
      </c>
      <c r="FQ62" s="74" t="e">
        <f t="shared" ca="1" si="13"/>
        <v>#N/A</v>
      </c>
      <c r="FR62" s="82" t="e" vm="3">
        <f t="shared" ca="1" si="19"/>
        <v>#VALUE!</v>
      </c>
      <c r="FS62" s="7" t="e" vm="3">
        <f t="shared" ca="1" si="14"/>
        <v>#VALUE!</v>
      </c>
      <c r="FT62" t="e" vm="3">
        <f t="shared" ca="1" si="8"/>
        <v>#VALUE!</v>
      </c>
      <c r="FU62" s="8" t="e" vm="3">
        <f t="shared" ca="1" si="9"/>
        <v>#VALUE!</v>
      </c>
      <c r="FV62" s="8" t="e" vm="3">
        <f t="shared" ca="1" si="10"/>
        <v>#VALUE!</v>
      </c>
      <c r="FW62" s="81" t="e" vm="3">
        <f t="shared" ca="1" si="11"/>
        <v>#VALUE!</v>
      </c>
      <c r="FX62" s="74" t="e">
        <f t="shared" si="15"/>
        <v>#N/A</v>
      </c>
      <c r="FY62" s="82" t="e">
        <f t="shared" si="20"/>
        <v>#N/A</v>
      </c>
      <c r="FZ62" s="7" t="e">
        <f t="shared" si="16"/>
        <v>#N/A</v>
      </c>
      <c r="GA62" t="e">
        <f t="shared" si="21"/>
        <v>#N/A</v>
      </c>
      <c r="GB62" s="8" t="e">
        <f t="shared" si="22"/>
        <v>#N/A</v>
      </c>
      <c r="GC62" s="8" t="e">
        <f t="shared" si="23"/>
        <v>#N/A</v>
      </c>
      <c r="GD62" s="81" t="e">
        <f t="shared" si="24"/>
        <v>#N/A</v>
      </c>
      <c r="GE62" s="74" t="e">
        <f t="shared" si="25"/>
        <v>#N/A</v>
      </c>
      <c r="GF62" s="82" t="e">
        <f t="shared" si="26"/>
        <v>#N/A</v>
      </c>
      <c r="GG62" s="7" t="e">
        <f t="shared" si="17"/>
        <v>#N/A</v>
      </c>
      <c r="GH62" t="e">
        <f t="shared" si="27"/>
        <v>#N/A</v>
      </c>
      <c r="GI62" s="8" t="e">
        <f t="shared" si="28"/>
        <v>#N/A</v>
      </c>
      <c r="GJ62" s="8" t="e">
        <f t="shared" si="29"/>
        <v>#N/A</v>
      </c>
      <c r="GK62" s="81" t="e">
        <f t="shared" si="30"/>
        <v>#N/A</v>
      </c>
      <c r="GL62" s="81"/>
      <c r="GM62" s="81"/>
      <c r="GP62" s="32">
        <f t="shared" si="81"/>
        <v>52</v>
      </c>
      <c r="GQ62" s="32">
        <f t="shared" si="82"/>
        <v>53</v>
      </c>
      <c r="GR62" s="32">
        <f t="shared" si="83"/>
        <v>-1.8445572680226483</v>
      </c>
      <c r="GS62" s="32">
        <f t="shared" si="84"/>
        <v>7.279308673556574E-2</v>
      </c>
      <c r="GT62" s="32" t="e">
        <f t="shared" si="85"/>
        <v>#N/A</v>
      </c>
      <c r="GU62" s="32" t="e">
        <f t="shared" si="86"/>
        <v>#N/A</v>
      </c>
      <c r="GV62" s="32" t="e">
        <f t="shared" si="87"/>
        <v>#N/A</v>
      </c>
      <c r="GW62" s="32" t="b">
        <f t="shared" si="88"/>
        <v>0</v>
      </c>
      <c r="GX62" s="32" t="b">
        <f t="shared" si="89"/>
        <v>1</v>
      </c>
      <c r="GY62" s="32" t="b">
        <f t="shared" si="90"/>
        <v>0</v>
      </c>
      <c r="GZ62" s="32" t="b">
        <f t="shared" si="91"/>
        <v>1</v>
      </c>
      <c r="HA62" s="32">
        <f t="shared" si="92"/>
        <v>7.279308673556574E-2</v>
      </c>
      <c r="HB62" s="32" t="e">
        <f t="shared" si="93"/>
        <v>#N/A</v>
      </c>
      <c r="HC62" s="32">
        <f t="shared" si="94"/>
        <v>7.279308673556574E-2</v>
      </c>
      <c r="HD62" s="45" t="str">
        <f t="shared" si="95"/>
        <v/>
      </c>
      <c r="HJ62" s="32">
        <f t="shared" si="96"/>
        <v>52</v>
      </c>
      <c r="HK62" s="32">
        <f t="shared" si="97"/>
        <v>53</v>
      </c>
      <c r="HL62" s="32">
        <f t="shared" si="98"/>
        <v>-2.8563356698073772</v>
      </c>
      <c r="HM62" s="32" t="e">
        <f t="shared" si="99"/>
        <v>#N/A</v>
      </c>
      <c r="HN62" s="32">
        <f t="shared" si="100"/>
        <v>1.750655719349652E-2</v>
      </c>
      <c r="HO62" s="32" t="e">
        <f t="shared" si="101"/>
        <v>#N/A</v>
      </c>
      <c r="HP62" s="32" t="e">
        <f t="shared" si="102"/>
        <v>#N/A</v>
      </c>
      <c r="HQ62" s="32" t="b">
        <f t="shared" si="103"/>
        <v>1</v>
      </c>
      <c r="HR62" s="32" t="b">
        <f t="shared" si="104"/>
        <v>0</v>
      </c>
      <c r="HS62" s="32" t="b">
        <f t="shared" si="105"/>
        <v>1</v>
      </c>
      <c r="HT62" s="32" t="b">
        <f t="shared" si="106"/>
        <v>0</v>
      </c>
      <c r="HU62" s="32">
        <f t="shared" si="107"/>
        <v>1.750655719349652E-2</v>
      </c>
      <c r="HV62" s="32">
        <f t="shared" si="108"/>
        <v>1.750655719349652E-2</v>
      </c>
      <c r="HW62" s="32" t="e">
        <f t="shared" si="109"/>
        <v>#N/A</v>
      </c>
      <c r="HX62" s="45" t="str">
        <f t="shared" si="110"/>
        <v/>
      </c>
    </row>
    <row r="63" spans="58:232" x14ac:dyDescent="0.2">
      <c r="BL63" s="53" t="s">
        <v>249</v>
      </c>
      <c r="BM63" s="86" t="str" cm="1">
        <f t="array" ref="BM63">IF(NOT($BJ$2),INDEX(E_k_valg[Fordeling],E_k_aktiv),NA())</f>
        <v>t-fordeling</v>
      </c>
      <c r="BZ63" s="32">
        <f t="shared" si="36"/>
        <v>53</v>
      </c>
      <c r="CA63" s="32">
        <f>Eu_tabel_g[[#This Row],[Indeks]]+1</f>
        <v>54</v>
      </c>
      <c r="CB63" s="32">
        <f t="shared" si="37"/>
        <v>-1.8206019788275489</v>
      </c>
      <c r="CC63" s="32">
        <f t="shared" si="38"/>
        <v>7.6059882914996185E-2</v>
      </c>
      <c r="CD63" s="32" t="e">
        <f t="shared" si="39"/>
        <v>#N/A</v>
      </c>
      <c r="CE63" s="32" t="e">
        <f t="shared" si="40"/>
        <v>#N/A</v>
      </c>
      <c r="CF63" s="32" t="e">
        <f t="shared" si="41"/>
        <v>#N/A</v>
      </c>
      <c r="CG63" s="32" t="b">
        <f t="shared" si="42"/>
        <v>0</v>
      </c>
      <c r="CH63" s="32" t="b">
        <f t="shared" si="43"/>
        <v>1</v>
      </c>
      <c r="CI63" s="32" t="b">
        <f t="shared" si="44"/>
        <v>0</v>
      </c>
      <c r="CJ63" s="32" t="b">
        <f t="shared" si="45"/>
        <v>1</v>
      </c>
      <c r="CK63" s="32">
        <f t="shared" si="119"/>
        <v>7.6059882914996185E-2</v>
      </c>
      <c r="CL63" s="32" t="e">
        <f t="shared" si="47"/>
        <v>#N/A</v>
      </c>
      <c r="CM63" s="32">
        <f t="shared" si="48"/>
        <v>7.6059882914996185E-2</v>
      </c>
      <c r="CN63" s="45" t="str">
        <f t="shared" si="49"/>
        <v/>
      </c>
      <c r="CO63" s="32">
        <f>_xlfn.NORM.DIST(_xlfn.NORM.INV(1-Eu_g_konfidensniveau,0,1)-Eu_tabel_g[[#This Row],[x base]],0,1,TRUE)</f>
        <v>0.56975417642104742</v>
      </c>
      <c r="CP63" s="32">
        <f>1-_xlfn.NORM.DIST(_xlfn.NORM.INV(Eu_g_konfidensniveau,0,1)-Eu_tabel_g[[#This Row],[x base]],0,1,TRUE)</f>
        <v>2.6466695513982508E-4</v>
      </c>
      <c r="CQ63" s="32">
        <f>_xlfn.NORM.DIST(_xlfn.NORM.INV((1-Eu_g_konfidensniveau)/2,0,1)-Eu_tabel_g[[#This Row],[x base]],0,1,TRUE)+1-_xlfn.NORM.DIST(_xlfn.NORM.INV(1-(1-Eu_g_konfidensniveau)/2,0,1)-Eu_tabel_g[[#This Row],[x base]],0,1,TRUE)</f>
        <v>0.44466028331450513</v>
      </c>
      <c r="CR63" s="32" t="e" cm="1">
        <f t="array" ref="CR63">IF($CR$3,INDEX(Eu_tabel_g[[#This Row],[Styrke venstre]:[Styrke tosidet]],CR$7),NA())</f>
        <v>#N/A</v>
      </c>
      <c r="CS63" s="52" t="e">
        <f>Eu_tabel_g[[#This Row],[Falsk positiv
Nulhypotese accepteres
Fejltype 1]]</f>
        <v>#N/A</v>
      </c>
      <c r="CT63" s="52" t="e">
        <f>IF(CHOOSE(CR$7,Eu_tabel_g[[#This Row],[x base]]&gt;0,Eu_tabel_g[[#This Row],[x base]]&lt;0,Eu_tabel_g[[#This Row],[x base]]=0),Eu_tabel_g[[#This Row],[Styrke, aktiv]],NA())</f>
        <v>#N/A</v>
      </c>
      <c r="CU63" s="52" t="e">
        <f>IFERROR(IF($CR$3,Eu_tabel_g[[#This Row],[Styrke, aktiv]],NA()),NA())</f>
        <v>#N/A</v>
      </c>
      <c r="CV63" s="52" t="e">
        <f>IF(ISNA(Eu_tabel_g[[#This Row],[Sand negativ
Nulhypotese afvises
Korrekt]]),NA(),IF($CR$3,1,NA()))</f>
        <v>#N/A</v>
      </c>
      <c r="CW63" s="34" t="str" cm="1">
        <f t="array" ref="CW63">_xlfn.SWITCH(BZ63,_xlfn.IFNA(CU$2,-99),CU$5,_xlfn.IFNA(CU$3,-99),CU$6,_xlfn.IFNA(CU$4,-99),CU$7,"")</f>
        <v/>
      </c>
      <c r="DA63" s="7">
        <f t="shared" si="50"/>
        <v>0.8</v>
      </c>
      <c r="DB63">
        <f>IF(ROW(Styrkeberegning_G[[#This Row],[X base venstre]])=ROW(Styrkeberegning_G[[#Headers],[X base venstre]])+1,DB$7/(DA$7/$B$67),DB62/(DA62/$B$67))</f>
        <v>-2.8015817870135784</v>
      </c>
      <c r="DC63">
        <f>Styrkeberegning_G[[#This Row],[X base venstre]]*-1</f>
        <v>2.8015817870135784</v>
      </c>
      <c r="DN63" s="32">
        <f t="shared" si="51"/>
        <v>53</v>
      </c>
      <c r="DO63" s="32">
        <f t="shared" si="52"/>
        <v>54</v>
      </c>
      <c r="DP63" s="32">
        <f t="shared" si="53"/>
        <v>7.879608054754744</v>
      </c>
      <c r="DQ63" s="32" t="e">
        <f t="shared" si="54"/>
        <v>#N/A</v>
      </c>
      <c r="DR63" s="32" t="e">
        <f t="shared" si="55"/>
        <v>#N/A</v>
      </c>
      <c r="DS63" s="32">
        <f t="shared" si="56"/>
        <v>8.8861548723025457E-2</v>
      </c>
      <c r="DT63" s="32" t="e">
        <f t="shared" si="57"/>
        <v>#N/A</v>
      </c>
      <c r="DU63" s="32" t="b">
        <f t="shared" si="58"/>
        <v>0</v>
      </c>
      <c r="DV63" s="32" t="b">
        <f t="shared" si="59"/>
        <v>1</v>
      </c>
      <c r="DW63" s="32" t="b">
        <f t="shared" si="60"/>
        <v>0</v>
      </c>
      <c r="DX63" s="32" t="b">
        <f t="shared" si="61"/>
        <v>1</v>
      </c>
      <c r="DY63" s="32">
        <f t="shared" si="62"/>
        <v>8.8861548723025457E-2</v>
      </c>
      <c r="DZ63" s="32" t="e">
        <f t="shared" si="63"/>
        <v>#N/A</v>
      </c>
      <c r="EA63" s="32">
        <f t="shared" si="64"/>
        <v>8.8861548723025457E-2</v>
      </c>
      <c r="EB63" s="45" t="str">
        <f t="shared" si="65"/>
        <v/>
      </c>
      <c r="EG63" s="32">
        <f t="shared" si="66"/>
        <v>53</v>
      </c>
      <c r="EH63" s="32">
        <f t="shared" si="67"/>
        <v>54</v>
      </c>
      <c r="EI63" s="32">
        <f t="shared" si="68"/>
        <v>-1.8206019788275489</v>
      </c>
      <c r="EJ63" s="32">
        <f t="shared" si="69"/>
        <v>7.6059882914996185E-2</v>
      </c>
      <c r="EK63" s="32" t="e">
        <f t="shared" si="70"/>
        <v>#N/A</v>
      </c>
      <c r="EL63" s="32" t="e">
        <f t="shared" si="71"/>
        <v>#N/A</v>
      </c>
      <c r="EM63" s="32" t="e">
        <f t="shared" si="72"/>
        <v>#N/A</v>
      </c>
      <c r="EN63" s="32" t="b">
        <f t="shared" si="73"/>
        <v>0</v>
      </c>
      <c r="EO63" s="32" t="b">
        <f t="shared" si="74"/>
        <v>1</v>
      </c>
      <c r="EP63" s="32" t="b">
        <f t="shared" si="75"/>
        <v>0</v>
      </c>
      <c r="EQ63" s="32" t="b">
        <f t="shared" si="76"/>
        <v>1</v>
      </c>
      <c r="ER63" s="32">
        <f t="shared" si="77"/>
        <v>7.6059882914996185E-2</v>
      </c>
      <c r="ES63" s="32" t="e">
        <f t="shared" si="78"/>
        <v>#N/A</v>
      </c>
      <c r="ET63" s="32">
        <f t="shared" si="79"/>
        <v>7.6059882914996185E-2</v>
      </c>
      <c r="EU63" s="45" t="str">
        <f t="shared" si="80"/>
        <v/>
      </c>
      <c r="EV6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3" s="32" t="e" cm="1">
        <f t="array" ref="EY63">IF($CR$3,INDEX(Eu_tabel_a[[#This Row],[Styrke venstre]:[Styrke tosidet]],EY$7),NA())</f>
        <v>#N/A</v>
      </c>
      <c r="EZ63" s="32" t="e">
        <f>IF(EY$3,IF(CHOOSE(EY$7,Eu_tabel_a[[#This Row],[x base]]&gt;0,Eu_tabel_a[[#This Row],[x base]]&lt;0,Eu_tabel_a[[#This Row],[x base]]=0),1,NA()),NA())</f>
        <v>#N/A</v>
      </c>
      <c r="FA63" s="32" t="e">
        <f>IF(CHOOSE(EY$7,Eu_tabel_a[[#This Row],[x base]]&gt;0,Eu_tabel_a[[#This Row],[x base]]&lt;0,Eu_tabel_a[[#This Row],[x base]]=0),Eu_tabel_a[[#This Row],[Styrke, aktiv]],NA())</f>
        <v>#N/A</v>
      </c>
      <c r="FB63" s="32" t="e">
        <f>IFERROR(IF($EY$3,Eu_tabel_a[[#This Row],[Styrke, aktiv]],NA()),NA())</f>
        <v>#N/A</v>
      </c>
      <c r="FC63" s="32" t="e">
        <f>IF(ISNA(Eu_tabel_a[[#This Row],[Sand negativ
Nulhypotese afvises
Korrekt]]),NA(),IF(EY$3,1,NA()))</f>
        <v>#N/A</v>
      </c>
      <c r="FD63" s="33" t="str" cm="1">
        <f t="array" ref="FD63">IFERROR(_xlfn.SWITCH(Eu_tabel_a[[#This Row],[Indeks]],_xlfn.IFNA(FB$2,-99),FB$5,_xlfn.IFNA(FB$3,-99),FB$6,_xlfn.IFNA(FB$4,-99),FB$7,""),"")</f>
        <v/>
      </c>
      <c r="FE63" s="32">
        <f>Eu_tabel_a[[#This Row],[x base]]*SQRT(Eu_a_h0_x*(1-Eu_a_h0_x)/Eu_a_n_x)+Eu_a_h0_x</f>
        <v>0</v>
      </c>
      <c r="FJ63" s="74" t="e">
        <f t="shared" si="18"/>
        <v>#N/A</v>
      </c>
      <c r="FK63" s="82" t="e">
        <f t="shared" si="113"/>
        <v>#DIV/0!</v>
      </c>
      <c r="FL63" s="7" t="e">
        <f t="shared" si="12"/>
        <v>#DIV/0!</v>
      </c>
      <c r="FM63" t="e">
        <f t="shared" si="114"/>
        <v>#DIV/0!</v>
      </c>
      <c r="FN63" s="8" t="e">
        <f t="shared" si="115"/>
        <v>#DIV/0!</v>
      </c>
      <c r="FO63" s="8" t="e">
        <f t="shared" si="116"/>
        <v>#DIV/0!</v>
      </c>
      <c r="FP63" s="81" t="e">
        <f t="shared" si="117"/>
        <v>#DIV/0!</v>
      </c>
      <c r="FQ63" s="74" t="e">
        <f t="shared" ca="1" si="13"/>
        <v>#N/A</v>
      </c>
      <c r="FR63" s="82" t="e" vm="3">
        <f t="shared" ca="1" si="19"/>
        <v>#VALUE!</v>
      </c>
      <c r="FS63" s="7" t="e" vm="3">
        <f t="shared" ca="1" si="14"/>
        <v>#VALUE!</v>
      </c>
      <c r="FT63" t="e" vm="3">
        <f t="shared" ca="1" si="8"/>
        <v>#VALUE!</v>
      </c>
      <c r="FU63" s="8" t="e" vm="3">
        <f t="shared" ca="1" si="9"/>
        <v>#VALUE!</v>
      </c>
      <c r="FV63" s="8" t="e" vm="3">
        <f t="shared" ca="1" si="10"/>
        <v>#VALUE!</v>
      </c>
      <c r="FW63" s="81" t="e" vm="3">
        <f t="shared" ca="1" si="11"/>
        <v>#VALUE!</v>
      </c>
      <c r="FX63" s="74" t="e">
        <f t="shared" si="15"/>
        <v>#N/A</v>
      </c>
      <c r="FY63" s="82" t="e">
        <f t="shared" si="20"/>
        <v>#N/A</v>
      </c>
      <c r="FZ63" s="7" t="e">
        <f t="shared" si="16"/>
        <v>#N/A</v>
      </c>
      <c r="GA63" t="e">
        <f t="shared" si="21"/>
        <v>#N/A</v>
      </c>
      <c r="GB63" s="8" t="e">
        <f t="shared" si="22"/>
        <v>#N/A</v>
      </c>
      <c r="GC63" s="8" t="e">
        <f t="shared" si="23"/>
        <v>#N/A</v>
      </c>
      <c r="GD63" s="81" t="e">
        <f t="shared" si="24"/>
        <v>#N/A</v>
      </c>
      <c r="GE63" s="74" t="e">
        <f t="shared" si="25"/>
        <v>#N/A</v>
      </c>
      <c r="GF63" s="82" t="e">
        <f t="shared" si="26"/>
        <v>#N/A</v>
      </c>
      <c r="GG63" s="7" t="e">
        <f t="shared" si="17"/>
        <v>#N/A</v>
      </c>
      <c r="GH63" t="e">
        <f t="shared" si="27"/>
        <v>#N/A</v>
      </c>
      <c r="GI63" s="8" t="e">
        <f t="shared" si="28"/>
        <v>#N/A</v>
      </c>
      <c r="GJ63" s="8" t="e">
        <f t="shared" si="29"/>
        <v>#N/A</v>
      </c>
      <c r="GK63" s="81" t="e">
        <f t="shared" si="30"/>
        <v>#N/A</v>
      </c>
      <c r="GL63" s="81"/>
      <c r="GM63" s="81"/>
      <c r="GP63" s="32">
        <f t="shared" si="81"/>
        <v>53</v>
      </c>
      <c r="GQ63" s="32">
        <f t="shared" si="82"/>
        <v>54</v>
      </c>
      <c r="GR63" s="32">
        <f t="shared" si="83"/>
        <v>-1.8206019788275489</v>
      </c>
      <c r="GS63" s="32">
        <f t="shared" si="84"/>
        <v>7.6059882914996185E-2</v>
      </c>
      <c r="GT63" s="32" t="e">
        <f t="shared" si="85"/>
        <v>#N/A</v>
      </c>
      <c r="GU63" s="32" t="e">
        <f t="shared" si="86"/>
        <v>#N/A</v>
      </c>
      <c r="GV63" s="32" t="e">
        <f t="shared" si="87"/>
        <v>#N/A</v>
      </c>
      <c r="GW63" s="32" t="b">
        <f t="shared" si="88"/>
        <v>0</v>
      </c>
      <c r="GX63" s="32" t="b">
        <f t="shared" si="89"/>
        <v>1</v>
      </c>
      <c r="GY63" s="32" t="b">
        <f t="shared" si="90"/>
        <v>0</v>
      </c>
      <c r="GZ63" s="32" t="b">
        <f t="shared" si="91"/>
        <v>1</v>
      </c>
      <c r="HA63" s="32">
        <f t="shared" si="92"/>
        <v>7.6059882914996185E-2</v>
      </c>
      <c r="HB63" s="32" t="e">
        <f t="shared" si="93"/>
        <v>#N/A</v>
      </c>
      <c r="HC63" s="32">
        <f t="shared" si="94"/>
        <v>7.6059882914996185E-2</v>
      </c>
      <c r="HD63" s="45" t="str">
        <f t="shared" si="95"/>
        <v/>
      </c>
      <c r="HJ63" s="32">
        <f t="shared" si="96"/>
        <v>53</v>
      </c>
      <c r="HK63" s="32">
        <f t="shared" si="97"/>
        <v>54</v>
      </c>
      <c r="HL63" s="32">
        <f t="shared" si="98"/>
        <v>-2.8192404013683201</v>
      </c>
      <c r="HM63" s="32" t="e">
        <f t="shared" si="99"/>
        <v>#N/A</v>
      </c>
      <c r="HN63" s="32">
        <f t="shared" si="100"/>
        <v>1.8513876266587268E-2</v>
      </c>
      <c r="HO63" s="32" t="e">
        <f t="shared" si="101"/>
        <v>#N/A</v>
      </c>
      <c r="HP63" s="32" t="e">
        <f t="shared" si="102"/>
        <v>#N/A</v>
      </c>
      <c r="HQ63" s="32" t="b">
        <f t="shared" si="103"/>
        <v>1</v>
      </c>
      <c r="HR63" s="32" t="b">
        <f t="shared" si="104"/>
        <v>0</v>
      </c>
      <c r="HS63" s="32" t="b">
        <f t="shared" si="105"/>
        <v>1</v>
      </c>
      <c r="HT63" s="32" t="b">
        <f t="shared" si="106"/>
        <v>0</v>
      </c>
      <c r="HU63" s="32">
        <f t="shared" si="107"/>
        <v>1.8513876266587268E-2</v>
      </c>
      <c r="HV63" s="32">
        <f t="shared" si="108"/>
        <v>1.8513876266587268E-2</v>
      </c>
      <c r="HW63" s="32" t="e">
        <f t="shared" si="109"/>
        <v>#N/A</v>
      </c>
      <c r="HX63" s="45" t="str">
        <f t="shared" si="110"/>
        <v/>
      </c>
    </row>
    <row r="64" spans="58:232" x14ac:dyDescent="0.2">
      <c r="BL64" s="53" t="s">
        <v>250</v>
      </c>
      <c r="BM64" s="86" cm="1">
        <f t="array" ref="BM64">IF(NOT($BJ$2),INDEX(E_k_valg[Parameter 1],E_k_aktiv),NA())</f>
        <v>7</v>
      </c>
      <c r="BZ64" s="32">
        <f t="shared" si="36"/>
        <v>54</v>
      </c>
      <c r="CA64" s="32">
        <f>Eu_tabel_g[[#This Row],[Indeks]]+1</f>
        <v>55</v>
      </c>
      <c r="CB64" s="32">
        <f t="shared" si="37"/>
        <v>-1.7966466896324496</v>
      </c>
      <c r="CC64" s="32">
        <f t="shared" si="38"/>
        <v>7.9427692707090408E-2</v>
      </c>
      <c r="CD64" s="32" t="e">
        <f t="shared" si="39"/>
        <v>#N/A</v>
      </c>
      <c r="CE64" s="32" t="e">
        <f t="shared" si="40"/>
        <v>#N/A</v>
      </c>
      <c r="CF64" s="32" t="e">
        <f t="shared" si="41"/>
        <v>#N/A</v>
      </c>
      <c r="CG64" s="32" t="b">
        <f t="shared" si="42"/>
        <v>0</v>
      </c>
      <c r="CH64" s="32" t="b">
        <f t="shared" si="43"/>
        <v>1</v>
      </c>
      <c r="CI64" s="32" t="b">
        <f t="shared" si="44"/>
        <v>0</v>
      </c>
      <c r="CJ64" s="32" t="b">
        <f t="shared" si="45"/>
        <v>1</v>
      </c>
      <c r="CK64" s="32">
        <f t="shared" si="119"/>
        <v>7.9427692707090408E-2</v>
      </c>
      <c r="CL64" s="32" t="e">
        <f t="shared" si="47"/>
        <v>#N/A</v>
      </c>
      <c r="CM64" s="32">
        <f t="shared" si="48"/>
        <v>7.9427692707090408E-2</v>
      </c>
      <c r="CN64" s="45" t="str">
        <f t="shared" si="49"/>
        <v/>
      </c>
      <c r="CO64" s="32">
        <f>_xlfn.NORM.DIST(_xlfn.NORM.INV(1-Eu_g_konfidensniveau,0,1)-Eu_tabel_g[[#This Row],[x base]],0,1,TRUE)</f>
        <v>0.56032492304548553</v>
      </c>
      <c r="CP64" s="32">
        <f>1-_xlfn.NORM.DIST(_xlfn.NORM.INV(Eu_g_konfidensniveau,0,1)-Eu_tabel_g[[#This Row],[x base]],0,1,TRUE)</f>
        <v>2.8924889725157055E-4</v>
      </c>
      <c r="CQ64" s="32">
        <f>_xlfn.NORM.DIST(_xlfn.NORM.INV((1-Eu_g_konfidensniveau)/2,0,1)-Eu_tabel_g[[#This Row],[x base]],0,1,TRUE)+1-_xlfn.NORM.DIST(_xlfn.NORM.INV(1-(1-Eu_g_konfidensniveau)/2,0,1)-Eu_tabel_g[[#This Row],[x base]],0,1,TRUE)</f>
        <v>0.435220423737672</v>
      </c>
      <c r="CR64" s="32" t="e" cm="1">
        <f t="array" ref="CR64">IF($CR$3,INDEX(Eu_tabel_g[[#This Row],[Styrke venstre]:[Styrke tosidet]],CR$7),NA())</f>
        <v>#N/A</v>
      </c>
      <c r="CS64" s="52" t="e">
        <f>Eu_tabel_g[[#This Row],[Falsk positiv
Nulhypotese accepteres
Fejltype 1]]</f>
        <v>#N/A</v>
      </c>
      <c r="CT64" s="52" t="e">
        <f>IF(CHOOSE(CR$7,Eu_tabel_g[[#This Row],[x base]]&gt;0,Eu_tabel_g[[#This Row],[x base]]&lt;0,Eu_tabel_g[[#This Row],[x base]]=0),Eu_tabel_g[[#This Row],[Styrke, aktiv]],NA())</f>
        <v>#N/A</v>
      </c>
      <c r="CU64" s="52" t="e">
        <f>IFERROR(IF($CR$3,Eu_tabel_g[[#This Row],[Styrke, aktiv]],NA()),NA())</f>
        <v>#N/A</v>
      </c>
      <c r="CV64" s="52" t="e">
        <f>IF(ISNA(Eu_tabel_g[[#This Row],[Sand negativ
Nulhypotese afvises
Korrekt]]),NA(),IF($CR$3,1,NA()))</f>
        <v>#N/A</v>
      </c>
      <c r="CW64" s="34" t="str" cm="1">
        <f t="array" ref="CW64">_xlfn.SWITCH(BZ64,_xlfn.IFNA(CU$2,-99),CU$5,_xlfn.IFNA(CU$3,-99),CU$6,_xlfn.IFNA(CU$4,-99),CU$7,"")</f>
        <v/>
      </c>
      <c r="DA64" s="7">
        <f t="shared" si="50"/>
        <v>0.8</v>
      </c>
      <c r="DB64">
        <f>IF(ROW(Styrkeberegning_G[[#This Row],[X base venstre]])=ROW(Styrkeberegning_G[[#Headers],[X base venstre]])+1,DB$7/(DA$7/$B$67),DB63/(DA63/$B$67))</f>
        <v>-2.8015817870135784</v>
      </c>
      <c r="DC64">
        <f>Styrkeberegning_G[[#This Row],[X base venstre]]*-1</f>
        <v>2.8015817870135784</v>
      </c>
      <c r="DN64" s="32">
        <f t="shared" si="51"/>
        <v>54</v>
      </c>
      <c r="DO64" s="32">
        <f t="shared" si="52"/>
        <v>55</v>
      </c>
      <c r="DP64" s="32">
        <f t="shared" si="53"/>
        <v>7.9936789111717443</v>
      </c>
      <c r="DQ64" s="32" t="e">
        <f t="shared" si="54"/>
        <v>#N/A</v>
      </c>
      <c r="DR64" s="32" t="e">
        <f t="shared" si="55"/>
        <v>#N/A</v>
      </c>
      <c r="DS64" s="32">
        <f t="shared" si="56"/>
        <v>8.954329777676559E-2</v>
      </c>
      <c r="DT64" s="32" t="e">
        <f t="shared" si="57"/>
        <v>#N/A</v>
      </c>
      <c r="DU64" s="32" t="b">
        <f t="shared" si="58"/>
        <v>0</v>
      </c>
      <c r="DV64" s="32" t="b">
        <f t="shared" si="59"/>
        <v>1</v>
      </c>
      <c r="DW64" s="32" t="b">
        <f t="shared" si="60"/>
        <v>0</v>
      </c>
      <c r="DX64" s="32" t="b">
        <f t="shared" si="61"/>
        <v>1</v>
      </c>
      <c r="DY64" s="32">
        <f t="shared" si="62"/>
        <v>8.954329777676559E-2</v>
      </c>
      <c r="DZ64" s="32" t="e">
        <f t="shared" si="63"/>
        <v>#N/A</v>
      </c>
      <c r="EA64" s="32">
        <f t="shared" si="64"/>
        <v>8.954329777676559E-2</v>
      </c>
      <c r="EB64" s="45" t="str">
        <f t="shared" si="65"/>
        <v/>
      </c>
      <c r="EG64" s="32">
        <f t="shared" si="66"/>
        <v>54</v>
      </c>
      <c r="EH64" s="32">
        <f t="shared" si="67"/>
        <v>55</v>
      </c>
      <c r="EI64" s="32">
        <f t="shared" si="68"/>
        <v>-1.7966466896324496</v>
      </c>
      <c r="EJ64" s="32">
        <f t="shared" si="69"/>
        <v>7.9427692707090408E-2</v>
      </c>
      <c r="EK64" s="32" t="e">
        <f t="shared" si="70"/>
        <v>#N/A</v>
      </c>
      <c r="EL64" s="32" t="e">
        <f t="shared" si="71"/>
        <v>#N/A</v>
      </c>
      <c r="EM64" s="32" t="e">
        <f t="shared" si="72"/>
        <v>#N/A</v>
      </c>
      <c r="EN64" s="32" t="b">
        <f t="shared" si="73"/>
        <v>0</v>
      </c>
      <c r="EO64" s="32" t="b">
        <f t="shared" si="74"/>
        <v>1</v>
      </c>
      <c r="EP64" s="32" t="b">
        <f t="shared" si="75"/>
        <v>0</v>
      </c>
      <c r="EQ64" s="32" t="b">
        <f t="shared" si="76"/>
        <v>1</v>
      </c>
      <c r="ER64" s="32">
        <f t="shared" si="77"/>
        <v>7.9427692707090408E-2</v>
      </c>
      <c r="ES64" s="32" t="e">
        <f t="shared" si="78"/>
        <v>#N/A</v>
      </c>
      <c r="ET64" s="32">
        <f t="shared" si="79"/>
        <v>7.9427692707090408E-2</v>
      </c>
      <c r="EU64" s="45" t="str">
        <f t="shared" si="80"/>
        <v/>
      </c>
      <c r="EV6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4" s="32" t="e" cm="1">
        <f t="array" ref="EY64">IF($CR$3,INDEX(Eu_tabel_a[[#This Row],[Styrke venstre]:[Styrke tosidet]],EY$7),NA())</f>
        <v>#N/A</v>
      </c>
      <c r="EZ64" s="32" t="e">
        <f>IF(EY$3,IF(CHOOSE(EY$7,Eu_tabel_a[[#This Row],[x base]]&gt;0,Eu_tabel_a[[#This Row],[x base]]&lt;0,Eu_tabel_a[[#This Row],[x base]]=0),1,NA()),NA())</f>
        <v>#N/A</v>
      </c>
      <c r="FA64" s="32" t="e">
        <f>IF(CHOOSE(EY$7,Eu_tabel_a[[#This Row],[x base]]&gt;0,Eu_tabel_a[[#This Row],[x base]]&lt;0,Eu_tabel_a[[#This Row],[x base]]=0),Eu_tabel_a[[#This Row],[Styrke, aktiv]],NA())</f>
        <v>#N/A</v>
      </c>
      <c r="FB64" s="32" t="e">
        <f>IFERROR(IF($EY$3,Eu_tabel_a[[#This Row],[Styrke, aktiv]],NA()),NA())</f>
        <v>#N/A</v>
      </c>
      <c r="FC64" s="32" t="e">
        <f>IF(ISNA(Eu_tabel_a[[#This Row],[Sand negativ
Nulhypotese afvises
Korrekt]]),NA(),IF(EY$3,1,NA()))</f>
        <v>#N/A</v>
      </c>
      <c r="FD64" s="33" t="str" cm="1">
        <f t="array" ref="FD64">IFERROR(_xlfn.SWITCH(Eu_tabel_a[[#This Row],[Indeks]],_xlfn.IFNA(FB$2,-99),FB$5,_xlfn.IFNA(FB$3,-99),FB$6,_xlfn.IFNA(FB$4,-99),FB$7,""),"")</f>
        <v/>
      </c>
      <c r="FE64" s="32">
        <f>Eu_tabel_a[[#This Row],[x base]]*SQRT(Eu_a_h0_x*(1-Eu_a_h0_x)/Eu_a_n_x)+Eu_a_h0_x</f>
        <v>0</v>
      </c>
      <c r="FJ64" s="74" t="e">
        <f t="shared" si="18"/>
        <v>#N/A</v>
      </c>
      <c r="FK64" s="82" t="e">
        <f t="shared" si="113"/>
        <v>#DIV/0!</v>
      </c>
      <c r="FL64" s="7" t="e">
        <f t="shared" si="12"/>
        <v>#DIV/0!</v>
      </c>
      <c r="FM64" t="e">
        <f t="shared" si="114"/>
        <v>#DIV/0!</v>
      </c>
      <c r="FN64" s="8" t="e">
        <f t="shared" si="115"/>
        <v>#DIV/0!</v>
      </c>
      <c r="FO64" s="8" t="e">
        <f t="shared" si="116"/>
        <v>#DIV/0!</v>
      </c>
      <c r="FP64" s="81" t="e">
        <f t="shared" si="117"/>
        <v>#DIV/0!</v>
      </c>
      <c r="FQ64" s="74" t="e">
        <f t="shared" ca="1" si="13"/>
        <v>#N/A</v>
      </c>
      <c r="FR64" s="82" t="e" vm="3">
        <f t="shared" ca="1" si="19"/>
        <v>#VALUE!</v>
      </c>
      <c r="FS64" s="7" t="e" vm="3">
        <f t="shared" ca="1" si="14"/>
        <v>#VALUE!</v>
      </c>
      <c r="FT64" t="e" vm="3">
        <f t="shared" ca="1" si="8"/>
        <v>#VALUE!</v>
      </c>
      <c r="FU64" s="8" t="e" vm="3">
        <f t="shared" ca="1" si="9"/>
        <v>#VALUE!</v>
      </c>
      <c r="FV64" s="8" t="e" vm="3">
        <f t="shared" ca="1" si="10"/>
        <v>#VALUE!</v>
      </c>
      <c r="FW64" s="81" t="e" vm="3">
        <f t="shared" ca="1" si="11"/>
        <v>#VALUE!</v>
      </c>
      <c r="FX64" s="74" t="e">
        <f t="shared" si="15"/>
        <v>#N/A</v>
      </c>
      <c r="FY64" s="82" t="e">
        <f t="shared" si="20"/>
        <v>#N/A</v>
      </c>
      <c r="FZ64" s="7" t="e">
        <f t="shared" si="16"/>
        <v>#N/A</v>
      </c>
      <c r="GA64" t="e">
        <f t="shared" si="21"/>
        <v>#N/A</v>
      </c>
      <c r="GB64" s="8" t="e">
        <f t="shared" si="22"/>
        <v>#N/A</v>
      </c>
      <c r="GC64" s="8" t="e">
        <f t="shared" si="23"/>
        <v>#N/A</v>
      </c>
      <c r="GD64" s="81" t="e">
        <f t="shared" si="24"/>
        <v>#N/A</v>
      </c>
      <c r="GE64" s="74" t="e">
        <f t="shared" si="25"/>
        <v>#N/A</v>
      </c>
      <c r="GF64" s="82" t="e">
        <f t="shared" si="26"/>
        <v>#N/A</v>
      </c>
      <c r="GG64" s="7" t="e">
        <f t="shared" si="17"/>
        <v>#N/A</v>
      </c>
      <c r="GH64" t="e">
        <f t="shared" si="27"/>
        <v>#N/A</v>
      </c>
      <c r="GI64" s="8" t="e">
        <f t="shared" si="28"/>
        <v>#N/A</v>
      </c>
      <c r="GJ64" s="8" t="e">
        <f t="shared" si="29"/>
        <v>#N/A</v>
      </c>
      <c r="GK64" s="81" t="e">
        <f t="shared" si="30"/>
        <v>#N/A</v>
      </c>
      <c r="GL64" s="81"/>
      <c r="GM64" s="81"/>
      <c r="GP64" s="32">
        <f t="shared" si="81"/>
        <v>54</v>
      </c>
      <c r="GQ64" s="32">
        <f t="shared" si="82"/>
        <v>55</v>
      </c>
      <c r="GR64" s="32">
        <f t="shared" si="83"/>
        <v>-1.7966466896324496</v>
      </c>
      <c r="GS64" s="32">
        <f t="shared" si="84"/>
        <v>7.9427692707090408E-2</v>
      </c>
      <c r="GT64" s="32" t="e">
        <f t="shared" si="85"/>
        <v>#N/A</v>
      </c>
      <c r="GU64" s="32" t="e">
        <f t="shared" si="86"/>
        <v>#N/A</v>
      </c>
      <c r="GV64" s="32" t="e">
        <f t="shared" si="87"/>
        <v>#N/A</v>
      </c>
      <c r="GW64" s="32" t="b">
        <f t="shared" si="88"/>
        <v>0</v>
      </c>
      <c r="GX64" s="32" t="b">
        <f t="shared" si="89"/>
        <v>1</v>
      </c>
      <c r="GY64" s="32" t="b">
        <f t="shared" si="90"/>
        <v>0</v>
      </c>
      <c r="GZ64" s="32" t="b">
        <f t="shared" si="91"/>
        <v>1</v>
      </c>
      <c r="HA64" s="32">
        <f t="shared" si="92"/>
        <v>7.9427692707090408E-2</v>
      </c>
      <c r="HB64" s="32" t="e">
        <f t="shared" si="93"/>
        <v>#N/A</v>
      </c>
      <c r="HC64" s="32">
        <f t="shared" si="94"/>
        <v>7.9427692707090408E-2</v>
      </c>
      <c r="HD64" s="45" t="str">
        <f t="shared" si="95"/>
        <v/>
      </c>
      <c r="HJ64" s="32">
        <f t="shared" si="96"/>
        <v>54</v>
      </c>
      <c r="HK64" s="32">
        <f t="shared" si="97"/>
        <v>55</v>
      </c>
      <c r="HL64" s="32">
        <f t="shared" si="98"/>
        <v>-2.7821451329292635</v>
      </c>
      <c r="HM64" s="32" t="e">
        <f t="shared" si="99"/>
        <v>#N/A</v>
      </c>
      <c r="HN64" s="32">
        <f t="shared" si="100"/>
        <v>1.9580069923484249E-2</v>
      </c>
      <c r="HO64" s="32" t="e">
        <f t="shared" si="101"/>
        <v>#N/A</v>
      </c>
      <c r="HP64" s="32" t="e">
        <f t="shared" si="102"/>
        <v>#N/A</v>
      </c>
      <c r="HQ64" s="32" t="b">
        <f t="shared" si="103"/>
        <v>1</v>
      </c>
      <c r="HR64" s="32" t="b">
        <f t="shared" si="104"/>
        <v>0</v>
      </c>
      <c r="HS64" s="32" t="b">
        <f t="shared" si="105"/>
        <v>1</v>
      </c>
      <c r="HT64" s="32" t="b">
        <f t="shared" si="106"/>
        <v>0</v>
      </c>
      <c r="HU64" s="32">
        <f t="shared" si="107"/>
        <v>1.9580069923484249E-2</v>
      </c>
      <c r="HV64" s="32">
        <f t="shared" si="108"/>
        <v>1.9580069923484249E-2</v>
      </c>
      <c r="HW64" s="32" t="e">
        <f t="shared" si="109"/>
        <v>#N/A</v>
      </c>
      <c r="HX64" s="45" t="str">
        <f t="shared" si="110"/>
        <v/>
      </c>
    </row>
    <row r="65" spans="1:232" x14ac:dyDescent="0.2">
      <c r="A65" s="3" t="s">
        <v>255</v>
      </c>
      <c r="O65" s="3" t="s">
        <v>283</v>
      </c>
      <c r="BL65" s="53" t="s">
        <v>251</v>
      </c>
      <c r="BM65" s="86" t="e" cm="1">
        <f t="array" ref="BM65">IF(NOT($BJ$2),IF(NOT(ISBLANK(INDEX(E_k_valg[Parameter 2],E_k_aktiv))),INDEX(E_k_valg[Parameter 2],E_k_aktiv),NA()),NA())</f>
        <v>#N/A</v>
      </c>
      <c r="BZ65" s="32">
        <f t="shared" si="36"/>
        <v>55</v>
      </c>
      <c r="CA65" s="32">
        <f>Eu_tabel_g[[#This Row],[Indeks]]+1</f>
        <v>56</v>
      </c>
      <c r="CB65" s="32">
        <f t="shared" si="37"/>
        <v>-1.7726914004373502</v>
      </c>
      <c r="CC65" s="32">
        <f t="shared" si="38"/>
        <v>8.2897039117220475E-2</v>
      </c>
      <c r="CD65" s="32" t="e">
        <f t="shared" si="39"/>
        <v>#N/A</v>
      </c>
      <c r="CE65" s="32" t="e">
        <f t="shared" si="40"/>
        <v>#N/A</v>
      </c>
      <c r="CF65" s="32" t="e">
        <f t="shared" si="41"/>
        <v>#N/A</v>
      </c>
      <c r="CG65" s="32" t="b">
        <f t="shared" si="42"/>
        <v>0</v>
      </c>
      <c r="CH65" s="32" t="b">
        <f t="shared" si="43"/>
        <v>1</v>
      </c>
      <c r="CI65" s="32" t="b">
        <f t="shared" si="44"/>
        <v>0</v>
      </c>
      <c r="CJ65" s="32" t="b">
        <f t="shared" si="45"/>
        <v>1</v>
      </c>
      <c r="CK65" s="32">
        <f t="shared" si="119"/>
        <v>8.2897039117220475E-2</v>
      </c>
      <c r="CL65" s="32" t="e">
        <f t="shared" si="47"/>
        <v>#N/A</v>
      </c>
      <c r="CM65" s="32">
        <f t="shared" si="48"/>
        <v>8.2897039117220475E-2</v>
      </c>
      <c r="CN65" s="45" t="str">
        <f t="shared" si="49"/>
        <v/>
      </c>
      <c r="CO65" s="32">
        <f>_xlfn.NORM.DIST(_xlfn.NORM.INV(1-Eu_g_konfidensniveau,0,1)-Eu_tabel_g[[#This Row],[x base]],0,1,TRUE)</f>
        <v>0.55086132181012348</v>
      </c>
      <c r="CP65" s="32">
        <f>1-_xlfn.NORM.DIST(_xlfn.NORM.INV(Eu_g_konfidensniveau,0,1)-Eu_tabel_g[[#This Row],[x base]],0,1,TRUE)</f>
        <v>3.1594320383954155E-4</v>
      </c>
      <c r="CQ65" s="32">
        <f>_xlfn.NORM.DIST(_xlfn.NORM.INV((1-Eu_g_konfidensniveau)/2,0,1)-Eu_tabel_g[[#This Row],[x base]],0,1,TRUE)+1-_xlfn.NORM.DIST(_xlfn.NORM.INV(1-(1-Eu_g_konfidensniveau)/2,0,1)-Eu_tabel_g[[#This Row],[x base]],0,1,TRUE)</f>
        <v>0.42581819457602854</v>
      </c>
      <c r="CR65" s="32" t="e" cm="1">
        <f t="array" ref="CR65">IF($CR$3,INDEX(Eu_tabel_g[[#This Row],[Styrke venstre]:[Styrke tosidet]],CR$7),NA())</f>
        <v>#N/A</v>
      </c>
      <c r="CS65" s="52" t="e">
        <f>Eu_tabel_g[[#This Row],[Falsk positiv
Nulhypotese accepteres
Fejltype 1]]</f>
        <v>#N/A</v>
      </c>
      <c r="CT65" s="52" t="e">
        <f>IF(CHOOSE(CR$7,Eu_tabel_g[[#This Row],[x base]]&gt;0,Eu_tabel_g[[#This Row],[x base]]&lt;0,Eu_tabel_g[[#This Row],[x base]]=0),Eu_tabel_g[[#This Row],[Styrke, aktiv]],NA())</f>
        <v>#N/A</v>
      </c>
      <c r="CU65" s="52" t="e">
        <f>IFERROR(IF($CR$3,Eu_tabel_g[[#This Row],[Styrke, aktiv]],NA()),NA())</f>
        <v>#N/A</v>
      </c>
      <c r="CV65" s="52" t="e">
        <f>IF(ISNA(Eu_tabel_g[[#This Row],[Sand negativ
Nulhypotese afvises
Korrekt]]),NA(),IF($CR$3,1,NA()))</f>
        <v>#N/A</v>
      </c>
      <c r="CW65" s="34" t="str" cm="1">
        <f t="array" ref="CW65">_xlfn.SWITCH(BZ65,_xlfn.IFNA(CU$2,-99),CU$5,_xlfn.IFNA(CU$3,-99),CU$6,_xlfn.IFNA(CU$4,-99),CU$7,"")</f>
        <v/>
      </c>
      <c r="DA65" s="7">
        <f t="shared" si="50"/>
        <v>0.8</v>
      </c>
      <c r="DB65">
        <f>IF(ROW(Styrkeberegning_G[[#This Row],[X base venstre]])=ROW(Styrkeberegning_G[[#Headers],[X base venstre]])+1,DB$7/(DA$7/$B$67),DB64/(DA64/$B$67))</f>
        <v>-2.8015817870135784</v>
      </c>
      <c r="DC65">
        <f>Styrkeberegning_G[[#This Row],[X base venstre]]*-1</f>
        <v>2.8015817870135784</v>
      </c>
      <c r="DN65" s="32">
        <f t="shared" si="51"/>
        <v>55</v>
      </c>
      <c r="DO65" s="32">
        <f t="shared" si="52"/>
        <v>56</v>
      </c>
      <c r="DP65" s="32">
        <f t="shared" si="53"/>
        <v>8.1077497675887447</v>
      </c>
      <c r="DQ65" s="32" t="e">
        <f t="shared" si="54"/>
        <v>#N/A</v>
      </c>
      <c r="DR65" s="32" t="e">
        <f t="shared" si="55"/>
        <v>#N/A</v>
      </c>
      <c r="DS65" s="32">
        <f t="shared" si="56"/>
        <v>9.0147622821889442E-2</v>
      </c>
      <c r="DT65" s="32" t="e">
        <f t="shared" si="57"/>
        <v>#N/A</v>
      </c>
      <c r="DU65" s="32" t="b">
        <f t="shared" si="58"/>
        <v>0</v>
      </c>
      <c r="DV65" s="32" t="b">
        <f t="shared" si="59"/>
        <v>1</v>
      </c>
      <c r="DW65" s="32" t="b">
        <f t="shared" si="60"/>
        <v>0</v>
      </c>
      <c r="DX65" s="32" t="b">
        <f t="shared" si="61"/>
        <v>1</v>
      </c>
      <c r="DY65" s="32">
        <f t="shared" si="62"/>
        <v>9.0147622821889442E-2</v>
      </c>
      <c r="DZ65" s="32" t="e">
        <f t="shared" si="63"/>
        <v>#N/A</v>
      </c>
      <c r="EA65" s="32">
        <f t="shared" si="64"/>
        <v>9.0147622821889442E-2</v>
      </c>
      <c r="EB65" s="45" t="str">
        <f t="shared" si="65"/>
        <v/>
      </c>
      <c r="EG65" s="32">
        <f t="shared" si="66"/>
        <v>55</v>
      </c>
      <c r="EH65" s="32">
        <f t="shared" si="67"/>
        <v>56</v>
      </c>
      <c r="EI65" s="32">
        <f t="shared" si="68"/>
        <v>-1.7726914004373502</v>
      </c>
      <c r="EJ65" s="32">
        <f t="shared" si="69"/>
        <v>8.2897039117220475E-2</v>
      </c>
      <c r="EK65" s="32" t="e">
        <f t="shared" si="70"/>
        <v>#N/A</v>
      </c>
      <c r="EL65" s="32" t="e">
        <f t="shared" si="71"/>
        <v>#N/A</v>
      </c>
      <c r="EM65" s="32" t="e">
        <f t="shared" si="72"/>
        <v>#N/A</v>
      </c>
      <c r="EN65" s="32" t="b">
        <f t="shared" si="73"/>
        <v>0</v>
      </c>
      <c r="EO65" s="32" t="b">
        <f t="shared" si="74"/>
        <v>1</v>
      </c>
      <c r="EP65" s="32" t="b">
        <f t="shared" si="75"/>
        <v>0</v>
      </c>
      <c r="EQ65" s="32" t="b">
        <f t="shared" si="76"/>
        <v>1</v>
      </c>
      <c r="ER65" s="32">
        <f t="shared" si="77"/>
        <v>8.2897039117220475E-2</v>
      </c>
      <c r="ES65" s="32" t="e">
        <f t="shared" si="78"/>
        <v>#N/A</v>
      </c>
      <c r="ET65" s="32">
        <f t="shared" si="79"/>
        <v>8.2897039117220475E-2</v>
      </c>
      <c r="EU65" s="45" t="str">
        <f t="shared" si="80"/>
        <v/>
      </c>
      <c r="EV6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5" s="32" t="e" cm="1">
        <f t="array" ref="EY65">IF($CR$3,INDEX(Eu_tabel_a[[#This Row],[Styrke venstre]:[Styrke tosidet]],EY$7),NA())</f>
        <v>#N/A</v>
      </c>
      <c r="EZ65" s="32" t="e">
        <f>IF(EY$3,IF(CHOOSE(EY$7,Eu_tabel_a[[#This Row],[x base]]&gt;0,Eu_tabel_a[[#This Row],[x base]]&lt;0,Eu_tabel_a[[#This Row],[x base]]=0),1,NA()),NA())</f>
        <v>#N/A</v>
      </c>
      <c r="FA65" s="32" t="e">
        <f>IF(CHOOSE(EY$7,Eu_tabel_a[[#This Row],[x base]]&gt;0,Eu_tabel_a[[#This Row],[x base]]&lt;0,Eu_tabel_a[[#This Row],[x base]]=0),Eu_tabel_a[[#This Row],[Styrke, aktiv]],NA())</f>
        <v>#N/A</v>
      </c>
      <c r="FB65" s="32" t="e">
        <f>IFERROR(IF($EY$3,Eu_tabel_a[[#This Row],[Styrke, aktiv]],NA()),NA())</f>
        <v>#N/A</v>
      </c>
      <c r="FC65" s="32" t="e">
        <f>IF(ISNA(Eu_tabel_a[[#This Row],[Sand negativ
Nulhypotese afvises
Korrekt]]),NA(),IF(EY$3,1,NA()))</f>
        <v>#N/A</v>
      </c>
      <c r="FD65" s="33" t="str" cm="1">
        <f t="array" ref="FD65">IFERROR(_xlfn.SWITCH(Eu_tabel_a[[#This Row],[Indeks]],_xlfn.IFNA(FB$2,-99),FB$5,_xlfn.IFNA(FB$3,-99),FB$6,_xlfn.IFNA(FB$4,-99),FB$7,""),"")</f>
        <v/>
      </c>
      <c r="FE65" s="32">
        <f>Eu_tabel_a[[#This Row],[x base]]*SQRT(Eu_a_h0_x*(1-Eu_a_h0_x)/Eu_a_n_x)+Eu_a_h0_x</f>
        <v>0</v>
      </c>
      <c r="FJ65" s="74" t="e">
        <f t="shared" si="18"/>
        <v>#N/A</v>
      </c>
      <c r="FK65" s="82" t="e">
        <f t="shared" si="113"/>
        <v>#DIV/0!</v>
      </c>
      <c r="FL65" s="7" t="e">
        <f t="shared" si="12"/>
        <v>#DIV/0!</v>
      </c>
      <c r="FM65" t="e">
        <f t="shared" si="114"/>
        <v>#DIV/0!</v>
      </c>
      <c r="FN65" s="8" t="e">
        <f t="shared" si="115"/>
        <v>#DIV/0!</v>
      </c>
      <c r="FO65" s="8" t="e">
        <f t="shared" si="116"/>
        <v>#DIV/0!</v>
      </c>
      <c r="FP65" s="81" t="e">
        <f t="shared" si="117"/>
        <v>#DIV/0!</v>
      </c>
      <c r="FQ65" s="74" t="e">
        <f t="shared" ca="1" si="13"/>
        <v>#N/A</v>
      </c>
      <c r="FR65" s="82" t="e" vm="3">
        <f t="shared" ca="1" si="19"/>
        <v>#VALUE!</v>
      </c>
      <c r="FS65" s="7" t="e" vm="3">
        <f t="shared" ca="1" si="14"/>
        <v>#VALUE!</v>
      </c>
      <c r="FT65" t="e" vm="3">
        <f t="shared" ca="1" si="8"/>
        <v>#VALUE!</v>
      </c>
      <c r="FU65" s="8" t="e" vm="3">
        <f t="shared" ca="1" si="9"/>
        <v>#VALUE!</v>
      </c>
      <c r="FV65" s="8" t="e" vm="3">
        <f t="shared" ca="1" si="10"/>
        <v>#VALUE!</v>
      </c>
      <c r="FW65" s="81" t="e" vm="3">
        <f t="shared" ca="1" si="11"/>
        <v>#VALUE!</v>
      </c>
      <c r="FX65" s="74" t="e">
        <f t="shared" si="15"/>
        <v>#N/A</v>
      </c>
      <c r="FY65" s="82" t="e">
        <f t="shared" si="20"/>
        <v>#N/A</v>
      </c>
      <c r="FZ65" s="7" t="e">
        <f t="shared" si="16"/>
        <v>#N/A</v>
      </c>
      <c r="GA65" t="e">
        <f t="shared" si="21"/>
        <v>#N/A</v>
      </c>
      <c r="GB65" s="8" t="e">
        <f t="shared" si="22"/>
        <v>#N/A</v>
      </c>
      <c r="GC65" s="8" t="e">
        <f t="shared" si="23"/>
        <v>#N/A</v>
      </c>
      <c r="GD65" s="81" t="e">
        <f t="shared" si="24"/>
        <v>#N/A</v>
      </c>
      <c r="GE65" s="74" t="e">
        <f t="shared" si="25"/>
        <v>#N/A</v>
      </c>
      <c r="GF65" s="82" t="e">
        <f t="shared" si="26"/>
        <v>#N/A</v>
      </c>
      <c r="GG65" s="7" t="e">
        <f t="shared" si="17"/>
        <v>#N/A</v>
      </c>
      <c r="GH65" t="e">
        <f t="shared" si="27"/>
        <v>#N/A</v>
      </c>
      <c r="GI65" s="8" t="e">
        <f t="shared" si="28"/>
        <v>#N/A</v>
      </c>
      <c r="GJ65" s="8" t="e">
        <f t="shared" si="29"/>
        <v>#N/A</v>
      </c>
      <c r="GK65" s="81" t="e">
        <f t="shared" si="30"/>
        <v>#N/A</v>
      </c>
      <c r="GL65" s="81"/>
      <c r="GM65" s="81"/>
      <c r="GP65" s="32">
        <f t="shared" si="81"/>
        <v>55</v>
      </c>
      <c r="GQ65" s="32">
        <f t="shared" si="82"/>
        <v>56</v>
      </c>
      <c r="GR65" s="32">
        <f t="shared" si="83"/>
        <v>-1.7726914004373502</v>
      </c>
      <c r="GS65" s="32">
        <f t="shared" si="84"/>
        <v>8.2897039117220475E-2</v>
      </c>
      <c r="GT65" s="32" t="e">
        <f t="shared" si="85"/>
        <v>#N/A</v>
      </c>
      <c r="GU65" s="32" t="e">
        <f t="shared" si="86"/>
        <v>#N/A</v>
      </c>
      <c r="GV65" s="32" t="e">
        <f t="shared" si="87"/>
        <v>#N/A</v>
      </c>
      <c r="GW65" s="32" t="b">
        <f t="shared" si="88"/>
        <v>0</v>
      </c>
      <c r="GX65" s="32" t="b">
        <f t="shared" si="89"/>
        <v>1</v>
      </c>
      <c r="GY65" s="32" t="b">
        <f t="shared" si="90"/>
        <v>0</v>
      </c>
      <c r="GZ65" s="32" t="b">
        <f t="shared" si="91"/>
        <v>1</v>
      </c>
      <c r="HA65" s="32">
        <f t="shared" si="92"/>
        <v>8.2897039117220475E-2</v>
      </c>
      <c r="HB65" s="32" t="e">
        <f t="shared" si="93"/>
        <v>#N/A</v>
      </c>
      <c r="HC65" s="32">
        <f t="shared" si="94"/>
        <v>8.2897039117220475E-2</v>
      </c>
      <c r="HD65" s="45" t="str">
        <f t="shared" si="95"/>
        <v/>
      </c>
      <c r="HJ65" s="32">
        <f t="shared" si="96"/>
        <v>55</v>
      </c>
      <c r="HK65" s="32">
        <f t="shared" si="97"/>
        <v>56</v>
      </c>
      <c r="HL65" s="32">
        <f t="shared" si="98"/>
        <v>-2.7450498644902064</v>
      </c>
      <c r="HM65" s="32" t="e">
        <f t="shared" si="99"/>
        <v>#N/A</v>
      </c>
      <c r="HN65" s="32">
        <f t="shared" si="100"/>
        <v>2.0708440519801124E-2</v>
      </c>
      <c r="HO65" s="32" t="e">
        <f t="shared" si="101"/>
        <v>#N/A</v>
      </c>
      <c r="HP65" s="32" t="e">
        <f t="shared" si="102"/>
        <v>#N/A</v>
      </c>
      <c r="HQ65" s="32" t="b">
        <f t="shared" si="103"/>
        <v>1</v>
      </c>
      <c r="HR65" s="32" t="b">
        <f t="shared" si="104"/>
        <v>0</v>
      </c>
      <c r="HS65" s="32" t="b">
        <f t="shared" si="105"/>
        <v>1</v>
      </c>
      <c r="HT65" s="32" t="b">
        <f t="shared" si="106"/>
        <v>0</v>
      </c>
      <c r="HU65" s="32">
        <f t="shared" si="107"/>
        <v>2.0708440519801124E-2</v>
      </c>
      <c r="HV65" s="32">
        <f t="shared" si="108"/>
        <v>2.0708440519801124E-2</v>
      </c>
      <c r="HW65" s="32" t="e">
        <f t="shared" si="109"/>
        <v>#N/A</v>
      </c>
      <c r="HX65" s="45" t="str">
        <f t="shared" si="110"/>
        <v/>
      </c>
    </row>
    <row r="66" spans="1:232" x14ac:dyDescent="0.2">
      <c r="A66" s="53" t="s">
        <v>42</v>
      </c>
      <c r="B66" s="53" t="s">
        <v>278</v>
      </c>
      <c r="C66" s="53" t="s">
        <v>279</v>
      </c>
      <c r="O66" s="53" t="s">
        <v>42</v>
      </c>
      <c r="P66" s="53" t="s">
        <v>278</v>
      </c>
      <c r="Q66" s="53" t="s">
        <v>279</v>
      </c>
      <c r="BL66" s="53" t="s">
        <v>29</v>
      </c>
      <c r="BM66" s="86" cm="1">
        <f t="array" ref="BM66">IF(NOT($BJ$2),INDEX(E_k_valg[Teststørrelse],E_k_aktiv),NA())</f>
        <v>1.7059050335879198</v>
      </c>
      <c r="BZ66" s="32">
        <f t="shared" si="36"/>
        <v>56</v>
      </c>
      <c r="CA66" s="32">
        <f>Eu_tabel_g[[#This Row],[Indeks]]+1</f>
        <v>57</v>
      </c>
      <c r="CB66" s="32">
        <f t="shared" si="37"/>
        <v>-1.7487361112422508</v>
      </c>
      <c r="CC66" s="32">
        <f t="shared" si="38"/>
        <v>8.6468289590491687E-2</v>
      </c>
      <c r="CD66" s="32" t="e">
        <f t="shared" si="39"/>
        <v>#N/A</v>
      </c>
      <c r="CE66" s="32" t="e">
        <f t="shared" si="40"/>
        <v>#N/A</v>
      </c>
      <c r="CF66" s="32" t="e">
        <f t="shared" si="41"/>
        <v>#N/A</v>
      </c>
      <c r="CG66" s="32" t="b">
        <f t="shared" si="42"/>
        <v>0</v>
      </c>
      <c r="CH66" s="32" t="b">
        <f t="shared" si="43"/>
        <v>1</v>
      </c>
      <c r="CI66" s="32" t="b">
        <f t="shared" si="44"/>
        <v>0</v>
      </c>
      <c r="CJ66" s="32" t="b">
        <f t="shared" si="45"/>
        <v>1</v>
      </c>
      <c r="CK66" s="32">
        <f t="shared" si="119"/>
        <v>8.6468289590491687E-2</v>
      </c>
      <c r="CL66" s="32" t="e">
        <f t="shared" si="47"/>
        <v>#N/A</v>
      </c>
      <c r="CM66" s="32">
        <f t="shared" si="48"/>
        <v>8.6468289590491687E-2</v>
      </c>
      <c r="CN66" s="45" t="str">
        <f t="shared" si="49"/>
        <v/>
      </c>
      <c r="CO66" s="32">
        <f>_xlfn.NORM.DIST(_xlfn.NORM.INV(1-Eu_g_konfidensniveau,0,1)-Eu_tabel_g[[#This Row],[x base]],0,1,TRUE)</f>
        <v>0.54136869629794371</v>
      </c>
      <c r="CP66" s="32">
        <f>1-_xlfn.NORM.DIST(_xlfn.NORM.INV(Eu_g_konfidensniveau,0,1)-Eu_tabel_g[[#This Row],[x base]],0,1,TRUE)</f>
        <v>3.4491476418885281E-4</v>
      </c>
      <c r="CQ66" s="32">
        <f>_xlfn.NORM.DIST(_xlfn.NORM.INV((1-Eu_g_konfidensniveau)/2,0,1)-Eu_tabel_g[[#This Row],[x base]],0,1,TRUE)+1-_xlfn.NORM.DIST(_xlfn.NORM.INV(1-(1-Eu_g_konfidensniveau)/2,0,1)-Eu_tabel_g[[#This Row],[x base]],0,1,TRUE)</f>
        <v>0.41645889382757761</v>
      </c>
      <c r="CR66" s="32" t="e" cm="1">
        <f t="array" ref="CR66">IF($CR$3,INDEX(Eu_tabel_g[[#This Row],[Styrke venstre]:[Styrke tosidet]],CR$7),NA())</f>
        <v>#N/A</v>
      </c>
      <c r="CS66" s="52" t="e">
        <f>Eu_tabel_g[[#This Row],[Falsk positiv
Nulhypotese accepteres
Fejltype 1]]</f>
        <v>#N/A</v>
      </c>
      <c r="CT66" s="52" t="e">
        <f>IF(CHOOSE(CR$7,Eu_tabel_g[[#This Row],[x base]]&gt;0,Eu_tabel_g[[#This Row],[x base]]&lt;0,Eu_tabel_g[[#This Row],[x base]]=0),Eu_tabel_g[[#This Row],[Styrke, aktiv]],NA())</f>
        <v>#N/A</v>
      </c>
      <c r="CU66" s="52" t="e">
        <f>IFERROR(IF($CR$3,Eu_tabel_g[[#This Row],[Styrke, aktiv]],NA()),NA())</f>
        <v>#N/A</v>
      </c>
      <c r="CV66" s="52" t="e">
        <f>IF(ISNA(Eu_tabel_g[[#This Row],[Sand negativ
Nulhypotese afvises
Korrekt]]),NA(),IF($CR$3,1,NA()))</f>
        <v>#N/A</v>
      </c>
      <c r="CW66" s="34" t="str" cm="1">
        <f t="array" ref="CW66">_xlfn.SWITCH(BZ66,_xlfn.IFNA(CU$2,-99),CU$5,_xlfn.IFNA(CU$3,-99),CU$6,_xlfn.IFNA(CU$4,-99),CU$7,"")</f>
        <v/>
      </c>
      <c r="DA66" s="7">
        <f t="shared" si="50"/>
        <v>0.8</v>
      </c>
      <c r="DB66">
        <f>IF(ROW(Styrkeberegning_G[[#This Row],[X base venstre]])=ROW(Styrkeberegning_G[[#Headers],[X base venstre]])+1,DB$7/(DA$7/$B$67),DB65/(DA65/$B$67))</f>
        <v>-2.8015817870135784</v>
      </c>
      <c r="DC66">
        <f>Styrkeberegning_G[[#This Row],[X base venstre]]*-1</f>
        <v>2.8015817870135784</v>
      </c>
      <c r="DN66" s="32">
        <f t="shared" si="51"/>
        <v>56</v>
      </c>
      <c r="DO66" s="32">
        <f t="shared" si="52"/>
        <v>57</v>
      </c>
      <c r="DP66" s="32">
        <f t="shared" si="53"/>
        <v>8.2218206240057459</v>
      </c>
      <c r="DQ66" s="32" t="e">
        <f t="shared" si="54"/>
        <v>#N/A</v>
      </c>
      <c r="DR66" s="32" t="e">
        <f t="shared" si="55"/>
        <v>#N/A</v>
      </c>
      <c r="DS66" s="32">
        <f t="shared" si="56"/>
        <v>9.0675212499950975E-2</v>
      </c>
      <c r="DT66" s="32" t="e">
        <f t="shared" si="57"/>
        <v>#N/A</v>
      </c>
      <c r="DU66" s="32" t="b">
        <f t="shared" si="58"/>
        <v>0</v>
      </c>
      <c r="DV66" s="32" t="b">
        <f t="shared" si="59"/>
        <v>1</v>
      </c>
      <c r="DW66" s="32" t="b">
        <f t="shared" si="60"/>
        <v>0</v>
      </c>
      <c r="DX66" s="32" t="b">
        <f t="shared" si="61"/>
        <v>1</v>
      </c>
      <c r="DY66" s="32">
        <f t="shared" si="62"/>
        <v>9.0675212499950975E-2</v>
      </c>
      <c r="DZ66" s="32" t="e">
        <f t="shared" si="63"/>
        <v>#N/A</v>
      </c>
      <c r="EA66" s="32">
        <f t="shared" si="64"/>
        <v>9.0675212499950975E-2</v>
      </c>
      <c r="EB66" s="45" t="str">
        <f t="shared" si="65"/>
        <v/>
      </c>
      <c r="EG66" s="32">
        <f t="shared" si="66"/>
        <v>56</v>
      </c>
      <c r="EH66" s="32">
        <f t="shared" si="67"/>
        <v>57</v>
      </c>
      <c r="EI66" s="32">
        <f t="shared" si="68"/>
        <v>-1.7487361112422508</v>
      </c>
      <c r="EJ66" s="32">
        <f t="shared" si="69"/>
        <v>8.6468289590491687E-2</v>
      </c>
      <c r="EK66" s="32" t="e">
        <f t="shared" si="70"/>
        <v>#N/A</v>
      </c>
      <c r="EL66" s="32" t="e">
        <f t="shared" si="71"/>
        <v>#N/A</v>
      </c>
      <c r="EM66" s="32" t="e">
        <f t="shared" si="72"/>
        <v>#N/A</v>
      </c>
      <c r="EN66" s="32" t="b">
        <f t="shared" si="73"/>
        <v>0</v>
      </c>
      <c r="EO66" s="32" t="b">
        <f t="shared" si="74"/>
        <v>1</v>
      </c>
      <c r="EP66" s="32" t="b">
        <f t="shared" si="75"/>
        <v>0</v>
      </c>
      <c r="EQ66" s="32" t="b">
        <f t="shared" si="76"/>
        <v>1</v>
      </c>
      <c r="ER66" s="32">
        <f t="shared" si="77"/>
        <v>8.6468289590491687E-2</v>
      </c>
      <c r="ES66" s="32" t="e">
        <f t="shared" si="78"/>
        <v>#N/A</v>
      </c>
      <c r="ET66" s="32">
        <f t="shared" si="79"/>
        <v>8.6468289590491687E-2</v>
      </c>
      <c r="EU66" s="45" t="str">
        <f t="shared" si="80"/>
        <v/>
      </c>
      <c r="EV6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6" s="32" t="e" cm="1">
        <f t="array" ref="EY66">IF($CR$3,INDEX(Eu_tabel_a[[#This Row],[Styrke venstre]:[Styrke tosidet]],EY$7),NA())</f>
        <v>#N/A</v>
      </c>
      <c r="EZ66" s="32" t="e">
        <f>IF(EY$3,IF(CHOOSE(EY$7,Eu_tabel_a[[#This Row],[x base]]&gt;0,Eu_tabel_a[[#This Row],[x base]]&lt;0,Eu_tabel_a[[#This Row],[x base]]=0),1,NA()),NA())</f>
        <v>#N/A</v>
      </c>
      <c r="FA66" s="32" t="e">
        <f>IF(CHOOSE(EY$7,Eu_tabel_a[[#This Row],[x base]]&gt;0,Eu_tabel_a[[#This Row],[x base]]&lt;0,Eu_tabel_a[[#This Row],[x base]]=0),Eu_tabel_a[[#This Row],[Styrke, aktiv]],NA())</f>
        <v>#N/A</v>
      </c>
      <c r="FB66" s="32" t="e">
        <f>IFERROR(IF($EY$3,Eu_tabel_a[[#This Row],[Styrke, aktiv]],NA()),NA())</f>
        <v>#N/A</v>
      </c>
      <c r="FC66" s="32" t="e">
        <f>IF(ISNA(Eu_tabel_a[[#This Row],[Sand negativ
Nulhypotese afvises
Korrekt]]),NA(),IF(EY$3,1,NA()))</f>
        <v>#N/A</v>
      </c>
      <c r="FD66" s="33" t="str" cm="1">
        <f t="array" ref="FD66">IFERROR(_xlfn.SWITCH(Eu_tabel_a[[#This Row],[Indeks]],_xlfn.IFNA(FB$2,-99),FB$5,_xlfn.IFNA(FB$3,-99),FB$6,_xlfn.IFNA(FB$4,-99),FB$7,""),"")</f>
        <v/>
      </c>
      <c r="FE66" s="32">
        <f>Eu_tabel_a[[#This Row],[x base]]*SQRT(Eu_a_h0_x*(1-Eu_a_h0_x)/Eu_a_n_x)+Eu_a_h0_x</f>
        <v>0</v>
      </c>
      <c r="FJ66" s="74" t="e">
        <f t="shared" si="18"/>
        <v>#N/A</v>
      </c>
      <c r="FK66" s="82" t="e">
        <f t="shared" si="113"/>
        <v>#DIV/0!</v>
      </c>
      <c r="FL66" s="7" t="e">
        <f t="shared" si="12"/>
        <v>#DIV/0!</v>
      </c>
      <c r="FM66" t="e">
        <f t="shared" si="114"/>
        <v>#DIV/0!</v>
      </c>
      <c r="FN66" s="8" t="e">
        <f t="shared" si="115"/>
        <v>#DIV/0!</v>
      </c>
      <c r="FO66" s="8" t="e">
        <f t="shared" si="116"/>
        <v>#DIV/0!</v>
      </c>
      <c r="FP66" s="81" t="e">
        <f t="shared" si="117"/>
        <v>#DIV/0!</v>
      </c>
      <c r="FQ66" s="74" t="e">
        <f t="shared" ca="1" si="13"/>
        <v>#N/A</v>
      </c>
      <c r="FR66" s="82" t="e" vm="3">
        <f t="shared" ca="1" si="19"/>
        <v>#VALUE!</v>
      </c>
      <c r="FS66" s="7" t="e" vm="3">
        <f t="shared" ca="1" si="14"/>
        <v>#VALUE!</v>
      </c>
      <c r="FT66" t="e" vm="3">
        <f t="shared" ca="1" si="8"/>
        <v>#VALUE!</v>
      </c>
      <c r="FU66" s="8" t="e" vm="3">
        <f t="shared" ca="1" si="9"/>
        <v>#VALUE!</v>
      </c>
      <c r="FV66" s="8" t="e" vm="3">
        <f t="shared" ca="1" si="10"/>
        <v>#VALUE!</v>
      </c>
      <c r="FW66" s="81" t="e" vm="3">
        <f t="shared" ca="1" si="11"/>
        <v>#VALUE!</v>
      </c>
      <c r="FX66" s="74" t="e">
        <f t="shared" si="15"/>
        <v>#N/A</v>
      </c>
      <c r="FY66" s="82" t="e">
        <f t="shared" si="20"/>
        <v>#N/A</v>
      </c>
      <c r="FZ66" s="7" t="e">
        <f t="shared" si="16"/>
        <v>#N/A</v>
      </c>
      <c r="GA66" t="e">
        <f t="shared" si="21"/>
        <v>#N/A</v>
      </c>
      <c r="GB66" s="8" t="e">
        <f t="shared" si="22"/>
        <v>#N/A</v>
      </c>
      <c r="GC66" s="8" t="e">
        <f t="shared" si="23"/>
        <v>#N/A</v>
      </c>
      <c r="GD66" s="81" t="e">
        <f t="shared" si="24"/>
        <v>#N/A</v>
      </c>
      <c r="GE66" s="74" t="e">
        <f t="shared" si="25"/>
        <v>#N/A</v>
      </c>
      <c r="GF66" s="82" t="e">
        <f t="shared" si="26"/>
        <v>#N/A</v>
      </c>
      <c r="GG66" s="7" t="e">
        <f t="shared" si="17"/>
        <v>#N/A</v>
      </c>
      <c r="GH66" t="e">
        <f t="shared" si="27"/>
        <v>#N/A</v>
      </c>
      <c r="GI66" s="8" t="e">
        <f t="shared" si="28"/>
        <v>#N/A</v>
      </c>
      <c r="GJ66" s="8" t="e">
        <f t="shared" si="29"/>
        <v>#N/A</v>
      </c>
      <c r="GK66" s="81" t="e">
        <f t="shared" si="30"/>
        <v>#N/A</v>
      </c>
      <c r="GL66" s="81"/>
      <c r="GM66" s="81"/>
      <c r="GP66" s="32">
        <f t="shared" si="81"/>
        <v>56</v>
      </c>
      <c r="GQ66" s="32">
        <f t="shared" si="82"/>
        <v>57</v>
      </c>
      <c r="GR66" s="32">
        <f t="shared" si="83"/>
        <v>-1.7487361112422508</v>
      </c>
      <c r="GS66" s="32">
        <f t="shared" si="84"/>
        <v>8.6468289590491687E-2</v>
      </c>
      <c r="GT66" s="32" t="e">
        <f t="shared" si="85"/>
        <v>#N/A</v>
      </c>
      <c r="GU66" s="32" t="e">
        <f t="shared" si="86"/>
        <v>#N/A</v>
      </c>
      <c r="GV66" s="32" t="e">
        <f t="shared" si="87"/>
        <v>#N/A</v>
      </c>
      <c r="GW66" s="32" t="b">
        <f t="shared" si="88"/>
        <v>0</v>
      </c>
      <c r="GX66" s="32" t="b">
        <f t="shared" si="89"/>
        <v>1</v>
      </c>
      <c r="GY66" s="32" t="b">
        <f t="shared" si="90"/>
        <v>0</v>
      </c>
      <c r="GZ66" s="32" t="b">
        <f t="shared" si="91"/>
        <v>1</v>
      </c>
      <c r="HA66" s="32">
        <f t="shared" si="92"/>
        <v>8.6468289590491687E-2</v>
      </c>
      <c r="HB66" s="32" t="e">
        <f t="shared" si="93"/>
        <v>#N/A</v>
      </c>
      <c r="HC66" s="32">
        <f t="shared" si="94"/>
        <v>8.6468289590491687E-2</v>
      </c>
      <c r="HD66" s="45" t="str">
        <f t="shared" si="95"/>
        <v/>
      </c>
      <c r="HJ66" s="32">
        <f t="shared" si="96"/>
        <v>56</v>
      </c>
      <c r="HK66" s="32">
        <f t="shared" si="97"/>
        <v>57</v>
      </c>
      <c r="HL66" s="32">
        <f t="shared" si="98"/>
        <v>-2.7079545960511497</v>
      </c>
      <c r="HM66" s="32" t="e">
        <f t="shared" si="99"/>
        <v>#N/A</v>
      </c>
      <c r="HN66" s="32">
        <f t="shared" si="100"/>
        <v>2.1902447557375637E-2</v>
      </c>
      <c r="HO66" s="32" t="e">
        <f t="shared" si="101"/>
        <v>#N/A</v>
      </c>
      <c r="HP66" s="32" t="e">
        <f t="shared" si="102"/>
        <v>#N/A</v>
      </c>
      <c r="HQ66" s="32" t="b">
        <f t="shared" si="103"/>
        <v>1</v>
      </c>
      <c r="HR66" s="32" t="b">
        <f t="shared" si="104"/>
        <v>0</v>
      </c>
      <c r="HS66" s="32" t="b">
        <f t="shared" si="105"/>
        <v>1</v>
      </c>
      <c r="HT66" s="32" t="b">
        <f t="shared" si="106"/>
        <v>0</v>
      </c>
      <c r="HU66" s="32">
        <f t="shared" si="107"/>
        <v>2.1902447557375637E-2</v>
      </c>
      <c r="HV66" s="32">
        <f t="shared" si="108"/>
        <v>2.1902447557375637E-2</v>
      </c>
      <c r="HW66" s="32" t="e">
        <f t="shared" si="109"/>
        <v>#N/A</v>
      </c>
      <c r="HX66" s="45" t="str">
        <f t="shared" si="110"/>
        <v/>
      </c>
    </row>
    <row r="67" spans="1:232" x14ac:dyDescent="0.2">
      <c r="A67" s="35" t="s">
        <v>256</v>
      </c>
      <c r="B67" s="47">
        <v>0.8</v>
      </c>
      <c r="C67" s="73" t="e">
        <f>IF(CR7=3,_xlfn.NORM.DIST(_xlfn.NORM.INV((1-Eu_g_konfidensniveau)/2,0,1)-DE3,0,1,TRUE)+1-_xlfn.NORM.DIST(_xlfn.NORM.INV(1-(1-Eu_g_konfidensniveau)/2,0,1)-DE3,0,1,TRUE),1-_xlfn.NORM.DIST(_xlfn.NORM.INV(Eu_g_konfidensniveau,0,1)-DE3,0,1,TRUE))</f>
        <v>#N/A</v>
      </c>
      <c r="O67" s="35" t="s">
        <v>256</v>
      </c>
      <c r="P67" s="47">
        <v>0.99</v>
      </c>
      <c r="Q67" s="73"/>
      <c r="BL67" s="53" t="s">
        <v>209</v>
      </c>
      <c r="BM67" s="87" cm="1">
        <f t="array" ref="BM67">IF(NOT($BJ$2),INDEX(E_k_valg[p-værdi],E_k_aktiv),NA())</f>
        <v>0.93410377293293312</v>
      </c>
      <c r="BZ67" s="32">
        <f t="shared" si="36"/>
        <v>57</v>
      </c>
      <c r="CA67" s="32">
        <f>Eu_tabel_g[[#This Row],[Indeks]]+1</f>
        <v>58</v>
      </c>
      <c r="CB67" s="32">
        <f t="shared" si="37"/>
        <v>-1.7247808220471517</v>
      </c>
      <c r="CC67" s="32">
        <f t="shared" si="38"/>
        <v>9.014164835694867E-2</v>
      </c>
      <c r="CD67" s="32" t="e">
        <f t="shared" si="39"/>
        <v>#N/A</v>
      </c>
      <c r="CE67" s="32" t="e">
        <f t="shared" si="40"/>
        <v>#N/A</v>
      </c>
      <c r="CF67" s="32" t="e">
        <f t="shared" si="41"/>
        <v>#N/A</v>
      </c>
      <c r="CG67" s="32" t="b">
        <f t="shared" si="42"/>
        <v>0</v>
      </c>
      <c r="CH67" s="32" t="b">
        <f t="shared" si="43"/>
        <v>1</v>
      </c>
      <c r="CI67" s="32" t="b">
        <f t="shared" si="44"/>
        <v>0</v>
      </c>
      <c r="CJ67" s="32" t="b">
        <f t="shared" si="45"/>
        <v>1</v>
      </c>
      <c r="CK67" s="32">
        <f t="shared" si="119"/>
        <v>9.014164835694867E-2</v>
      </c>
      <c r="CL67" s="32" t="e">
        <f t="shared" si="47"/>
        <v>#N/A</v>
      </c>
      <c r="CM67" s="32">
        <f t="shared" si="48"/>
        <v>9.014164835694867E-2</v>
      </c>
      <c r="CN67" s="45" t="str">
        <f t="shared" si="49"/>
        <v/>
      </c>
      <c r="CO67" s="32">
        <f>_xlfn.NORM.DIST(_xlfn.NORM.INV(1-Eu_g_konfidensniveau,0,1)-Eu_tabel_g[[#This Row],[x base]],0,1,TRUE)</f>
        <v>0.5318524197704475</v>
      </c>
      <c r="CP67" s="32">
        <f>1-_xlfn.NORM.DIST(_xlfn.NORM.INV(Eu_g_konfidensniveau,0,1)-Eu_tabel_g[[#This Row],[x base]],0,1,TRUE)</f>
        <v>3.7633980985574134E-4</v>
      </c>
      <c r="CQ67" s="32">
        <f>_xlfn.NORM.DIST(_xlfn.NORM.INV((1-Eu_g_konfidensniveau)/2,0,1)-Eu_tabel_g[[#This Row],[x base]],0,1,TRUE)+1-_xlfn.NORM.DIST(_xlfn.NORM.INV(1-(1-Eu_g_konfidensniveau)/2,0,1)-Eu_tabel_g[[#This Row],[x base]],0,1,TRUE)</f>
        <v>0.40714775290485905</v>
      </c>
      <c r="CR67" s="32" t="e" cm="1">
        <f t="array" ref="CR67">IF($CR$3,INDEX(Eu_tabel_g[[#This Row],[Styrke venstre]:[Styrke tosidet]],CR$7),NA())</f>
        <v>#N/A</v>
      </c>
      <c r="CS67" s="52" t="e">
        <f>Eu_tabel_g[[#This Row],[Falsk positiv
Nulhypotese accepteres
Fejltype 1]]</f>
        <v>#N/A</v>
      </c>
      <c r="CT67" s="52" t="e">
        <f>IF(CHOOSE(CR$7,Eu_tabel_g[[#This Row],[x base]]&gt;0,Eu_tabel_g[[#This Row],[x base]]&lt;0,Eu_tabel_g[[#This Row],[x base]]=0),Eu_tabel_g[[#This Row],[Styrke, aktiv]],NA())</f>
        <v>#N/A</v>
      </c>
      <c r="CU67" s="52" t="e">
        <f>IFERROR(IF($CR$3,Eu_tabel_g[[#This Row],[Styrke, aktiv]],NA()),NA())</f>
        <v>#N/A</v>
      </c>
      <c r="CV67" s="52" t="e">
        <f>IF(ISNA(Eu_tabel_g[[#This Row],[Sand negativ
Nulhypotese afvises
Korrekt]]),NA(),IF($CR$3,1,NA()))</f>
        <v>#N/A</v>
      </c>
      <c r="CW67" s="34" t="str" cm="1">
        <f t="array" ref="CW67">_xlfn.SWITCH(BZ67,_xlfn.IFNA(CU$2,-99),CU$5,_xlfn.IFNA(CU$3,-99),CU$6,_xlfn.IFNA(CU$4,-99),CU$7,"")</f>
        <v/>
      </c>
      <c r="DA67" s="7">
        <f t="shared" si="50"/>
        <v>0.8</v>
      </c>
      <c r="DB67">
        <f>IF(ROW(Styrkeberegning_G[[#This Row],[X base venstre]])=ROW(Styrkeberegning_G[[#Headers],[X base venstre]])+1,DB$7/(DA$7/$B$67),DB66/(DA66/$B$67))</f>
        <v>-2.8015817870135784</v>
      </c>
      <c r="DC67">
        <f>Styrkeberegning_G[[#This Row],[X base venstre]]*-1</f>
        <v>2.8015817870135784</v>
      </c>
      <c r="DN67" s="32">
        <f t="shared" si="51"/>
        <v>57</v>
      </c>
      <c r="DO67" s="32">
        <f t="shared" si="52"/>
        <v>58</v>
      </c>
      <c r="DP67" s="32">
        <f t="shared" si="53"/>
        <v>8.3358914804227471</v>
      </c>
      <c r="DQ67" s="32" t="e">
        <f t="shared" si="54"/>
        <v>#N/A</v>
      </c>
      <c r="DR67" s="32" t="e">
        <f t="shared" si="55"/>
        <v>#N/A</v>
      </c>
      <c r="DS67" s="32">
        <f t="shared" si="56"/>
        <v>9.1126912559427717E-2</v>
      </c>
      <c r="DT67" s="32" t="e">
        <f t="shared" si="57"/>
        <v>#N/A</v>
      </c>
      <c r="DU67" s="32" t="b">
        <f t="shared" si="58"/>
        <v>0</v>
      </c>
      <c r="DV67" s="32" t="b">
        <f t="shared" si="59"/>
        <v>1</v>
      </c>
      <c r="DW67" s="32" t="b">
        <f t="shared" si="60"/>
        <v>0</v>
      </c>
      <c r="DX67" s="32" t="b">
        <f t="shared" si="61"/>
        <v>1</v>
      </c>
      <c r="DY67" s="32">
        <f t="shared" si="62"/>
        <v>9.1126912559427717E-2</v>
      </c>
      <c r="DZ67" s="32" t="e">
        <f t="shared" si="63"/>
        <v>#N/A</v>
      </c>
      <c r="EA67" s="32">
        <f t="shared" si="64"/>
        <v>9.1126912559427717E-2</v>
      </c>
      <c r="EB67" s="45" t="str">
        <f t="shared" si="65"/>
        <v/>
      </c>
      <c r="EG67" s="32">
        <f t="shared" si="66"/>
        <v>57</v>
      </c>
      <c r="EH67" s="32">
        <f t="shared" si="67"/>
        <v>58</v>
      </c>
      <c r="EI67" s="32">
        <f t="shared" si="68"/>
        <v>-1.7247808220471517</v>
      </c>
      <c r="EJ67" s="32">
        <f t="shared" si="69"/>
        <v>9.014164835694867E-2</v>
      </c>
      <c r="EK67" s="32" t="e">
        <f t="shared" si="70"/>
        <v>#N/A</v>
      </c>
      <c r="EL67" s="32" t="e">
        <f t="shared" si="71"/>
        <v>#N/A</v>
      </c>
      <c r="EM67" s="32" t="e">
        <f t="shared" si="72"/>
        <v>#N/A</v>
      </c>
      <c r="EN67" s="32" t="b">
        <f t="shared" si="73"/>
        <v>0</v>
      </c>
      <c r="EO67" s="32" t="b">
        <f t="shared" si="74"/>
        <v>1</v>
      </c>
      <c r="EP67" s="32" t="b">
        <f t="shared" si="75"/>
        <v>0</v>
      </c>
      <c r="EQ67" s="32" t="b">
        <f t="shared" si="76"/>
        <v>1</v>
      </c>
      <c r="ER67" s="32">
        <f t="shared" si="77"/>
        <v>9.014164835694867E-2</v>
      </c>
      <c r="ES67" s="32" t="e">
        <f t="shared" si="78"/>
        <v>#N/A</v>
      </c>
      <c r="ET67" s="32">
        <f t="shared" si="79"/>
        <v>9.014164835694867E-2</v>
      </c>
      <c r="EU67" s="45" t="str">
        <f t="shared" si="80"/>
        <v/>
      </c>
      <c r="EV6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7" s="32" t="e" cm="1">
        <f t="array" ref="EY67">IF($CR$3,INDEX(Eu_tabel_a[[#This Row],[Styrke venstre]:[Styrke tosidet]],EY$7),NA())</f>
        <v>#N/A</v>
      </c>
      <c r="EZ67" s="32" t="e">
        <f>IF(EY$3,IF(CHOOSE(EY$7,Eu_tabel_a[[#This Row],[x base]]&gt;0,Eu_tabel_a[[#This Row],[x base]]&lt;0,Eu_tabel_a[[#This Row],[x base]]=0),1,NA()),NA())</f>
        <v>#N/A</v>
      </c>
      <c r="FA67" s="32" t="e">
        <f>IF(CHOOSE(EY$7,Eu_tabel_a[[#This Row],[x base]]&gt;0,Eu_tabel_a[[#This Row],[x base]]&lt;0,Eu_tabel_a[[#This Row],[x base]]=0),Eu_tabel_a[[#This Row],[Styrke, aktiv]],NA())</f>
        <v>#N/A</v>
      </c>
      <c r="FB67" s="32" t="e">
        <f>IFERROR(IF($EY$3,Eu_tabel_a[[#This Row],[Styrke, aktiv]],NA()),NA())</f>
        <v>#N/A</v>
      </c>
      <c r="FC67" s="32" t="e">
        <f>IF(ISNA(Eu_tabel_a[[#This Row],[Sand negativ
Nulhypotese afvises
Korrekt]]),NA(),IF(EY$3,1,NA()))</f>
        <v>#N/A</v>
      </c>
      <c r="FD67" s="33" t="str" cm="1">
        <f t="array" ref="FD67">IFERROR(_xlfn.SWITCH(Eu_tabel_a[[#This Row],[Indeks]],_xlfn.IFNA(FB$2,-99),FB$5,_xlfn.IFNA(FB$3,-99),FB$6,_xlfn.IFNA(FB$4,-99),FB$7,""),"")</f>
        <v/>
      </c>
      <c r="FE67" s="32">
        <f>Eu_tabel_a[[#This Row],[x base]]*SQRT(Eu_a_h0_x*(1-Eu_a_h0_x)/Eu_a_n_x)+Eu_a_h0_x</f>
        <v>0</v>
      </c>
      <c r="FJ67" s="74" t="e">
        <f t="shared" si="18"/>
        <v>#N/A</v>
      </c>
      <c r="FK67" s="82" t="e">
        <f t="shared" si="113"/>
        <v>#DIV/0!</v>
      </c>
      <c r="FL67" s="7" t="e">
        <f t="shared" si="12"/>
        <v>#DIV/0!</v>
      </c>
      <c r="FM67" t="e">
        <f t="shared" si="114"/>
        <v>#DIV/0!</v>
      </c>
      <c r="FN67" s="8" t="e">
        <f t="shared" si="115"/>
        <v>#DIV/0!</v>
      </c>
      <c r="FO67" s="8" t="e">
        <f t="shared" si="116"/>
        <v>#DIV/0!</v>
      </c>
      <c r="FP67" s="81" t="e">
        <f t="shared" si="117"/>
        <v>#DIV/0!</v>
      </c>
      <c r="FQ67" s="74" t="e">
        <f t="shared" ca="1" si="13"/>
        <v>#N/A</v>
      </c>
      <c r="FR67" s="82" t="e" vm="3">
        <f t="shared" ca="1" si="19"/>
        <v>#VALUE!</v>
      </c>
      <c r="FS67" s="7" t="e" vm="3">
        <f t="shared" ca="1" si="14"/>
        <v>#VALUE!</v>
      </c>
      <c r="FT67" t="e" vm="3">
        <f t="shared" ca="1" si="8"/>
        <v>#VALUE!</v>
      </c>
      <c r="FU67" s="8" t="e" vm="3">
        <f t="shared" ca="1" si="9"/>
        <v>#VALUE!</v>
      </c>
      <c r="FV67" s="8" t="e" vm="3">
        <f t="shared" ca="1" si="10"/>
        <v>#VALUE!</v>
      </c>
      <c r="FW67" s="81" t="e" vm="3">
        <f t="shared" ca="1" si="11"/>
        <v>#VALUE!</v>
      </c>
      <c r="FX67" s="74" t="e">
        <f t="shared" si="15"/>
        <v>#N/A</v>
      </c>
      <c r="FY67" s="82" t="e">
        <f t="shared" si="20"/>
        <v>#N/A</v>
      </c>
      <c r="FZ67" s="7" t="e">
        <f t="shared" si="16"/>
        <v>#N/A</v>
      </c>
      <c r="GA67" t="e">
        <f t="shared" si="21"/>
        <v>#N/A</v>
      </c>
      <c r="GB67" s="8" t="e">
        <f t="shared" si="22"/>
        <v>#N/A</v>
      </c>
      <c r="GC67" s="8" t="e">
        <f t="shared" si="23"/>
        <v>#N/A</v>
      </c>
      <c r="GD67" s="81" t="e">
        <f t="shared" si="24"/>
        <v>#N/A</v>
      </c>
      <c r="GE67" s="74" t="e">
        <f t="shared" si="25"/>
        <v>#N/A</v>
      </c>
      <c r="GF67" s="82" t="e">
        <f t="shared" si="26"/>
        <v>#N/A</v>
      </c>
      <c r="GG67" s="7" t="e">
        <f t="shared" si="17"/>
        <v>#N/A</v>
      </c>
      <c r="GH67" t="e">
        <f t="shared" si="27"/>
        <v>#N/A</v>
      </c>
      <c r="GI67" s="8" t="e">
        <f t="shared" si="28"/>
        <v>#N/A</v>
      </c>
      <c r="GJ67" s="8" t="e">
        <f t="shared" si="29"/>
        <v>#N/A</v>
      </c>
      <c r="GK67" s="81" t="e">
        <f t="shared" si="30"/>
        <v>#N/A</v>
      </c>
      <c r="GL67" s="81"/>
      <c r="GM67" s="81"/>
      <c r="GP67" s="32">
        <f t="shared" si="81"/>
        <v>57</v>
      </c>
      <c r="GQ67" s="32">
        <f t="shared" si="82"/>
        <v>58</v>
      </c>
      <c r="GR67" s="32">
        <f t="shared" si="83"/>
        <v>-1.7247808220471517</v>
      </c>
      <c r="GS67" s="32">
        <f t="shared" si="84"/>
        <v>9.014164835694867E-2</v>
      </c>
      <c r="GT67" s="32" t="e">
        <f t="shared" si="85"/>
        <v>#N/A</v>
      </c>
      <c r="GU67" s="32" t="e">
        <f t="shared" si="86"/>
        <v>#N/A</v>
      </c>
      <c r="GV67" s="32" t="e">
        <f t="shared" si="87"/>
        <v>#N/A</v>
      </c>
      <c r="GW67" s="32" t="b">
        <f t="shared" si="88"/>
        <v>0</v>
      </c>
      <c r="GX67" s="32" t="b">
        <f t="shared" si="89"/>
        <v>1</v>
      </c>
      <c r="GY67" s="32" t="b">
        <f t="shared" si="90"/>
        <v>0</v>
      </c>
      <c r="GZ67" s="32" t="b">
        <f t="shared" si="91"/>
        <v>1</v>
      </c>
      <c r="HA67" s="32">
        <f t="shared" si="92"/>
        <v>9.014164835694867E-2</v>
      </c>
      <c r="HB67" s="32" t="e">
        <f t="shared" si="93"/>
        <v>#N/A</v>
      </c>
      <c r="HC67" s="32">
        <f t="shared" si="94"/>
        <v>9.014164835694867E-2</v>
      </c>
      <c r="HD67" s="45" t="str">
        <f t="shared" si="95"/>
        <v/>
      </c>
      <c r="HJ67" s="32">
        <f t="shared" si="96"/>
        <v>57</v>
      </c>
      <c r="HK67" s="32">
        <f t="shared" si="97"/>
        <v>58</v>
      </c>
      <c r="HL67" s="32">
        <f t="shared" si="98"/>
        <v>-2.6708593276120927</v>
      </c>
      <c r="HM67" s="32" t="e">
        <f t="shared" si="99"/>
        <v>#N/A</v>
      </c>
      <c r="HN67" s="32">
        <f t="shared" si="100"/>
        <v>2.3165711177825694E-2</v>
      </c>
      <c r="HO67" s="32" t="e">
        <f t="shared" si="101"/>
        <v>#N/A</v>
      </c>
      <c r="HP67" s="32" t="e">
        <f t="shared" si="102"/>
        <v>#N/A</v>
      </c>
      <c r="HQ67" s="32" t="b">
        <f t="shared" si="103"/>
        <v>1</v>
      </c>
      <c r="HR67" s="32" t="b">
        <f t="shared" si="104"/>
        <v>0</v>
      </c>
      <c r="HS67" s="32" t="b">
        <f t="shared" si="105"/>
        <v>1</v>
      </c>
      <c r="HT67" s="32" t="b">
        <f t="shared" si="106"/>
        <v>0</v>
      </c>
      <c r="HU67" s="32">
        <f t="shared" si="107"/>
        <v>2.3165711177825694E-2</v>
      </c>
      <c r="HV67" s="32">
        <f t="shared" si="108"/>
        <v>2.3165711177825694E-2</v>
      </c>
      <c r="HW67" s="32" t="e">
        <f t="shared" si="109"/>
        <v>#N/A</v>
      </c>
      <c r="HX67" s="45" t="str">
        <f t="shared" si="110"/>
        <v/>
      </c>
    </row>
    <row r="68" spans="1:232" x14ac:dyDescent="0.2">
      <c r="A68" s="35" t="s">
        <v>200</v>
      </c>
      <c r="B68" s="46">
        <v>1</v>
      </c>
      <c r="C68" s="55" t="e" cm="1">
        <f t="array" ref="C68">ABS(INDEX(DB$3:DC$5,CR7,IF(CR7=3,2,CR7))*CS7/SQRT(B69))</f>
        <v>#N/A</v>
      </c>
      <c r="O68" s="35" t="s">
        <v>296</v>
      </c>
      <c r="P68" s="47">
        <v>-0.01</v>
      </c>
      <c r="Q68" s="73" t="e">
        <f>FB5-Eu_a_h0_x</f>
        <v>#N/A</v>
      </c>
      <c r="BL68" s="53" t="s">
        <v>248</v>
      </c>
      <c r="BM68" s="87" t="str" cm="1">
        <f t="array" ref="BM68">IF(NOT($BJ$2),IF(INDEX(E_k_valg[Nulhypotese kan ikke afvises],E_k_aktiv),"Nulhypotese kan ikke afvises","Nulhypotese afvises"),NA())</f>
        <v>Nulhypotese kan ikke afvises</v>
      </c>
      <c r="BZ68" s="32">
        <f t="shared" si="36"/>
        <v>58</v>
      </c>
      <c r="CA68" s="32">
        <f>Eu_tabel_g[[#This Row],[Indeks]]+1</f>
        <v>59</v>
      </c>
      <c r="CB68" s="32">
        <f t="shared" si="37"/>
        <v>-1.7008255328520523</v>
      </c>
      <c r="CC68" s="32">
        <f t="shared" si="38"/>
        <v>9.3917148922940161E-2</v>
      </c>
      <c r="CD68" s="32" t="e">
        <f t="shared" si="39"/>
        <v>#N/A</v>
      </c>
      <c r="CE68" s="32" t="e">
        <f t="shared" si="40"/>
        <v>#N/A</v>
      </c>
      <c r="CF68" s="32" t="e">
        <f t="shared" si="41"/>
        <v>#N/A</v>
      </c>
      <c r="CG68" s="32" t="b">
        <f t="shared" si="42"/>
        <v>0</v>
      </c>
      <c r="CH68" s="32" t="b">
        <f t="shared" si="43"/>
        <v>1</v>
      </c>
      <c r="CI68" s="32" t="b">
        <f t="shared" si="44"/>
        <v>0</v>
      </c>
      <c r="CJ68" s="32" t="b">
        <f t="shared" si="45"/>
        <v>1</v>
      </c>
      <c r="CK68" s="32">
        <f t="shared" si="119"/>
        <v>9.3917148922940161E-2</v>
      </c>
      <c r="CL68" s="32" t="e">
        <f t="shared" si="47"/>
        <v>#N/A</v>
      </c>
      <c r="CM68" s="32">
        <f t="shared" si="48"/>
        <v>9.3917148922940161E-2</v>
      </c>
      <c r="CN68" s="45" t="str">
        <f t="shared" si="49"/>
        <v/>
      </c>
      <c r="CO68" s="32">
        <f>_xlfn.NORM.DIST(_xlfn.NORM.INV(1-Eu_g_konfidensniveau,0,1)-Eu_tabel_g[[#This Row],[x base]],0,1,TRUE)</f>
        <v>0.52231790604596395</v>
      </c>
      <c r="CP68" s="32">
        <f>1-_xlfn.NORM.DIST(_xlfn.NORM.INV(Eu_g_konfidensniveau,0,1)-Eu_tabel_g[[#This Row],[x base]],0,1,TRUE)</f>
        <v>4.1040656259572206E-4</v>
      </c>
      <c r="CQ68" s="32">
        <f>_xlfn.NORM.DIST(_xlfn.NORM.INV((1-Eu_g_konfidensniveau)/2,0,1)-Eu_tabel_g[[#This Row],[x base]],0,1,TRUE)+1-_xlfn.NORM.DIST(_xlfn.NORM.INV(1-(1-Eu_g_konfidensniveau)/2,0,1)-Eu_tabel_g[[#This Row],[x base]],0,1,TRUE)</f>
        <v>0.39788992846045124</v>
      </c>
      <c r="CR68" s="32" t="e" cm="1">
        <f t="array" ref="CR68">IF($CR$3,INDEX(Eu_tabel_g[[#This Row],[Styrke venstre]:[Styrke tosidet]],CR$7),NA())</f>
        <v>#N/A</v>
      </c>
      <c r="CS68" s="52" t="e">
        <f>Eu_tabel_g[[#This Row],[Falsk positiv
Nulhypotese accepteres
Fejltype 1]]</f>
        <v>#N/A</v>
      </c>
      <c r="CT68" s="52" t="e">
        <f>IF(CHOOSE(CR$7,Eu_tabel_g[[#This Row],[x base]]&gt;0,Eu_tabel_g[[#This Row],[x base]]&lt;0,Eu_tabel_g[[#This Row],[x base]]=0),Eu_tabel_g[[#This Row],[Styrke, aktiv]],NA())</f>
        <v>#N/A</v>
      </c>
      <c r="CU68" s="52" t="e">
        <f>IFERROR(IF($CR$3,Eu_tabel_g[[#This Row],[Styrke, aktiv]],NA()),NA())</f>
        <v>#N/A</v>
      </c>
      <c r="CV68" s="52" t="e">
        <f>IF(ISNA(Eu_tabel_g[[#This Row],[Sand negativ
Nulhypotese afvises
Korrekt]]),NA(),IF($CR$3,1,NA()))</f>
        <v>#N/A</v>
      </c>
      <c r="CW68" s="34" t="str" cm="1">
        <f t="array" ref="CW68">_xlfn.SWITCH(BZ68,_xlfn.IFNA(CU$2,-99),CU$5,_xlfn.IFNA(CU$3,-99),CU$6,_xlfn.IFNA(CU$4,-99),CU$7,"")</f>
        <v/>
      </c>
      <c r="DA68" s="7">
        <f t="shared" si="50"/>
        <v>0.8</v>
      </c>
      <c r="DB68">
        <f>IF(ROW(Styrkeberegning_G[[#This Row],[X base venstre]])=ROW(Styrkeberegning_G[[#Headers],[X base venstre]])+1,DB$7/(DA$7/$B$67),DB67/(DA67/$B$67))</f>
        <v>-2.8015817870135784</v>
      </c>
      <c r="DC68">
        <f>Styrkeberegning_G[[#This Row],[X base venstre]]*-1</f>
        <v>2.8015817870135784</v>
      </c>
      <c r="DN68" s="32">
        <f t="shared" si="51"/>
        <v>58</v>
      </c>
      <c r="DO68" s="32">
        <f t="shared" si="52"/>
        <v>59</v>
      </c>
      <c r="DP68" s="32">
        <f t="shared" si="53"/>
        <v>8.4499623368397483</v>
      </c>
      <c r="DQ68" s="32" t="e">
        <f t="shared" si="54"/>
        <v>#N/A</v>
      </c>
      <c r="DR68" s="32" t="e">
        <f t="shared" si="55"/>
        <v>#N/A</v>
      </c>
      <c r="DS68" s="32">
        <f t="shared" si="56"/>
        <v>9.1503715560512691E-2</v>
      </c>
      <c r="DT68" s="32" t="e">
        <f t="shared" si="57"/>
        <v>#N/A</v>
      </c>
      <c r="DU68" s="32" t="b">
        <f t="shared" si="58"/>
        <v>0</v>
      </c>
      <c r="DV68" s="32" t="b">
        <f t="shared" si="59"/>
        <v>1</v>
      </c>
      <c r="DW68" s="32" t="b">
        <f t="shared" si="60"/>
        <v>0</v>
      </c>
      <c r="DX68" s="32" t="b">
        <f t="shared" si="61"/>
        <v>1</v>
      </c>
      <c r="DY68" s="32">
        <f t="shared" si="62"/>
        <v>9.1503715560512691E-2</v>
      </c>
      <c r="DZ68" s="32" t="e">
        <f t="shared" si="63"/>
        <v>#N/A</v>
      </c>
      <c r="EA68" s="32">
        <f t="shared" si="64"/>
        <v>9.1503715560512691E-2</v>
      </c>
      <c r="EB68" s="45" t="str">
        <f t="shared" si="65"/>
        <v/>
      </c>
      <c r="EG68" s="32">
        <f t="shared" si="66"/>
        <v>58</v>
      </c>
      <c r="EH68" s="32">
        <f t="shared" si="67"/>
        <v>59</v>
      </c>
      <c r="EI68" s="32">
        <f t="shared" si="68"/>
        <v>-1.7008255328520523</v>
      </c>
      <c r="EJ68" s="32">
        <f t="shared" si="69"/>
        <v>9.3917148922940161E-2</v>
      </c>
      <c r="EK68" s="32" t="e">
        <f t="shared" si="70"/>
        <v>#N/A</v>
      </c>
      <c r="EL68" s="32" t="e">
        <f t="shared" si="71"/>
        <v>#N/A</v>
      </c>
      <c r="EM68" s="32" t="e">
        <f t="shared" si="72"/>
        <v>#N/A</v>
      </c>
      <c r="EN68" s="32" t="b">
        <f t="shared" si="73"/>
        <v>0</v>
      </c>
      <c r="EO68" s="32" t="b">
        <f t="shared" si="74"/>
        <v>1</v>
      </c>
      <c r="EP68" s="32" t="b">
        <f t="shared" si="75"/>
        <v>0</v>
      </c>
      <c r="EQ68" s="32" t="b">
        <f t="shared" si="76"/>
        <v>1</v>
      </c>
      <c r="ER68" s="32">
        <f t="shared" si="77"/>
        <v>9.3917148922940161E-2</v>
      </c>
      <c r="ES68" s="32" t="e">
        <f t="shared" si="78"/>
        <v>#N/A</v>
      </c>
      <c r="ET68" s="32">
        <f t="shared" si="79"/>
        <v>9.3917148922940161E-2</v>
      </c>
      <c r="EU68" s="45" t="str">
        <f t="shared" si="80"/>
        <v/>
      </c>
      <c r="EV6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8" s="32" t="e" cm="1">
        <f t="array" ref="EY68">IF($CR$3,INDEX(Eu_tabel_a[[#This Row],[Styrke venstre]:[Styrke tosidet]],EY$7),NA())</f>
        <v>#N/A</v>
      </c>
      <c r="EZ68" s="32" t="e">
        <f>IF(EY$3,IF(CHOOSE(EY$7,Eu_tabel_a[[#This Row],[x base]]&gt;0,Eu_tabel_a[[#This Row],[x base]]&lt;0,Eu_tabel_a[[#This Row],[x base]]=0),1,NA()),NA())</f>
        <v>#N/A</v>
      </c>
      <c r="FA68" s="32" t="e">
        <f>IF(CHOOSE(EY$7,Eu_tabel_a[[#This Row],[x base]]&gt;0,Eu_tabel_a[[#This Row],[x base]]&lt;0,Eu_tabel_a[[#This Row],[x base]]=0),Eu_tabel_a[[#This Row],[Styrke, aktiv]],NA())</f>
        <v>#N/A</v>
      </c>
      <c r="FB68" s="32" t="e">
        <f>IFERROR(IF($EY$3,Eu_tabel_a[[#This Row],[Styrke, aktiv]],NA()),NA())</f>
        <v>#N/A</v>
      </c>
      <c r="FC68" s="32" t="e">
        <f>IF(ISNA(Eu_tabel_a[[#This Row],[Sand negativ
Nulhypotese afvises
Korrekt]]),NA(),IF(EY$3,1,NA()))</f>
        <v>#N/A</v>
      </c>
      <c r="FD68" s="33" t="str" cm="1">
        <f t="array" ref="FD68">IFERROR(_xlfn.SWITCH(Eu_tabel_a[[#This Row],[Indeks]],_xlfn.IFNA(FB$2,-99),FB$5,_xlfn.IFNA(FB$3,-99),FB$6,_xlfn.IFNA(FB$4,-99),FB$7,""),"")</f>
        <v/>
      </c>
      <c r="FE68" s="32">
        <f>Eu_tabel_a[[#This Row],[x base]]*SQRT(Eu_a_h0_x*(1-Eu_a_h0_x)/Eu_a_n_x)+Eu_a_h0_x</f>
        <v>0</v>
      </c>
      <c r="FJ68" s="74" t="e">
        <f t="shared" si="18"/>
        <v>#N/A</v>
      </c>
      <c r="FK68" s="82" t="e">
        <f t="shared" si="113"/>
        <v>#DIV/0!</v>
      </c>
      <c r="FL68" s="7" t="e">
        <f t="shared" si="12"/>
        <v>#DIV/0!</v>
      </c>
      <c r="FM68" t="e">
        <f t="shared" si="114"/>
        <v>#DIV/0!</v>
      </c>
      <c r="FN68" s="8" t="e">
        <f t="shared" si="115"/>
        <v>#DIV/0!</v>
      </c>
      <c r="FO68" s="8" t="e">
        <f t="shared" si="116"/>
        <v>#DIV/0!</v>
      </c>
      <c r="FP68" s="81" t="e">
        <f t="shared" si="117"/>
        <v>#DIV/0!</v>
      </c>
      <c r="FQ68" s="74" t="e">
        <f t="shared" ca="1" si="13"/>
        <v>#N/A</v>
      </c>
      <c r="FR68" s="82" t="e" vm="3">
        <f t="shared" ca="1" si="19"/>
        <v>#VALUE!</v>
      </c>
      <c r="FS68" s="7" t="e" vm="3">
        <f t="shared" ca="1" si="14"/>
        <v>#VALUE!</v>
      </c>
      <c r="FT68" t="e" vm="3">
        <f t="shared" ca="1" si="8"/>
        <v>#VALUE!</v>
      </c>
      <c r="FU68" s="8" t="e" vm="3">
        <f t="shared" ca="1" si="9"/>
        <v>#VALUE!</v>
      </c>
      <c r="FV68" s="8" t="e" vm="3">
        <f t="shared" ca="1" si="10"/>
        <v>#VALUE!</v>
      </c>
      <c r="FW68" s="81" t="e" vm="3">
        <f t="shared" ca="1" si="11"/>
        <v>#VALUE!</v>
      </c>
      <c r="FX68" s="74" t="e">
        <f t="shared" si="15"/>
        <v>#N/A</v>
      </c>
      <c r="FY68" s="82" t="e">
        <f t="shared" si="20"/>
        <v>#N/A</v>
      </c>
      <c r="FZ68" s="7" t="e">
        <f t="shared" si="16"/>
        <v>#N/A</v>
      </c>
      <c r="GA68" t="e">
        <f t="shared" si="21"/>
        <v>#N/A</v>
      </c>
      <c r="GB68" s="8" t="e">
        <f t="shared" si="22"/>
        <v>#N/A</v>
      </c>
      <c r="GC68" s="8" t="e">
        <f t="shared" si="23"/>
        <v>#N/A</v>
      </c>
      <c r="GD68" s="81" t="e">
        <f t="shared" si="24"/>
        <v>#N/A</v>
      </c>
      <c r="GE68" s="74" t="e">
        <f t="shared" si="25"/>
        <v>#N/A</v>
      </c>
      <c r="GF68" s="82" t="e">
        <f t="shared" si="26"/>
        <v>#N/A</v>
      </c>
      <c r="GG68" s="7" t="e">
        <f t="shared" si="17"/>
        <v>#N/A</v>
      </c>
      <c r="GH68" t="e">
        <f t="shared" si="27"/>
        <v>#N/A</v>
      </c>
      <c r="GI68" s="8" t="e">
        <f t="shared" si="28"/>
        <v>#N/A</v>
      </c>
      <c r="GJ68" s="8" t="e">
        <f t="shared" si="29"/>
        <v>#N/A</v>
      </c>
      <c r="GK68" s="81" t="e">
        <f t="shared" si="30"/>
        <v>#N/A</v>
      </c>
      <c r="GL68" s="81"/>
      <c r="GM68" s="81"/>
      <c r="GP68" s="32">
        <f t="shared" si="81"/>
        <v>58</v>
      </c>
      <c r="GQ68" s="32">
        <f t="shared" si="82"/>
        <v>59</v>
      </c>
      <c r="GR68" s="32">
        <f t="shared" si="83"/>
        <v>-1.7008255328520523</v>
      </c>
      <c r="GS68" s="32">
        <f t="shared" si="84"/>
        <v>9.3917148922940161E-2</v>
      </c>
      <c r="GT68" s="32" t="e">
        <f t="shared" si="85"/>
        <v>#N/A</v>
      </c>
      <c r="GU68" s="32" t="e">
        <f t="shared" si="86"/>
        <v>#N/A</v>
      </c>
      <c r="GV68" s="32" t="e">
        <f t="shared" si="87"/>
        <v>#N/A</v>
      </c>
      <c r="GW68" s="32" t="b">
        <f t="shared" si="88"/>
        <v>0</v>
      </c>
      <c r="GX68" s="32" t="b">
        <f t="shared" si="89"/>
        <v>1</v>
      </c>
      <c r="GY68" s="32" t="b">
        <f t="shared" si="90"/>
        <v>0</v>
      </c>
      <c r="GZ68" s="32" t="b">
        <f t="shared" si="91"/>
        <v>1</v>
      </c>
      <c r="HA68" s="32">
        <f t="shared" si="92"/>
        <v>9.3917148922940161E-2</v>
      </c>
      <c r="HB68" s="32" t="e">
        <f t="shared" si="93"/>
        <v>#N/A</v>
      </c>
      <c r="HC68" s="32">
        <f t="shared" si="94"/>
        <v>9.3917148922940161E-2</v>
      </c>
      <c r="HD68" s="45" t="str">
        <f t="shared" si="95"/>
        <v/>
      </c>
      <c r="HJ68" s="32">
        <f t="shared" si="96"/>
        <v>58</v>
      </c>
      <c r="HK68" s="32">
        <f t="shared" si="97"/>
        <v>59</v>
      </c>
      <c r="HL68" s="32">
        <f t="shared" si="98"/>
        <v>-2.633764059173036</v>
      </c>
      <c r="HM68" s="32" t="e">
        <f t="shared" si="99"/>
        <v>#N/A</v>
      </c>
      <c r="HN68" s="32">
        <f t="shared" si="100"/>
        <v>2.4502015153508718E-2</v>
      </c>
      <c r="HO68" s="32" t="e">
        <f t="shared" si="101"/>
        <v>#N/A</v>
      </c>
      <c r="HP68" s="32" t="e">
        <f t="shared" si="102"/>
        <v>#N/A</v>
      </c>
      <c r="HQ68" s="32" t="b">
        <f t="shared" si="103"/>
        <v>1</v>
      </c>
      <c r="HR68" s="32" t="b">
        <f t="shared" si="104"/>
        <v>0</v>
      </c>
      <c r="HS68" s="32" t="b">
        <f t="shared" si="105"/>
        <v>1</v>
      </c>
      <c r="HT68" s="32" t="b">
        <f t="shared" si="106"/>
        <v>0</v>
      </c>
      <c r="HU68" s="32">
        <f t="shared" si="107"/>
        <v>2.4502015153508718E-2</v>
      </c>
      <c r="HV68" s="32">
        <f t="shared" si="108"/>
        <v>2.4502015153508718E-2</v>
      </c>
      <c r="HW68" s="32" t="e">
        <f t="shared" si="109"/>
        <v>#N/A</v>
      </c>
      <c r="HX68" s="45" t="str">
        <f t="shared" si="110"/>
        <v/>
      </c>
    </row>
    <row r="69" spans="1:232" x14ac:dyDescent="0.2">
      <c r="A69" s="35" t="s">
        <v>207</v>
      </c>
      <c r="B69" s="51">
        <v>100</v>
      </c>
      <c r="C69" s="54" t="e" cm="1">
        <f t="array" ref="C69">ROUNDUP((INDEX(DB$3:DC$5,CR7,IF(CR7=3,2,CR7))*CS7/B68)^2,0)</f>
        <v>#N/A</v>
      </c>
      <c r="O69" s="35" t="s">
        <v>295</v>
      </c>
      <c r="P69" s="47">
        <v>0.01</v>
      </c>
      <c r="Q69" s="73" t="e">
        <f>FB7-Eu_a_h0_x</f>
        <v>#N/A</v>
      </c>
      <c r="BZ69" s="32">
        <f t="shared" si="36"/>
        <v>59</v>
      </c>
      <c r="CA69" s="32">
        <f>Eu_tabel_g[[#This Row],[Indeks]]+1</f>
        <v>60</v>
      </c>
      <c r="CB69" s="32">
        <f t="shared" si="37"/>
        <v>-1.6768702436569529</v>
      </c>
      <c r="CC69" s="32">
        <f t="shared" si="38"/>
        <v>9.7794646741325916E-2</v>
      </c>
      <c r="CD69" s="32" t="e">
        <f t="shared" si="39"/>
        <v>#N/A</v>
      </c>
      <c r="CE69" s="32" t="e">
        <f t="shared" si="40"/>
        <v>#N/A</v>
      </c>
      <c r="CF69" s="32" t="e">
        <f t="shared" si="41"/>
        <v>#N/A</v>
      </c>
      <c r="CG69" s="32" t="b">
        <f t="shared" si="42"/>
        <v>0</v>
      </c>
      <c r="CH69" s="32" t="b">
        <f t="shared" si="43"/>
        <v>1</v>
      </c>
      <c r="CI69" s="32" t="b">
        <f t="shared" si="44"/>
        <v>0</v>
      </c>
      <c r="CJ69" s="32" t="b">
        <f t="shared" si="45"/>
        <v>1</v>
      </c>
      <c r="CK69" s="32">
        <f t="shared" si="119"/>
        <v>9.7794646741325916E-2</v>
      </c>
      <c r="CL69" s="32" t="e">
        <f t="shared" si="47"/>
        <v>#N/A</v>
      </c>
      <c r="CM69" s="32">
        <f t="shared" si="48"/>
        <v>9.7794646741325916E-2</v>
      </c>
      <c r="CN69" s="45" t="str">
        <f t="shared" si="49"/>
        <v/>
      </c>
      <c r="CO69" s="32">
        <f>_xlfn.NORM.DIST(_xlfn.NORM.INV(1-Eu_g_konfidensniveau,0,1)-Eu_tabel_g[[#This Row],[x base]],0,1,TRUE)</f>
        <v>0.51277060026207</v>
      </c>
      <c r="CP69" s="32">
        <f>1-_xlfn.NORM.DIST(_xlfn.NORM.INV(Eu_g_konfidensniveau,0,1)-Eu_tabel_g[[#This Row],[x base]],0,1,TRUE)</f>
        <v>4.4731590849211855E-4</v>
      </c>
      <c r="CQ69" s="32">
        <f>_xlfn.NORM.DIST(_xlfn.NORM.INV((1-Eu_g_konfidensniveau)/2,0,1)-Eu_tabel_g[[#This Row],[x base]],0,1,TRUE)+1-_xlfn.NORM.DIST(_xlfn.NORM.INV(1-(1-Eu_g_konfidensniveau)/2,0,1)-Eu_tabel_g[[#This Row],[x base]],0,1,TRUE)</f>
        <v>0.38869049445814396</v>
      </c>
      <c r="CR69" s="32" t="e" cm="1">
        <f t="array" ref="CR69">IF($CR$3,INDEX(Eu_tabel_g[[#This Row],[Styrke venstre]:[Styrke tosidet]],CR$7),NA())</f>
        <v>#N/A</v>
      </c>
      <c r="CS69" s="52" t="e">
        <f>Eu_tabel_g[[#This Row],[Falsk positiv
Nulhypotese accepteres
Fejltype 1]]</f>
        <v>#N/A</v>
      </c>
      <c r="CT69" s="52" t="e">
        <f>IF(CHOOSE(CR$7,Eu_tabel_g[[#This Row],[x base]]&gt;0,Eu_tabel_g[[#This Row],[x base]]&lt;0,Eu_tabel_g[[#This Row],[x base]]=0),Eu_tabel_g[[#This Row],[Styrke, aktiv]],NA())</f>
        <v>#N/A</v>
      </c>
      <c r="CU69" s="52" t="e">
        <f>IFERROR(IF($CR$3,Eu_tabel_g[[#This Row],[Styrke, aktiv]],NA()),NA())</f>
        <v>#N/A</v>
      </c>
      <c r="CV69" s="52" t="e">
        <f>IF(ISNA(Eu_tabel_g[[#This Row],[Sand negativ
Nulhypotese afvises
Korrekt]]),NA(),IF($CR$3,1,NA()))</f>
        <v>#N/A</v>
      </c>
      <c r="CW69" s="34" t="str" cm="1">
        <f t="array" ref="CW69">_xlfn.SWITCH(BZ69,_xlfn.IFNA(CU$2,-99),CU$5,_xlfn.IFNA(CU$3,-99),CU$6,_xlfn.IFNA(CU$4,-99),CU$7,"")</f>
        <v/>
      </c>
      <c r="DA69" s="7">
        <f t="shared" si="50"/>
        <v>0.8</v>
      </c>
      <c r="DB69">
        <f>IF(ROW(Styrkeberegning_G[[#This Row],[X base venstre]])=ROW(Styrkeberegning_G[[#Headers],[X base venstre]])+1,DB$7/(DA$7/$B$67),DB68/(DA68/$B$67))</f>
        <v>-2.8015817870135784</v>
      </c>
      <c r="DC69">
        <f>Styrkeberegning_G[[#This Row],[X base venstre]]*-1</f>
        <v>2.8015817870135784</v>
      </c>
      <c r="DN69" s="32">
        <f t="shared" si="51"/>
        <v>59</v>
      </c>
      <c r="DO69" s="32">
        <f t="shared" si="52"/>
        <v>60</v>
      </c>
      <c r="DP69" s="32">
        <f t="shared" si="53"/>
        <v>8.5640331932567495</v>
      </c>
      <c r="DQ69" s="32" t="e">
        <f t="shared" si="54"/>
        <v>#N/A</v>
      </c>
      <c r="DR69" s="32" t="e">
        <f t="shared" si="55"/>
        <v>#N/A</v>
      </c>
      <c r="DS69" s="32">
        <f t="shared" si="56"/>
        <v>9.1806750655112832E-2</v>
      </c>
      <c r="DT69" s="32" t="e">
        <f t="shared" si="57"/>
        <v>#N/A</v>
      </c>
      <c r="DU69" s="32" t="b">
        <f t="shared" si="58"/>
        <v>0</v>
      </c>
      <c r="DV69" s="32" t="b">
        <f t="shared" si="59"/>
        <v>1</v>
      </c>
      <c r="DW69" s="32" t="b">
        <f t="shared" si="60"/>
        <v>0</v>
      </c>
      <c r="DX69" s="32" t="b">
        <f t="shared" si="61"/>
        <v>1</v>
      </c>
      <c r="DY69" s="32">
        <f t="shared" si="62"/>
        <v>9.1806750655112832E-2</v>
      </c>
      <c r="DZ69" s="32" t="e">
        <f t="shared" si="63"/>
        <v>#N/A</v>
      </c>
      <c r="EA69" s="32">
        <f t="shared" si="64"/>
        <v>9.1806750655112832E-2</v>
      </c>
      <c r="EB69" s="45" t="str">
        <f t="shared" si="65"/>
        <v/>
      </c>
      <c r="EG69" s="32">
        <f t="shared" si="66"/>
        <v>59</v>
      </c>
      <c r="EH69" s="32">
        <f t="shared" si="67"/>
        <v>60</v>
      </c>
      <c r="EI69" s="32">
        <f t="shared" si="68"/>
        <v>-1.6768702436569529</v>
      </c>
      <c r="EJ69" s="32">
        <f t="shared" si="69"/>
        <v>9.7794646741325916E-2</v>
      </c>
      <c r="EK69" s="32" t="e">
        <f t="shared" si="70"/>
        <v>#N/A</v>
      </c>
      <c r="EL69" s="32" t="e">
        <f t="shared" si="71"/>
        <v>#N/A</v>
      </c>
      <c r="EM69" s="32" t="e">
        <f t="shared" si="72"/>
        <v>#N/A</v>
      </c>
      <c r="EN69" s="32" t="b">
        <f t="shared" si="73"/>
        <v>0</v>
      </c>
      <c r="EO69" s="32" t="b">
        <f t="shared" si="74"/>
        <v>1</v>
      </c>
      <c r="EP69" s="32" t="b">
        <f t="shared" si="75"/>
        <v>0</v>
      </c>
      <c r="EQ69" s="32" t="b">
        <f t="shared" si="76"/>
        <v>1</v>
      </c>
      <c r="ER69" s="32">
        <f t="shared" si="77"/>
        <v>9.7794646741325916E-2</v>
      </c>
      <c r="ES69" s="32" t="e">
        <f t="shared" si="78"/>
        <v>#N/A</v>
      </c>
      <c r="ET69" s="32">
        <f t="shared" si="79"/>
        <v>9.7794646741325916E-2</v>
      </c>
      <c r="EU69" s="45" t="str">
        <f t="shared" si="80"/>
        <v/>
      </c>
      <c r="EV6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9" s="32" t="e" cm="1">
        <f t="array" ref="EY69">IF($CR$3,INDEX(Eu_tabel_a[[#This Row],[Styrke venstre]:[Styrke tosidet]],EY$7),NA())</f>
        <v>#N/A</v>
      </c>
      <c r="EZ69" s="32" t="e">
        <f>IF(EY$3,IF(CHOOSE(EY$7,Eu_tabel_a[[#This Row],[x base]]&gt;0,Eu_tabel_a[[#This Row],[x base]]&lt;0,Eu_tabel_a[[#This Row],[x base]]=0),1,NA()),NA())</f>
        <v>#N/A</v>
      </c>
      <c r="FA69" s="32" t="e">
        <f>IF(CHOOSE(EY$7,Eu_tabel_a[[#This Row],[x base]]&gt;0,Eu_tabel_a[[#This Row],[x base]]&lt;0,Eu_tabel_a[[#This Row],[x base]]=0),Eu_tabel_a[[#This Row],[Styrke, aktiv]],NA())</f>
        <v>#N/A</v>
      </c>
      <c r="FB69" s="32" t="e">
        <f>IFERROR(IF($EY$3,Eu_tabel_a[[#This Row],[Styrke, aktiv]],NA()),NA())</f>
        <v>#N/A</v>
      </c>
      <c r="FC69" s="32" t="e">
        <f>IF(ISNA(Eu_tabel_a[[#This Row],[Sand negativ
Nulhypotese afvises
Korrekt]]),NA(),IF(EY$3,1,NA()))</f>
        <v>#N/A</v>
      </c>
      <c r="FD69" s="33" t="str" cm="1">
        <f t="array" ref="FD69">IFERROR(_xlfn.SWITCH(Eu_tabel_a[[#This Row],[Indeks]],_xlfn.IFNA(FB$2,-99),FB$5,_xlfn.IFNA(FB$3,-99),FB$6,_xlfn.IFNA(FB$4,-99),FB$7,""),"")</f>
        <v/>
      </c>
      <c r="FE69" s="32">
        <f>Eu_tabel_a[[#This Row],[x base]]*SQRT(Eu_a_h0_x*(1-Eu_a_h0_x)/Eu_a_n_x)+Eu_a_h0_x</f>
        <v>0</v>
      </c>
      <c r="FJ69" s="74" t="e">
        <f t="shared" si="18"/>
        <v>#N/A</v>
      </c>
      <c r="FK69" s="82" t="e">
        <f t="shared" si="113"/>
        <v>#DIV/0!</v>
      </c>
      <c r="FL69" s="7" t="e">
        <f t="shared" si="12"/>
        <v>#DIV/0!</v>
      </c>
      <c r="FM69" t="e">
        <f t="shared" si="114"/>
        <v>#DIV/0!</v>
      </c>
      <c r="FN69" s="8" t="e">
        <f t="shared" si="115"/>
        <v>#DIV/0!</v>
      </c>
      <c r="FO69" s="8" t="e">
        <f t="shared" si="116"/>
        <v>#DIV/0!</v>
      </c>
      <c r="FP69" s="81" t="e">
        <f t="shared" si="117"/>
        <v>#DIV/0!</v>
      </c>
      <c r="FQ69" s="74" t="e">
        <f t="shared" ca="1" si="13"/>
        <v>#N/A</v>
      </c>
      <c r="FR69" s="82" t="e" vm="3">
        <f t="shared" ca="1" si="19"/>
        <v>#VALUE!</v>
      </c>
      <c r="FS69" s="7" t="e" vm="3">
        <f t="shared" ca="1" si="14"/>
        <v>#VALUE!</v>
      </c>
      <c r="FT69" t="e" vm="3">
        <f t="shared" ref="FT69:FT132" ca="1" si="120">FR69-FR68</f>
        <v>#VALUE!</v>
      </c>
      <c r="FU69" s="8" t="e" vm="3">
        <f t="shared" ref="FU69:FU132" ca="1" si="121">FS69-FS68</f>
        <v>#VALUE!</v>
      </c>
      <c r="FV69" s="8" t="e" vm="3">
        <f t="shared" ref="FV69:FV132" ca="1" si="122">$P$67-FS68</f>
        <v>#VALUE!</v>
      </c>
      <c r="FW69" s="81" t="e" vm="3">
        <f t="shared" ref="FW69:FW132" ca="1" si="123">FT69/(FU69/FV69)</f>
        <v>#VALUE!</v>
      </c>
      <c r="FX69" s="74" t="e">
        <f t="shared" si="15"/>
        <v>#N/A</v>
      </c>
      <c r="FY69" s="82" t="e">
        <f t="shared" si="20"/>
        <v>#N/A</v>
      </c>
      <c r="FZ69" s="7" t="e">
        <f t="shared" si="16"/>
        <v>#N/A</v>
      </c>
      <c r="GA69" t="e">
        <f t="shared" si="21"/>
        <v>#N/A</v>
      </c>
      <c r="GB69" s="8" t="e">
        <f t="shared" si="22"/>
        <v>#N/A</v>
      </c>
      <c r="GC69" s="8" t="e">
        <f t="shared" si="23"/>
        <v>#N/A</v>
      </c>
      <c r="GD69" s="81" t="e">
        <f t="shared" si="24"/>
        <v>#N/A</v>
      </c>
      <c r="GE69" s="74" t="e">
        <f t="shared" si="25"/>
        <v>#N/A</v>
      </c>
      <c r="GF69" s="82" t="e">
        <f t="shared" si="26"/>
        <v>#N/A</v>
      </c>
      <c r="GG69" s="7" t="e">
        <f t="shared" si="17"/>
        <v>#N/A</v>
      </c>
      <c r="GH69" t="e">
        <f t="shared" si="27"/>
        <v>#N/A</v>
      </c>
      <c r="GI69" s="8" t="e">
        <f t="shared" si="28"/>
        <v>#N/A</v>
      </c>
      <c r="GJ69" s="8" t="e">
        <f t="shared" si="29"/>
        <v>#N/A</v>
      </c>
      <c r="GK69" s="81" t="e">
        <f t="shared" si="30"/>
        <v>#N/A</v>
      </c>
      <c r="GL69" s="81"/>
      <c r="GM69" s="81"/>
      <c r="GP69" s="32">
        <f t="shared" si="81"/>
        <v>59</v>
      </c>
      <c r="GQ69" s="32">
        <f t="shared" si="82"/>
        <v>60</v>
      </c>
      <c r="GR69" s="32">
        <f t="shared" si="83"/>
        <v>-1.6768702436569529</v>
      </c>
      <c r="GS69" s="32">
        <f t="shared" si="84"/>
        <v>9.7794646741325916E-2</v>
      </c>
      <c r="GT69" s="32" t="e">
        <f t="shared" si="85"/>
        <v>#N/A</v>
      </c>
      <c r="GU69" s="32" t="e">
        <f t="shared" si="86"/>
        <v>#N/A</v>
      </c>
      <c r="GV69" s="32" t="e">
        <f t="shared" si="87"/>
        <v>#N/A</v>
      </c>
      <c r="GW69" s="32" t="b">
        <f t="shared" si="88"/>
        <v>0</v>
      </c>
      <c r="GX69" s="32" t="b">
        <f t="shared" si="89"/>
        <v>1</v>
      </c>
      <c r="GY69" s="32" t="b">
        <f t="shared" si="90"/>
        <v>0</v>
      </c>
      <c r="GZ69" s="32" t="b">
        <f t="shared" si="91"/>
        <v>1</v>
      </c>
      <c r="HA69" s="32">
        <f t="shared" si="92"/>
        <v>9.7794646741325916E-2</v>
      </c>
      <c r="HB69" s="32" t="e">
        <f t="shared" si="93"/>
        <v>#N/A</v>
      </c>
      <c r="HC69" s="32">
        <f t="shared" si="94"/>
        <v>9.7794646741325916E-2</v>
      </c>
      <c r="HD69" s="45" t="str">
        <f t="shared" si="95"/>
        <v/>
      </c>
      <c r="HJ69" s="32">
        <f t="shared" si="96"/>
        <v>59</v>
      </c>
      <c r="HK69" s="32">
        <f t="shared" si="97"/>
        <v>60</v>
      </c>
      <c r="HL69" s="32">
        <f t="shared" si="98"/>
        <v>-2.5966687907339789</v>
      </c>
      <c r="HM69" s="32" t="e">
        <f t="shared" si="99"/>
        <v>#N/A</v>
      </c>
      <c r="HN69" s="32">
        <f t="shared" si="100"/>
        <v>2.5915309276453989E-2</v>
      </c>
      <c r="HO69" s="32" t="e">
        <f t="shared" si="101"/>
        <v>#N/A</v>
      </c>
      <c r="HP69" s="32" t="e">
        <f t="shared" si="102"/>
        <v>#N/A</v>
      </c>
      <c r="HQ69" s="32" t="b">
        <f t="shared" si="103"/>
        <v>1</v>
      </c>
      <c r="HR69" s="32" t="b">
        <f t="shared" si="104"/>
        <v>0</v>
      </c>
      <c r="HS69" s="32" t="b">
        <f t="shared" si="105"/>
        <v>1</v>
      </c>
      <c r="HT69" s="32" t="b">
        <f t="shared" si="106"/>
        <v>0</v>
      </c>
      <c r="HU69" s="32">
        <f t="shared" si="107"/>
        <v>2.5915309276453989E-2</v>
      </c>
      <c r="HV69" s="32">
        <f t="shared" si="108"/>
        <v>2.5915309276453989E-2</v>
      </c>
      <c r="HW69" s="32" t="e">
        <f t="shared" si="109"/>
        <v>#N/A</v>
      </c>
      <c r="HX69" s="45" t="str">
        <f t="shared" si="110"/>
        <v/>
      </c>
    </row>
    <row r="70" spans="1:232" x14ac:dyDescent="0.2">
      <c r="BZ70" s="32">
        <f t="shared" si="36"/>
        <v>60</v>
      </c>
      <c r="CA70" s="32">
        <f>Eu_tabel_g[[#This Row],[Indeks]]+1</f>
        <v>61</v>
      </c>
      <c r="CB70" s="32">
        <f t="shared" si="37"/>
        <v>-1.6529149544618535</v>
      </c>
      <c r="CC70" s="32">
        <f t="shared" si="38"/>
        <v>0.10177381209387595</v>
      </c>
      <c r="CD70" s="32" t="e">
        <f t="shared" si="39"/>
        <v>#N/A</v>
      </c>
      <c r="CE70" s="32" t="e">
        <f t="shared" si="40"/>
        <v>#N/A</v>
      </c>
      <c r="CF70" s="32" t="e">
        <f t="shared" si="41"/>
        <v>#N/A</v>
      </c>
      <c r="CG70" s="32" t="b">
        <f t="shared" si="42"/>
        <v>0</v>
      </c>
      <c r="CH70" s="32" t="b">
        <f t="shared" si="43"/>
        <v>1</v>
      </c>
      <c r="CI70" s="32" t="b">
        <f t="shared" si="44"/>
        <v>0</v>
      </c>
      <c r="CJ70" s="32" t="b">
        <f t="shared" si="45"/>
        <v>1</v>
      </c>
      <c r="CK70" s="32">
        <f t="shared" si="119"/>
        <v>0.10177381209387595</v>
      </c>
      <c r="CL70" s="32" t="e">
        <f t="shared" si="47"/>
        <v>#N/A</v>
      </c>
      <c r="CM70" s="32">
        <f t="shared" si="48"/>
        <v>0.10177381209387595</v>
      </c>
      <c r="CN70" s="45" t="str">
        <f t="shared" si="49"/>
        <v/>
      </c>
      <c r="CO70" s="32">
        <f>_xlfn.NORM.DIST(_xlfn.NORM.INV(1-Eu_g_konfidensniveau,0,1)-Eu_tabel_g[[#This Row],[x base]],0,1,TRUE)</f>
        <v>0.50321596954838599</v>
      </c>
      <c r="CP70" s="32">
        <f>1-_xlfn.NORM.DIST(_xlfn.NORM.INV(Eu_g_konfidensniveau,0,1)-Eu_tabel_g[[#This Row],[x base]],0,1,TRUE)</f>
        <v>4.8728209848247772E-4</v>
      </c>
      <c r="CQ70" s="32">
        <f>_xlfn.NORM.DIST(_xlfn.NORM.INV((1-Eu_g_konfidensniveau)/2,0,1)-Eu_tabel_g[[#This Row],[x base]],0,1,TRUE)+1-_xlfn.NORM.DIST(_xlfn.NORM.INV(1-(1-Eu_g_konfidensniveau)/2,0,1)-Eu_tabel_g[[#This Row],[x base]],0,1,TRUE)</f>
        <v>0.37955443451297199</v>
      </c>
      <c r="CR70" s="32" t="e" cm="1">
        <f t="array" ref="CR70">IF($CR$3,INDEX(Eu_tabel_g[[#This Row],[Styrke venstre]:[Styrke tosidet]],CR$7),NA())</f>
        <v>#N/A</v>
      </c>
      <c r="CS70" s="52" t="e">
        <f>Eu_tabel_g[[#This Row],[Falsk positiv
Nulhypotese accepteres
Fejltype 1]]</f>
        <v>#N/A</v>
      </c>
      <c r="CT70" s="52" t="e">
        <f>IF(CHOOSE(CR$7,Eu_tabel_g[[#This Row],[x base]]&gt;0,Eu_tabel_g[[#This Row],[x base]]&lt;0,Eu_tabel_g[[#This Row],[x base]]=0),Eu_tabel_g[[#This Row],[Styrke, aktiv]],NA())</f>
        <v>#N/A</v>
      </c>
      <c r="CU70" s="52" t="e">
        <f>IFERROR(IF($CR$3,Eu_tabel_g[[#This Row],[Styrke, aktiv]],NA()),NA())</f>
        <v>#N/A</v>
      </c>
      <c r="CV70" s="52" t="e">
        <f>IF(ISNA(Eu_tabel_g[[#This Row],[Sand negativ
Nulhypotese afvises
Korrekt]]),NA(),IF($CR$3,1,NA()))</f>
        <v>#N/A</v>
      </c>
      <c r="CW70" s="34" t="str" cm="1">
        <f t="array" ref="CW70">_xlfn.SWITCH(BZ70,_xlfn.IFNA(CU$2,-99),CU$5,_xlfn.IFNA(CU$3,-99),CU$6,_xlfn.IFNA(CU$4,-99),CU$7,"")</f>
        <v/>
      </c>
      <c r="DA70" s="7">
        <f t="shared" si="50"/>
        <v>0.8</v>
      </c>
      <c r="DB70">
        <f>IF(ROW(Styrkeberegning_G[[#This Row],[X base venstre]])=ROW(Styrkeberegning_G[[#Headers],[X base venstre]])+1,DB$7/(DA$7/$B$67),DB69/(DA69/$B$67))</f>
        <v>-2.8015817870135784</v>
      </c>
      <c r="DC70">
        <f>Styrkeberegning_G[[#This Row],[X base venstre]]*-1</f>
        <v>2.8015817870135784</v>
      </c>
      <c r="DN70" s="32">
        <f t="shared" si="51"/>
        <v>60</v>
      </c>
      <c r="DO70" s="32">
        <f t="shared" si="52"/>
        <v>61</v>
      </c>
      <c r="DP70" s="32">
        <f t="shared" si="53"/>
        <v>8.6781040496737507</v>
      </c>
      <c r="DQ70" s="32" t="e">
        <f t="shared" si="54"/>
        <v>#N/A</v>
      </c>
      <c r="DR70" s="32" t="e">
        <f t="shared" si="55"/>
        <v>#N/A</v>
      </c>
      <c r="DS70" s="32">
        <f t="shared" si="56"/>
        <v>9.2037273482789353E-2</v>
      </c>
      <c r="DT70" s="32" t="e">
        <f t="shared" si="57"/>
        <v>#N/A</v>
      </c>
      <c r="DU70" s="32" t="b">
        <f t="shared" si="58"/>
        <v>0</v>
      </c>
      <c r="DV70" s="32" t="b">
        <f t="shared" si="59"/>
        <v>1</v>
      </c>
      <c r="DW70" s="32" t="b">
        <f t="shared" si="60"/>
        <v>0</v>
      </c>
      <c r="DX70" s="32" t="b">
        <f t="shared" si="61"/>
        <v>1</v>
      </c>
      <c r="DY70" s="32">
        <f t="shared" si="62"/>
        <v>9.2037273482789353E-2</v>
      </c>
      <c r="DZ70" s="32" t="e">
        <f t="shared" si="63"/>
        <v>#N/A</v>
      </c>
      <c r="EA70" s="32">
        <f t="shared" si="64"/>
        <v>9.2037273482789353E-2</v>
      </c>
      <c r="EB70" s="45" t="str">
        <f t="shared" si="65"/>
        <v/>
      </c>
      <c r="EG70" s="32">
        <f t="shared" si="66"/>
        <v>60</v>
      </c>
      <c r="EH70" s="32">
        <f t="shared" si="67"/>
        <v>61</v>
      </c>
      <c r="EI70" s="32">
        <f t="shared" si="68"/>
        <v>-1.6529149544618535</v>
      </c>
      <c r="EJ70" s="32">
        <f t="shared" si="69"/>
        <v>0.10177381209387595</v>
      </c>
      <c r="EK70" s="32" t="e">
        <f t="shared" si="70"/>
        <v>#N/A</v>
      </c>
      <c r="EL70" s="32" t="e">
        <f t="shared" si="71"/>
        <v>#N/A</v>
      </c>
      <c r="EM70" s="32" t="e">
        <f t="shared" si="72"/>
        <v>#N/A</v>
      </c>
      <c r="EN70" s="32" t="b">
        <f t="shared" si="73"/>
        <v>0</v>
      </c>
      <c r="EO70" s="32" t="b">
        <f t="shared" si="74"/>
        <v>1</v>
      </c>
      <c r="EP70" s="32" t="b">
        <f t="shared" si="75"/>
        <v>0</v>
      </c>
      <c r="EQ70" s="32" t="b">
        <f t="shared" si="76"/>
        <v>1</v>
      </c>
      <c r="ER70" s="32">
        <f t="shared" si="77"/>
        <v>0.10177381209387595</v>
      </c>
      <c r="ES70" s="32" t="e">
        <f t="shared" si="78"/>
        <v>#N/A</v>
      </c>
      <c r="ET70" s="32">
        <f t="shared" si="79"/>
        <v>0.10177381209387595</v>
      </c>
      <c r="EU70" s="45" t="str">
        <f t="shared" si="80"/>
        <v/>
      </c>
      <c r="EV7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0" s="32" t="e" cm="1">
        <f t="array" ref="EY70">IF($CR$3,INDEX(Eu_tabel_a[[#This Row],[Styrke venstre]:[Styrke tosidet]],EY$7),NA())</f>
        <v>#N/A</v>
      </c>
      <c r="EZ70" s="32" t="e">
        <f>IF(EY$3,IF(CHOOSE(EY$7,Eu_tabel_a[[#This Row],[x base]]&gt;0,Eu_tabel_a[[#This Row],[x base]]&lt;0,Eu_tabel_a[[#This Row],[x base]]=0),1,NA()),NA())</f>
        <v>#N/A</v>
      </c>
      <c r="FA70" s="32" t="e">
        <f>IF(CHOOSE(EY$7,Eu_tabel_a[[#This Row],[x base]]&gt;0,Eu_tabel_a[[#This Row],[x base]]&lt;0,Eu_tabel_a[[#This Row],[x base]]=0),Eu_tabel_a[[#This Row],[Styrke, aktiv]],NA())</f>
        <v>#N/A</v>
      </c>
      <c r="FB70" s="32" t="e">
        <f>IFERROR(IF($EY$3,Eu_tabel_a[[#This Row],[Styrke, aktiv]],NA()),NA())</f>
        <v>#N/A</v>
      </c>
      <c r="FC70" s="32" t="e">
        <f>IF(ISNA(Eu_tabel_a[[#This Row],[Sand negativ
Nulhypotese afvises
Korrekt]]),NA(),IF(EY$3,1,NA()))</f>
        <v>#N/A</v>
      </c>
      <c r="FD70" s="33" t="str" cm="1">
        <f t="array" ref="FD70">IFERROR(_xlfn.SWITCH(Eu_tabel_a[[#This Row],[Indeks]],_xlfn.IFNA(FB$2,-99),FB$5,_xlfn.IFNA(FB$3,-99),FB$6,_xlfn.IFNA(FB$4,-99),FB$7,""),"")</f>
        <v/>
      </c>
      <c r="FE70" s="32">
        <f>Eu_tabel_a[[#This Row],[x base]]*SQRT(Eu_a_h0_x*(1-Eu_a_h0_x)/Eu_a_n_x)+Eu_a_h0_x</f>
        <v>0</v>
      </c>
      <c r="FJ70" s="74" t="e">
        <f t="shared" si="18"/>
        <v>#N/A</v>
      </c>
      <c r="FK70" s="82" t="e">
        <f t="shared" si="113"/>
        <v>#DIV/0!</v>
      </c>
      <c r="FL70" s="7" t="e">
        <f t="shared" ref="FL70:FL133" si="124">_xlfn.NORM.DIST(-(SQRT(Eu_a_n_x)*(FK70-Eu_a_h0_x)/SQRT(FK70*(1-FK70)))-(_xlfn.NORM.INV(Eu_a_konfidensniveau,0,1)*SQRT((Eu_a_h0_x*(1-Eu_a_h0_x))/(FK70*(1-FK70)))),0,1,TRUE)</f>
        <v>#DIV/0!</v>
      </c>
      <c r="FM70" t="e">
        <f t="shared" si="114"/>
        <v>#DIV/0!</v>
      </c>
      <c r="FN70" s="8" t="e">
        <f t="shared" si="115"/>
        <v>#DIV/0!</v>
      </c>
      <c r="FO70" s="8" t="e">
        <f t="shared" si="116"/>
        <v>#DIV/0!</v>
      </c>
      <c r="FP70" s="81" t="e">
        <f t="shared" si="117"/>
        <v>#DIV/0!</v>
      </c>
      <c r="FQ70" s="74" t="e">
        <f t="shared" ref="FQ70:FQ133" ca="1" si="125">IF(ISERROR(FR70),NA(),ROW(FQ70)-ROW(FQ$5))</f>
        <v>#N/A</v>
      </c>
      <c r="FR70" s="82" t="e" vm="3">
        <f t="shared" ca="1" si="19"/>
        <v>#VALUE!</v>
      </c>
      <c r="FS70" s="7" t="e" vm="3">
        <f t="shared" ref="FS70:FS133" ca="1" si="126">_xlfn.NORM.DIST((SQRT(Eu_a_n_x)*(FR70-Eu_a_h0_x)/SQRT(FR70*(1-FR70)))-(_xlfn.NORM.INV(Eu_a_konfidensniveau,0,1)*SQRT((Eu_a_h0_x*(1-Eu_a_h0_x))/(FR70*(1-FR70)))),0,1,TRUE)</f>
        <v>#VALUE!</v>
      </c>
      <c r="FT70" t="e" vm="3">
        <f t="shared" ca="1" si="120"/>
        <v>#VALUE!</v>
      </c>
      <c r="FU70" s="8" t="e" vm="3">
        <f t="shared" ca="1" si="121"/>
        <v>#VALUE!</v>
      </c>
      <c r="FV70" s="8" t="e" vm="3">
        <f t="shared" ca="1" si="122"/>
        <v>#VALUE!</v>
      </c>
      <c r="FW70" s="81" t="e" vm="3">
        <f t="shared" ca="1" si="123"/>
        <v>#VALUE!</v>
      </c>
      <c r="FX70" s="74" t="e">
        <f t="shared" ref="FX70:FX133" si="127">IF(ISERROR(FY70),NA(),ROW(FX70)-ROW(FX$5))</f>
        <v>#N/A</v>
      </c>
      <c r="FY70" s="82" t="e">
        <f t="shared" si="20"/>
        <v>#N/A</v>
      </c>
      <c r="FZ70" s="7" t="e">
        <f t="shared" ref="FZ70:FZ133" si="128">_xlfn.NORM.DIST(-(SQRT(Eu_a_n_x)*(FY70-Eu_a_h0_x)/SQRT(FY70*(1-FY70)))-(_xlfn.NORM.INV(1-(1-Eu_a_konfidensniveau)/2,0,1)*SQRT((Eu_a_h0_x*(1-Eu_a_h0_x))/(FY70*(1-FY70)))),0,1,TRUE)+_xlfn.NORM.DIST((SQRT(Eu_a_n_x)*(FY70-Eu_a_h0_x)/SQRT(FY70*(1-FY70)))-(_xlfn.NORM.INV(1-(1-Eu_a_konfidensniveau)/2,0,1)*SQRT((Eu_a_h0_x*(1-Eu_a_h0_x))/(FY70*(1-FY70)))),0,1,TRUE)</f>
        <v>#N/A</v>
      </c>
      <c r="GA70" t="e">
        <f t="shared" si="21"/>
        <v>#N/A</v>
      </c>
      <c r="GB70" s="8" t="e">
        <f t="shared" si="22"/>
        <v>#N/A</v>
      </c>
      <c r="GC70" s="8" t="e">
        <f t="shared" si="23"/>
        <v>#N/A</v>
      </c>
      <c r="GD70" s="81" t="e">
        <f t="shared" si="24"/>
        <v>#N/A</v>
      </c>
      <c r="GE70" s="74" t="e">
        <f t="shared" si="25"/>
        <v>#N/A</v>
      </c>
      <c r="GF70" s="82" t="e">
        <f t="shared" si="26"/>
        <v>#N/A</v>
      </c>
      <c r="GG70" s="7" t="e">
        <f t="shared" ref="GG70:GG133" si="129">_xlfn.NORM.DIST(-(SQRT(Eu_a_n_x)*(GF70-Eu_a_h0_x)/SQRT(GF70*(1-GF70)))-(_xlfn.NORM.INV(1-(1-Eu_a_konfidensniveau)/2,0,1)*SQRT((Eu_a_h0_x*(1-Eu_a_h0_x))/(GF70*(1-GF70)))),0,1,TRUE)+_xlfn.NORM.DIST((SQRT(Eu_a_n_x)*(GF70-Eu_a_h0_x)/SQRT(GF70*(1-GF70)))-(_xlfn.NORM.INV(1-(1-Eu_a_konfidensniveau)/2,0,1)*SQRT((Eu_a_h0_x*(1-Eu_a_h0_x))/(GF70*(1-GF70)))),0,1,TRUE)</f>
        <v>#N/A</v>
      </c>
      <c r="GH70" t="e">
        <f t="shared" si="27"/>
        <v>#N/A</v>
      </c>
      <c r="GI70" s="8" t="e">
        <f t="shared" si="28"/>
        <v>#N/A</v>
      </c>
      <c r="GJ70" s="8" t="e">
        <f t="shared" si="29"/>
        <v>#N/A</v>
      </c>
      <c r="GK70" s="81" t="e">
        <f t="shared" si="30"/>
        <v>#N/A</v>
      </c>
      <c r="GL70" s="81"/>
      <c r="GM70" s="81"/>
      <c r="GP70" s="32">
        <f t="shared" si="81"/>
        <v>60</v>
      </c>
      <c r="GQ70" s="32">
        <f t="shared" si="82"/>
        <v>61</v>
      </c>
      <c r="GR70" s="32">
        <f t="shared" si="83"/>
        <v>-1.6529149544618535</v>
      </c>
      <c r="GS70" s="32">
        <f t="shared" si="84"/>
        <v>0.10177381209387595</v>
      </c>
      <c r="GT70" s="32" t="e">
        <f t="shared" si="85"/>
        <v>#N/A</v>
      </c>
      <c r="GU70" s="32" t="e">
        <f t="shared" si="86"/>
        <v>#N/A</v>
      </c>
      <c r="GV70" s="32" t="e">
        <f t="shared" si="87"/>
        <v>#N/A</v>
      </c>
      <c r="GW70" s="32" t="b">
        <f t="shared" si="88"/>
        <v>0</v>
      </c>
      <c r="GX70" s="32" t="b">
        <f t="shared" si="89"/>
        <v>1</v>
      </c>
      <c r="GY70" s="32" t="b">
        <f t="shared" si="90"/>
        <v>0</v>
      </c>
      <c r="GZ70" s="32" t="b">
        <f t="shared" si="91"/>
        <v>1</v>
      </c>
      <c r="HA70" s="32">
        <f t="shared" si="92"/>
        <v>0.10177381209387595</v>
      </c>
      <c r="HB70" s="32" t="e">
        <f t="shared" si="93"/>
        <v>#N/A</v>
      </c>
      <c r="HC70" s="32">
        <f t="shared" si="94"/>
        <v>0.10177381209387595</v>
      </c>
      <c r="HD70" s="45" t="str">
        <f t="shared" si="95"/>
        <v/>
      </c>
      <c r="HJ70" s="32">
        <f t="shared" si="96"/>
        <v>60</v>
      </c>
      <c r="HK70" s="32">
        <f t="shared" si="97"/>
        <v>61</v>
      </c>
      <c r="HL70" s="32">
        <f t="shared" si="98"/>
        <v>-2.5595735222949223</v>
      </c>
      <c r="HM70" s="32" t="e">
        <f t="shared" si="99"/>
        <v>#N/A</v>
      </c>
      <c r="HN70" s="32">
        <f t="shared" si="100"/>
        <v>2.7409711035389889E-2</v>
      </c>
      <c r="HO70" s="32" t="e">
        <f t="shared" si="101"/>
        <v>#N/A</v>
      </c>
      <c r="HP70" s="32" t="e">
        <f t="shared" si="102"/>
        <v>#N/A</v>
      </c>
      <c r="HQ70" s="32" t="b">
        <f t="shared" si="103"/>
        <v>1</v>
      </c>
      <c r="HR70" s="32" t="b">
        <f t="shared" si="104"/>
        <v>0</v>
      </c>
      <c r="HS70" s="32" t="b">
        <f t="shared" si="105"/>
        <v>1</v>
      </c>
      <c r="HT70" s="32" t="b">
        <f t="shared" si="106"/>
        <v>0</v>
      </c>
      <c r="HU70" s="32">
        <f t="shared" si="107"/>
        <v>2.7409711035389889E-2</v>
      </c>
      <c r="HV70" s="32">
        <f t="shared" si="108"/>
        <v>2.7409711035389889E-2</v>
      </c>
      <c r="HW70" s="32" t="e">
        <f t="shared" si="109"/>
        <v>#N/A</v>
      </c>
      <c r="HX70" s="45" t="str">
        <f t="shared" si="110"/>
        <v/>
      </c>
    </row>
    <row r="71" spans="1:232" x14ac:dyDescent="0.2">
      <c r="BZ71" s="32">
        <f t="shared" si="36"/>
        <v>61</v>
      </c>
      <c r="CA71" s="32">
        <f>Eu_tabel_g[[#This Row],[Indeks]]+1</f>
        <v>62</v>
      </c>
      <c r="CB71" s="32">
        <f t="shared" si="37"/>
        <v>-1.6289596652667542</v>
      </c>
      <c r="CC71" s="32">
        <f t="shared" si="38"/>
        <v>0.10585412321974697</v>
      </c>
      <c r="CD71" s="32" t="e">
        <f t="shared" si="39"/>
        <v>#N/A</v>
      </c>
      <c r="CE71" s="32" t="e">
        <f t="shared" si="40"/>
        <v>#N/A</v>
      </c>
      <c r="CF71" s="32" t="e">
        <f t="shared" si="41"/>
        <v>#N/A</v>
      </c>
      <c r="CG71" s="32" t="b">
        <f t="shared" si="42"/>
        <v>0</v>
      </c>
      <c r="CH71" s="32" t="b">
        <f t="shared" si="43"/>
        <v>1</v>
      </c>
      <c r="CI71" s="32" t="b">
        <f t="shared" si="44"/>
        <v>0</v>
      </c>
      <c r="CJ71" s="32" t="b">
        <f t="shared" si="45"/>
        <v>1</v>
      </c>
      <c r="CK71" s="32">
        <f t="shared" si="119"/>
        <v>0.10585412321974697</v>
      </c>
      <c r="CL71" s="32" t="e">
        <f t="shared" si="47"/>
        <v>#N/A</v>
      </c>
      <c r="CM71" s="32">
        <f t="shared" si="48"/>
        <v>0.10585412321974697</v>
      </c>
      <c r="CN71" s="45" t="str">
        <f t="shared" si="49"/>
        <v/>
      </c>
      <c r="CO71" s="32">
        <f>_xlfn.NORM.DIST(_xlfn.NORM.INV(1-Eu_g_konfidensniveau,0,1)-Eu_tabel_g[[#This Row],[x base]],0,1,TRUE)</f>
        <v>0.49365949363636824</v>
      </c>
      <c r="CP71" s="32">
        <f>1-_xlfn.NORM.DIST(_xlfn.NORM.INV(Eu_g_konfidensniveau,0,1)-Eu_tabel_g[[#This Row],[x base]],0,1,TRUE)</f>
        <v>5.3053347540099605E-4</v>
      </c>
      <c r="CQ71" s="32">
        <f>_xlfn.NORM.DIST(_xlfn.NORM.INV((1-Eu_g_konfidensniveau)/2,0,1)-Eu_tabel_g[[#This Row],[x base]],0,1,TRUE)+1-_xlfn.NORM.DIST(_xlfn.NORM.INV(1-(1-Eu_g_konfidensniveau)/2,0,1)-Eu_tabel_g[[#This Row],[x base]],0,1,TRUE)</f>
        <v>0.37048663452232122</v>
      </c>
      <c r="CR71" s="32" t="e" cm="1">
        <f t="array" ref="CR71">IF($CR$3,INDEX(Eu_tabel_g[[#This Row],[Styrke venstre]:[Styrke tosidet]],CR$7),NA())</f>
        <v>#N/A</v>
      </c>
      <c r="CS71" s="52" t="e">
        <f>Eu_tabel_g[[#This Row],[Falsk positiv
Nulhypotese accepteres
Fejltype 1]]</f>
        <v>#N/A</v>
      </c>
      <c r="CT71" s="52" t="e">
        <f>IF(CHOOSE(CR$7,Eu_tabel_g[[#This Row],[x base]]&gt;0,Eu_tabel_g[[#This Row],[x base]]&lt;0,Eu_tabel_g[[#This Row],[x base]]=0),Eu_tabel_g[[#This Row],[Styrke, aktiv]],NA())</f>
        <v>#N/A</v>
      </c>
      <c r="CU71" s="52" t="e">
        <f>IFERROR(IF($CR$3,Eu_tabel_g[[#This Row],[Styrke, aktiv]],NA()),NA())</f>
        <v>#N/A</v>
      </c>
      <c r="CV71" s="52" t="e">
        <f>IF(ISNA(Eu_tabel_g[[#This Row],[Sand negativ
Nulhypotese afvises
Korrekt]]),NA(),IF($CR$3,1,NA()))</f>
        <v>#N/A</v>
      </c>
      <c r="CW71" s="34" t="str" cm="1">
        <f t="array" ref="CW71">_xlfn.SWITCH(BZ71,_xlfn.IFNA(CU$2,-99),CU$5,_xlfn.IFNA(CU$3,-99),CU$6,_xlfn.IFNA(CU$4,-99),CU$7,"")</f>
        <v/>
      </c>
      <c r="DA71" s="7">
        <f t="shared" si="50"/>
        <v>0.8</v>
      </c>
      <c r="DB71">
        <f>IF(ROW(Styrkeberegning_G[[#This Row],[X base venstre]])=ROW(Styrkeberegning_G[[#Headers],[X base venstre]])+1,DB$7/(DA$7/$B$67),DB70/(DA70/$B$67))</f>
        <v>-2.8015817870135784</v>
      </c>
      <c r="DC71">
        <f>Styrkeberegning_G[[#This Row],[X base venstre]]*-1</f>
        <v>2.8015817870135784</v>
      </c>
      <c r="DN71" s="32">
        <f t="shared" si="51"/>
        <v>61</v>
      </c>
      <c r="DO71" s="32">
        <f t="shared" si="52"/>
        <v>62</v>
      </c>
      <c r="DP71" s="32">
        <f t="shared" si="53"/>
        <v>8.7921749060907519</v>
      </c>
      <c r="DQ71" s="32" t="e">
        <f t="shared" si="54"/>
        <v>#N/A</v>
      </c>
      <c r="DR71" s="32" t="e">
        <f t="shared" si="55"/>
        <v>#N/A</v>
      </c>
      <c r="DS71" s="32">
        <f t="shared" si="56"/>
        <v>9.2196656219217965E-2</v>
      </c>
      <c r="DT71" s="32" t="e">
        <f t="shared" si="57"/>
        <v>#N/A</v>
      </c>
      <c r="DU71" s="32" t="b">
        <f t="shared" si="58"/>
        <v>0</v>
      </c>
      <c r="DV71" s="32" t="b">
        <f t="shared" si="59"/>
        <v>1</v>
      </c>
      <c r="DW71" s="32" t="b">
        <f t="shared" si="60"/>
        <v>0</v>
      </c>
      <c r="DX71" s="32" t="b">
        <f t="shared" si="61"/>
        <v>1</v>
      </c>
      <c r="DY71" s="32">
        <f t="shared" si="62"/>
        <v>9.2196656219217965E-2</v>
      </c>
      <c r="DZ71" s="32" t="e">
        <f t="shared" si="63"/>
        <v>#N/A</v>
      </c>
      <c r="EA71" s="32">
        <f t="shared" si="64"/>
        <v>9.2196656219217965E-2</v>
      </c>
      <c r="EB71" s="45" t="str">
        <f t="shared" si="65"/>
        <v/>
      </c>
      <c r="EG71" s="32">
        <f t="shared" si="66"/>
        <v>61</v>
      </c>
      <c r="EH71" s="32">
        <f t="shared" si="67"/>
        <v>62</v>
      </c>
      <c r="EI71" s="32">
        <f t="shared" si="68"/>
        <v>-1.6289596652667542</v>
      </c>
      <c r="EJ71" s="32">
        <f t="shared" si="69"/>
        <v>0.10585412321974697</v>
      </c>
      <c r="EK71" s="32" t="e">
        <f t="shared" si="70"/>
        <v>#N/A</v>
      </c>
      <c r="EL71" s="32" t="e">
        <f t="shared" si="71"/>
        <v>#N/A</v>
      </c>
      <c r="EM71" s="32" t="e">
        <f t="shared" si="72"/>
        <v>#N/A</v>
      </c>
      <c r="EN71" s="32" t="b">
        <f t="shared" si="73"/>
        <v>0</v>
      </c>
      <c r="EO71" s="32" t="b">
        <f t="shared" si="74"/>
        <v>1</v>
      </c>
      <c r="EP71" s="32" t="b">
        <f t="shared" si="75"/>
        <v>0</v>
      </c>
      <c r="EQ71" s="32" t="b">
        <f t="shared" si="76"/>
        <v>1</v>
      </c>
      <c r="ER71" s="32">
        <f t="shared" si="77"/>
        <v>0.10585412321974697</v>
      </c>
      <c r="ES71" s="32" t="e">
        <f t="shared" si="78"/>
        <v>#N/A</v>
      </c>
      <c r="ET71" s="32">
        <f t="shared" si="79"/>
        <v>0.10585412321974697</v>
      </c>
      <c r="EU71" s="45" t="str">
        <f t="shared" si="80"/>
        <v/>
      </c>
      <c r="EV7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1" s="32" t="e" cm="1">
        <f t="array" ref="EY71">IF($CR$3,INDEX(Eu_tabel_a[[#This Row],[Styrke venstre]:[Styrke tosidet]],EY$7),NA())</f>
        <v>#N/A</v>
      </c>
      <c r="EZ71" s="32" t="e">
        <f>IF(EY$3,IF(CHOOSE(EY$7,Eu_tabel_a[[#This Row],[x base]]&gt;0,Eu_tabel_a[[#This Row],[x base]]&lt;0,Eu_tabel_a[[#This Row],[x base]]=0),1,NA()),NA())</f>
        <v>#N/A</v>
      </c>
      <c r="FA71" s="32" t="e">
        <f>IF(CHOOSE(EY$7,Eu_tabel_a[[#This Row],[x base]]&gt;0,Eu_tabel_a[[#This Row],[x base]]&lt;0,Eu_tabel_a[[#This Row],[x base]]=0),Eu_tabel_a[[#This Row],[Styrke, aktiv]],NA())</f>
        <v>#N/A</v>
      </c>
      <c r="FB71" s="32" t="e">
        <f>IFERROR(IF($EY$3,Eu_tabel_a[[#This Row],[Styrke, aktiv]],NA()),NA())</f>
        <v>#N/A</v>
      </c>
      <c r="FC71" s="32" t="e">
        <f>IF(ISNA(Eu_tabel_a[[#This Row],[Sand negativ
Nulhypotese afvises
Korrekt]]),NA(),IF(EY$3,1,NA()))</f>
        <v>#N/A</v>
      </c>
      <c r="FD71" s="33" t="str" cm="1">
        <f t="array" ref="FD71">IFERROR(_xlfn.SWITCH(Eu_tabel_a[[#This Row],[Indeks]],_xlfn.IFNA(FB$2,-99),FB$5,_xlfn.IFNA(FB$3,-99),FB$6,_xlfn.IFNA(FB$4,-99),FB$7,""),"")</f>
        <v/>
      </c>
      <c r="FE71" s="32">
        <f>Eu_tabel_a[[#This Row],[x base]]*SQRT(Eu_a_h0_x*(1-Eu_a_h0_x)/Eu_a_n_x)+Eu_a_h0_x</f>
        <v>0</v>
      </c>
      <c r="FJ71" s="74" t="e">
        <f t="shared" ref="FJ71:FJ134" si="130">IF(ISERROR(FK71),NA(),ROW(FJ71)-ROW(FJ$5))</f>
        <v>#N/A</v>
      </c>
      <c r="FK71" s="82" t="e">
        <f t="shared" si="113"/>
        <v>#DIV/0!</v>
      </c>
      <c r="FL71" s="7" t="e">
        <f t="shared" si="124"/>
        <v>#DIV/0!</v>
      </c>
      <c r="FM71" t="e">
        <f t="shared" si="114"/>
        <v>#DIV/0!</v>
      </c>
      <c r="FN71" s="8" t="e">
        <f t="shared" si="115"/>
        <v>#DIV/0!</v>
      </c>
      <c r="FO71" s="8" t="e">
        <f t="shared" si="116"/>
        <v>#DIV/0!</v>
      </c>
      <c r="FP71" s="81" t="e">
        <f t="shared" si="117"/>
        <v>#DIV/0!</v>
      </c>
      <c r="FQ71" s="74" t="e">
        <f t="shared" ca="1" si="125"/>
        <v>#N/A</v>
      </c>
      <c r="FR71" s="82" t="e" vm="3">
        <f t="shared" ref="FR71:FR134" ca="1" si="131">FR69+FW70</f>
        <v>#VALUE!</v>
      </c>
      <c r="FS71" s="7" t="e" vm="3">
        <f t="shared" ca="1" si="126"/>
        <v>#VALUE!</v>
      </c>
      <c r="FT71" t="e" vm="3">
        <f t="shared" ca="1" si="120"/>
        <v>#VALUE!</v>
      </c>
      <c r="FU71" s="8" t="e" vm="3">
        <f t="shared" ca="1" si="121"/>
        <v>#VALUE!</v>
      </c>
      <c r="FV71" s="8" t="e" vm="3">
        <f t="shared" ca="1" si="122"/>
        <v>#VALUE!</v>
      </c>
      <c r="FW71" s="81" t="e" vm="3">
        <f t="shared" ca="1" si="123"/>
        <v>#VALUE!</v>
      </c>
      <c r="FX71" s="74" t="e">
        <f t="shared" si="127"/>
        <v>#N/A</v>
      </c>
      <c r="FY71" s="82" t="e">
        <f t="shared" ref="FY71:FY134" si="132">FY69+GD70</f>
        <v>#N/A</v>
      </c>
      <c r="FZ71" s="7" t="e">
        <f t="shared" si="128"/>
        <v>#N/A</v>
      </c>
      <c r="GA71" t="e">
        <f t="shared" ref="GA71:GA134" si="133">FY71-FY70</f>
        <v>#N/A</v>
      </c>
      <c r="GB71" s="8" t="e">
        <f t="shared" ref="GB71:GB134" si="134">FZ71-FZ70</f>
        <v>#N/A</v>
      </c>
      <c r="GC71" s="8" t="e">
        <f t="shared" ref="GC71:GC134" si="135">$P$67-FZ70</f>
        <v>#N/A</v>
      </c>
      <c r="GD71" s="81" t="e">
        <f t="shared" ref="GD71:GD134" si="136">GA71/(GB71/GC71)</f>
        <v>#N/A</v>
      </c>
      <c r="GE71" s="74" t="e">
        <f t="shared" ref="GE71:GE134" si="137">IF(ISERROR(GF71),NA(),ROW(GE71)-ROW(GE$5))</f>
        <v>#N/A</v>
      </c>
      <c r="GF71" s="82" t="e">
        <f t="shared" ref="GF71:GF134" si="138">GF69+GK70</f>
        <v>#N/A</v>
      </c>
      <c r="GG71" s="7" t="e">
        <f t="shared" si="129"/>
        <v>#N/A</v>
      </c>
      <c r="GH71" t="e">
        <f t="shared" ref="GH71:GH134" si="139">GF71-GF70</f>
        <v>#N/A</v>
      </c>
      <c r="GI71" s="8" t="e">
        <f t="shared" ref="GI71:GI134" si="140">GG71-GG70</f>
        <v>#N/A</v>
      </c>
      <c r="GJ71" s="8" t="e">
        <f t="shared" ref="GJ71:GJ134" si="141">$P$67-GG70</f>
        <v>#N/A</v>
      </c>
      <c r="GK71" s="81" t="e">
        <f t="shared" ref="GK71:GK134" si="142">GH71/(GI71/GJ71)</f>
        <v>#N/A</v>
      </c>
      <c r="GL71" s="81"/>
      <c r="GM71" s="81"/>
      <c r="GP71" s="32">
        <f t="shared" si="81"/>
        <v>61</v>
      </c>
      <c r="GQ71" s="32">
        <f t="shared" si="82"/>
        <v>62</v>
      </c>
      <c r="GR71" s="32">
        <f t="shared" si="83"/>
        <v>-1.6289596652667542</v>
      </c>
      <c r="GS71" s="32">
        <f t="shared" si="84"/>
        <v>0.10585412321974697</v>
      </c>
      <c r="GT71" s="32" t="e">
        <f t="shared" si="85"/>
        <v>#N/A</v>
      </c>
      <c r="GU71" s="32" t="e">
        <f t="shared" si="86"/>
        <v>#N/A</v>
      </c>
      <c r="GV71" s="32" t="e">
        <f t="shared" si="87"/>
        <v>#N/A</v>
      </c>
      <c r="GW71" s="32" t="b">
        <f t="shared" si="88"/>
        <v>0</v>
      </c>
      <c r="GX71" s="32" t="b">
        <f t="shared" si="89"/>
        <v>1</v>
      </c>
      <c r="GY71" s="32" t="b">
        <f t="shared" si="90"/>
        <v>0</v>
      </c>
      <c r="GZ71" s="32" t="b">
        <f t="shared" si="91"/>
        <v>1</v>
      </c>
      <c r="HA71" s="32">
        <f t="shared" si="92"/>
        <v>0.10585412321974697</v>
      </c>
      <c r="HB71" s="32" t="e">
        <f t="shared" si="93"/>
        <v>#N/A</v>
      </c>
      <c r="HC71" s="32">
        <f t="shared" si="94"/>
        <v>0.10585412321974697</v>
      </c>
      <c r="HD71" s="45" t="str">
        <f t="shared" si="95"/>
        <v/>
      </c>
      <c r="HJ71" s="32">
        <f t="shared" si="96"/>
        <v>61</v>
      </c>
      <c r="HK71" s="32">
        <f t="shared" si="97"/>
        <v>62</v>
      </c>
      <c r="HL71" s="32">
        <f t="shared" si="98"/>
        <v>-2.5224782538558652</v>
      </c>
      <c r="HM71" s="32" t="e">
        <f t="shared" si="99"/>
        <v>#N/A</v>
      </c>
      <c r="HN71" s="32">
        <f t="shared" si="100"/>
        <v>2.8989506460017089E-2</v>
      </c>
      <c r="HO71" s="32" t="e">
        <f t="shared" si="101"/>
        <v>#N/A</v>
      </c>
      <c r="HP71" s="32" t="e">
        <f t="shared" si="102"/>
        <v>#N/A</v>
      </c>
      <c r="HQ71" s="32" t="b">
        <f t="shared" si="103"/>
        <v>1</v>
      </c>
      <c r="HR71" s="32" t="b">
        <f t="shared" si="104"/>
        <v>0</v>
      </c>
      <c r="HS71" s="32" t="b">
        <f t="shared" si="105"/>
        <v>1</v>
      </c>
      <c r="HT71" s="32" t="b">
        <f t="shared" si="106"/>
        <v>0</v>
      </c>
      <c r="HU71" s="32">
        <f t="shared" si="107"/>
        <v>2.8989506460017089E-2</v>
      </c>
      <c r="HV71" s="32">
        <f t="shared" si="108"/>
        <v>2.8989506460017089E-2</v>
      </c>
      <c r="HW71" s="32" t="e">
        <f t="shared" si="109"/>
        <v>#N/A</v>
      </c>
      <c r="HX71" s="45" t="str">
        <f t="shared" si="110"/>
        <v/>
      </c>
    </row>
    <row r="72" spans="1:232" x14ac:dyDescent="0.2">
      <c r="BZ72" s="32">
        <f t="shared" si="36"/>
        <v>62</v>
      </c>
      <c r="CA72" s="32">
        <f>Eu_tabel_g[[#This Row],[Indeks]]+1</f>
        <v>63</v>
      </c>
      <c r="CB72" s="32">
        <f t="shared" si="37"/>
        <v>-1.605004376071655</v>
      </c>
      <c r="CC72" s="32">
        <f t="shared" si="38"/>
        <v>0.11003485972432274</v>
      </c>
      <c r="CD72" s="32" t="e">
        <f t="shared" si="39"/>
        <v>#N/A</v>
      </c>
      <c r="CE72" s="32" t="e">
        <f t="shared" si="40"/>
        <v>#N/A</v>
      </c>
      <c r="CF72" s="32" t="e">
        <f t="shared" si="41"/>
        <v>#N/A</v>
      </c>
      <c r="CG72" s="32" t="b">
        <f t="shared" si="42"/>
        <v>0</v>
      </c>
      <c r="CH72" s="32" t="b">
        <f t="shared" si="43"/>
        <v>1</v>
      </c>
      <c r="CI72" s="32" t="b">
        <f t="shared" si="44"/>
        <v>0</v>
      </c>
      <c r="CJ72" s="32" t="b">
        <f t="shared" si="45"/>
        <v>1</v>
      </c>
      <c r="CK72" s="32">
        <f t="shared" si="119"/>
        <v>0.11003485972432274</v>
      </c>
      <c r="CL72" s="32" t="e">
        <f t="shared" si="47"/>
        <v>#N/A</v>
      </c>
      <c r="CM72" s="32">
        <f t="shared" si="48"/>
        <v>0.11003485972432274</v>
      </c>
      <c r="CN72" s="45" t="str">
        <f t="shared" si="49"/>
        <v/>
      </c>
      <c r="CO72" s="32">
        <f>_xlfn.NORM.DIST(_xlfn.NORM.INV(1-Eu_g_konfidensniveau,0,1)-Eu_tabel_g[[#This Row],[x base]],0,1,TRUE)</f>
        <v>0.48410665543297465</v>
      </c>
      <c r="CP72" s="32">
        <f>1-_xlfn.NORM.DIST(_xlfn.NORM.INV(Eu_g_konfidensniveau,0,1)-Eu_tabel_g[[#This Row],[x base]],0,1,TRUE)</f>
        <v>5.7731322757204051E-4</v>
      </c>
      <c r="CQ72" s="32">
        <f>_xlfn.NORM.DIST(_xlfn.NORM.INV((1-Eu_g_konfidensniveau)/2,0,1)-Eu_tabel_g[[#This Row],[x base]],0,1,TRUE)+1-_xlfn.NORM.DIST(_xlfn.NORM.INV(1-(1-Eu_g_konfidensniveau)/2,0,1)-Eu_tabel_g[[#This Row],[x base]],0,1,TRUE)</f>
        <v>0.36149187560923901</v>
      </c>
      <c r="CR72" s="32" t="e" cm="1">
        <f t="array" ref="CR72">IF($CR$3,INDEX(Eu_tabel_g[[#This Row],[Styrke venstre]:[Styrke tosidet]],CR$7),NA())</f>
        <v>#N/A</v>
      </c>
      <c r="CS72" s="52" t="e">
        <f>Eu_tabel_g[[#This Row],[Falsk positiv
Nulhypotese accepteres
Fejltype 1]]</f>
        <v>#N/A</v>
      </c>
      <c r="CT72" s="52" t="e">
        <f>IF(CHOOSE(CR$7,Eu_tabel_g[[#This Row],[x base]]&gt;0,Eu_tabel_g[[#This Row],[x base]]&lt;0,Eu_tabel_g[[#This Row],[x base]]=0),Eu_tabel_g[[#This Row],[Styrke, aktiv]],NA())</f>
        <v>#N/A</v>
      </c>
      <c r="CU72" s="52" t="e">
        <f>IFERROR(IF($CR$3,Eu_tabel_g[[#This Row],[Styrke, aktiv]],NA()),NA())</f>
        <v>#N/A</v>
      </c>
      <c r="CV72" s="52" t="e">
        <f>IF(ISNA(Eu_tabel_g[[#This Row],[Sand negativ
Nulhypotese afvises
Korrekt]]),NA(),IF($CR$3,1,NA()))</f>
        <v>#N/A</v>
      </c>
      <c r="CW72" s="34" t="str" cm="1">
        <f t="array" ref="CW72">_xlfn.SWITCH(BZ72,_xlfn.IFNA(CU$2,-99),CU$5,_xlfn.IFNA(CU$3,-99),CU$6,_xlfn.IFNA(CU$4,-99),CU$7,"")</f>
        <v/>
      </c>
      <c r="DA72" s="7">
        <f t="shared" si="50"/>
        <v>0.8</v>
      </c>
      <c r="DB72">
        <f>IF(ROW(Styrkeberegning_G[[#This Row],[X base venstre]])=ROW(Styrkeberegning_G[[#Headers],[X base venstre]])+1,DB$7/(DA$7/$B$67),DB71/(DA71/$B$67))</f>
        <v>-2.8015817870135784</v>
      </c>
      <c r="DC72">
        <f>Styrkeberegning_G[[#This Row],[X base venstre]]*-1</f>
        <v>2.8015817870135784</v>
      </c>
      <c r="DN72" s="32">
        <f t="shared" si="51"/>
        <v>62</v>
      </c>
      <c r="DO72" s="32">
        <f t="shared" si="52"/>
        <v>63</v>
      </c>
      <c r="DP72" s="32">
        <f t="shared" si="53"/>
        <v>8.9062457625077514</v>
      </c>
      <c r="DQ72" s="32" t="e">
        <f t="shared" si="54"/>
        <v>#N/A</v>
      </c>
      <c r="DR72" s="32" t="e">
        <f t="shared" si="55"/>
        <v>#N/A</v>
      </c>
      <c r="DS72" s="32">
        <f t="shared" si="56"/>
        <v>9.228637780978749E-2</v>
      </c>
      <c r="DT72" s="32" t="e">
        <f t="shared" si="57"/>
        <v>#N/A</v>
      </c>
      <c r="DU72" s="32" t="b">
        <f t="shared" si="58"/>
        <v>0</v>
      </c>
      <c r="DV72" s="32" t="b">
        <f t="shared" si="59"/>
        <v>1</v>
      </c>
      <c r="DW72" s="32" t="b">
        <f t="shared" si="60"/>
        <v>0</v>
      </c>
      <c r="DX72" s="32" t="b">
        <f t="shared" si="61"/>
        <v>1</v>
      </c>
      <c r="DY72" s="32">
        <f t="shared" si="62"/>
        <v>9.228637780978749E-2</v>
      </c>
      <c r="DZ72" s="32" t="e">
        <f t="shared" si="63"/>
        <v>#N/A</v>
      </c>
      <c r="EA72" s="32">
        <f t="shared" si="64"/>
        <v>9.228637780978749E-2</v>
      </c>
      <c r="EB72" s="45" t="str">
        <f t="shared" si="65"/>
        <v/>
      </c>
      <c r="EG72" s="32">
        <f t="shared" si="66"/>
        <v>62</v>
      </c>
      <c r="EH72" s="32">
        <f t="shared" si="67"/>
        <v>63</v>
      </c>
      <c r="EI72" s="32">
        <f t="shared" si="68"/>
        <v>-1.605004376071655</v>
      </c>
      <c r="EJ72" s="32">
        <f t="shared" si="69"/>
        <v>0.11003485972432274</v>
      </c>
      <c r="EK72" s="32" t="e">
        <f t="shared" si="70"/>
        <v>#N/A</v>
      </c>
      <c r="EL72" s="32" t="e">
        <f t="shared" si="71"/>
        <v>#N/A</v>
      </c>
      <c r="EM72" s="32" t="e">
        <f t="shared" si="72"/>
        <v>#N/A</v>
      </c>
      <c r="EN72" s="32" t="b">
        <f t="shared" si="73"/>
        <v>0</v>
      </c>
      <c r="EO72" s="32" t="b">
        <f t="shared" si="74"/>
        <v>1</v>
      </c>
      <c r="EP72" s="32" t="b">
        <f t="shared" si="75"/>
        <v>0</v>
      </c>
      <c r="EQ72" s="32" t="b">
        <f t="shared" si="76"/>
        <v>1</v>
      </c>
      <c r="ER72" s="32">
        <f t="shared" si="77"/>
        <v>0.11003485972432274</v>
      </c>
      <c r="ES72" s="32" t="e">
        <f t="shared" si="78"/>
        <v>#N/A</v>
      </c>
      <c r="ET72" s="32">
        <f t="shared" si="79"/>
        <v>0.11003485972432274</v>
      </c>
      <c r="EU72" s="45" t="str">
        <f t="shared" si="80"/>
        <v/>
      </c>
      <c r="EV7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2" s="32" t="e" cm="1">
        <f t="array" ref="EY72">IF($CR$3,INDEX(Eu_tabel_a[[#This Row],[Styrke venstre]:[Styrke tosidet]],EY$7),NA())</f>
        <v>#N/A</v>
      </c>
      <c r="EZ72" s="32" t="e">
        <f>IF(EY$3,IF(CHOOSE(EY$7,Eu_tabel_a[[#This Row],[x base]]&gt;0,Eu_tabel_a[[#This Row],[x base]]&lt;0,Eu_tabel_a[[#This Row],[x base]]=0),1,NA()),NA())</f>
        <v>#N/A</v>
      </c>
      <c r="FA72" s="32" t="e">
        <f>IF(CHOOSE(EY$7,Eu_tabel_a[[#This Row],[x base]]&gt;0,Eu_tabel_a[[#This Row],[x base]]&lt;0,Eu_tabel_a[[#This Row],[x base]]=0),Eu_tabel_a[[#This Row],[Styrke, aktiv]],NA())</f>
        <v>#N/A</v>
      </c>
      <c r="FB72" s="32" t="e">
        <f>IFERROR(IF($EY$3,Eu_tabel_a[[#This Row],[Styrke, aktiv]],NA()),NA())</f>
        <v>#N/A</v>
      </c>
      <c r="FC72" s="32" t="e">
        <f>IF(ISNA(Eu_tabel_a[[#This Row],[Sand negativ
Nulhypotese afvises
Korrekt]]),NA(),IF(EY$3,1,NA()))</f>
        <v>#N/A</v>
      </c>
      <c r="FD72" s="33" t="str" cm="1">
        <f t="array" ref="FD72">IFERROR(_xlfn.SWITCH(Eu_tabel_a[[#This Row],[Indeks]],_xlfn.IFNA(FB$2,-99),FB$5,_xlfn.IFNA(FB$3,-99),FB$6,_xlfn.IFNA(FB$4,-99),FB$7,""),"")</f>
        <v/>
      </c>
      <c r="FE72" s="32">
        <f>Eu_tabel_a[[#This Row],[x base]]*SQRT(Eu_a_h0_x*(1-Eu_a_h0_x)/Eu_a_n_x)+Eu_a_h0_x</f>
        <v>0</v>
      </c>
      <c r="FJ72" s="74" t="e">
        <f t="shared" si="130"/>
        <v>#N/A</v>
      </c>
      <c r="FK72" s="82" t="e">
        <f t="shared" si="113"/>
        <v>#DIV/0!</v>
      </c>
      <c r="FL72" s="7" t="e">
        <f t="shared" si="124"/>
        <v>#DIV/0!</v>
      </c>
      <c r="FM72" t="e">
        <f t="shared" si="114"/>
        <v>#DIV/0!</v>
      </c>
      <c r="FN72" s="8" t="e">
        <f t="shared" si="115"/>
        <v>#DIV/0!</v>
      </c>
      <c r="FO72" s="8" t="e">
        <f t="shared" si="116"/>
        <v>#DIV/0!</v>
      </c>
      <c r="FP72" s="81" t="e">
        <f t="shared" si="117"/>
        <v>#DIV/0!</v>
      </c>
      <c r="FQ72" s="74" t="e">
        <f t="shared" ca="1" si="125"/>
        <v>#N/A</v>
      </c>
      <c r="FR72" s="82" t="e" vm="3">
        <f t="shared" ca="1" si="131"/>
        <v>#VALUE!</v>
      </c>
      <c r="FS72" s="7" t="e" vm="3">
        <f t="shared" ca="1" si="126"/>
        <v>#VALUE!</v>
      </c>
      <c r="FT72" t="e" vm="3">
        <f t="shared" ca="1" si="120"/>
        <v>#VALUE!</v>
      </c>
      <c r="FU72" s="8" t="e" vm="3">
        <f t="shared" ca="1" si="121"/>
        <v>#VALUE!</v>
      </c>
      <c r="FV72" s="8" t="e" vm="3">
        <f t="shared" ca="1" si="122"/>
        <v>#VALUE!</v>
      </c>
      <c r="FW72" s="81" t="e" vm="3">
        <f t="shared" ca="1" si="123"/>
        <v>#VALUE!</v>
      </c>
      <c r="FX72" s="74" t="e">
        <f t="shared" si="127"/>
        <v>#N/A</v>
      </c>
      <c r="FY72" s="82" t="e">
        <f t="shared" si="132"/>
        <v>#N/A</v>
      </c>
      <c r="FZ72" s="7" t="e">
        <f t="shared" si="128"/>
        <v>#N/A</v>
      </c>
      <c r="GA72" t="e">
        <f t="shared" si="133"/>
        <v>#N/A</v>
      </c>
      <c r="GB72" s="8" t="e">
        <f t="shared" si="134"/>
        <v>#N/A</v>
      </c>
      <c r="GC72" s="8" t="e">
        <f t="shared" si="135"/>
        <v>#N/A</v>
      </c>
      <c r="GD72" s="81" t="e">
        <f t="shared" si="136"/>
        <v>#N/A</v>
      </c>
      <c r="GE72" s="74" t="e">
        <f t="shared" si="137"/>
        <v>#N/A</v>
      </c>
      <c r="GF72" s="82" t="e">
        <f t="shared" si="138"/>
        <v>#N/A</v>
      </c>
      <c r="GG72" s="7" t="e">
        <f t="shared" si="129"/>
        <v>#N/A</v>
      </c>
      <c r="GH72" t="e">
        <f t="shared" si="139"/>
        <v>#N/A</v>
      </c>
      <c r="GI72" s="8" t="e">
        <f t="shared" si="140"/>
        <v>#N/A</v>
      </c>
      <c r="GJ72" s="8" t="e">
        <f t="shared" si="141"/>
        <v>#N/A</v>
      </c>
      <c r="GK72" s="81" t="e">
        <f t="shared" si="142"/>
        <v>#N/A</v>
      </c>
      <c r="GL72" s="81"/>
      <c r="GM72" s="81"/>
      <c r="GP72" s="32">
        <f t="shared" si="81"/>
        <v>62</v>
      </c>
      <c r="GQ72" s="32">
        <f t="shared" si="82"/>
        <v>63</v>
      </c>
      <c r="GR72" s="32">
        <f t="shared" si="83"/>
        <v>-1.605004376071655</v>
      </c>
      <c r="GS72" s="32">
        <f t="shared" si="84"/>
        <v>0.11003485972432274</v>
      </c>
      <c r="GT72" s="32" t="e">
        <f t="shared" si="85"/>
        <v>#N/A</v>
      </c>
      <c r="GU72" s="32" t="e">
        <f t="shared" si="86"/>
        <v>#N/A</v>
      </c>
      <c r="GV72" s="32" t="e">
        <f t="shared" si="87"/>
        <v>#N/A</v>
      </c>
      <c r="GW72" s="32" t="b">
        <f t="shared" si="88"/>
        <v>0</v>
      </c>
      <c r="GX72" s="32" t="b">
        <f t="shared" si="89"/>
        <v>1</v>
      </c>
      <c r="GY72" s="32" t="b">
        <f t="shared" si="90"/>
        <v>0</v>
      </c>
      <c r="GZ72" s="32" t="b">
        <f t="shared" si="91"/>
        <v>1</v>
      </c>
      <c r="HA72" s="32">
        <f t="shared" si="92"/>
        <v>0.11003485972432274</v>
      </c>
      <c r="HB72" s="32" t="e">
        <f t="shared" si="93"/>
        <v>#N/A</v>
      </c>
      <c r="HC72" s="32">
        <f t="shared" si="94"/>
        <v>0.11003485972432274</v>
      </c>
      <c r="HD72" s="45" t="str">
        <f t="shared" si="95"/>
        <v/>
      </c>
      <c r="HJ72" s="32">
        <f t="shared" si="96"/>
        <v>62</v>
      </c>
      <c r="HK72" s="32">
        <f t="shared" si="97"/>
        <v>63</v>
      </c>
      <c r="HL72" s="32">
        <f t="shared" si="98"/>
        <v>-2.4853829854168086</v>
      </c>
      <c r="HM72" s="32" t="e">
        <f t="shared" si="99"/>
        <v>#N/A</v>
      </c>
      <c r="HN72" s="32">
        <f t="shared" si="100"/>
        <v>3.0659150000244034E-2</v>
      </c>
      <c r="HO72" s="32" t="e">
        <f t="shared" si="101"/>
        <v>#N/A</v>
      </c>
      <c r="HP72" s="32" t="e">
        <f t="shared" si="102"/>
        <v>#N/A</v>
      </c>
      <c r="HQ72" s="32" t="b">
        <f t="shared" si="103"/>
        <v>1</v>
      </c>
      <c r="HR72" s="32" t="b">
        <f t="shared" si="104"/>
        <v>0</v>
      </c>
      <c r="HS72" s="32" t="b">
        <f t="shared" si="105"/>
        <v>1</v>
      </c>
      <c r="HT72" s="32" t="b">
        <f t="shared" si="106"/>
        <v>0</v>
      </c>
      <c r="HU72" s="32">
        <f t="shared" si="107"/>
        <v>3.0659150000244034E-2</v>
      </c>
      <c r="HV72" s="32">
        <f t="shared" si="108"/>
        <v>3.0659150000244034E-2</v>
      </c>
      <c r="HW72" s="32" t="e">
        <f t="shared" si="109"/>
        <v>#N/A</v>
      </c>
      <c r="HX72" s="45" t="str">
        <f t="shared" si="110"/>
        <v/>
      </c>
    </row>
    <row r="73" spans="1:232" x14ac:dyDescent="0.2">
      <c r="BZ73" s="32">
        <f t="shared" si="36"/>
        <v>63</v>
      </c>
      <c r="CA73" s="32">
        <f>Eu_tabel_g[[#This Row],[Indeks]]+1</f>
        <v>64</v>
      </c>
      <c r="CB73" s="32">
        <f t="shared" si="37"/>
        <v>-1.5810490868765557</v>
      </c>
      <c r="CC73" s="32">
        <f t="shared" si="38"/>
        <v>0.11431509630296084</v>
      </c>
      <c r="CD73" s="32" t="e">
        <f t="shared" si="39"/>
        <v>#N/A</v>
      </c>
      <c r="CE73" s="32" t="e">
        <f t="shared" si="40"/>
        <v>#N/A</v>
      </c>
      <c r="CF73" s="32" t="e">
        <f t="shared" si="41"/>
        <v>#N/A</v>
      </c>
      <c r="CG73" s="32" t="b">
        <f t="shared" si="42"/>
        <v>0</v>
      </c>
      <c r="CH73" s="32" t="b">
        <f t="shared" si="43"/>
        <v>1</v>
      </c>
      <c r="CI73" s="32" t="b">
        <f t="shared" si="44"/>
        <v>0</v>
      </c>
      <c r="CJ73" s="32" t="b">
        <f t="shared" si="45"/>
        <v>1</v>
      </c>
      <c r="CK73" s="32">
        <f t="shared" si="119"/>
        <v>0.11431509630296084</v>
      </c>
      <c r="CL73" s="32" t="e">
        <f t="shared" si="47"/>
        <v>#N/A</v>
      </c>
      <c r="CM73" s="32">
        <f t="shared" si="48"/>
        <v>0.11431509630296084</v>
      </c>
      <c r="CN73" s="45" t="str">
        <f t="shared" si="49"/>
        <v/>
      </c>
      <c r="CO73" s="32">
        <f>_xlfn.NORM.DIST(_xlfn.NORM.INV(1-Eu_g_konfidensniveau,0,1)-Eu_tabel_g[[#This Row],[x base]],0,1,TRUE)</f>
        <v>0.47456293158522456</v>
      </c>
      <c r="CP73" s="32">
        <f>1-_xlfn.NORM.DIST(_xlfn.NORM.INV(Eu_g_konfidensniveau,0,1)-Eu_tabel_g[[#This Row],[x base]],0,1,TRUE)</f>
        <v>6.2788016889248066E-4</v>
      </c>
      <c r="CQ73" s="32">
        <f>_xlfn.NORM.DIST(_xlfn.NORM.INV((1-Eu_g_konfidensniveau)/2,0,1)-Eu_tabel_g[[#This Row],[x base]],0,1,TRUE)+1-_xlfn.NORM.DIST(_xlfn.NORM.INV(1-(1-Eu_g_konfidensniveau)/2,0,1)-Eu_tabel_g[[#This Row],[x base]],0,1,TRUE)</f>
        <v>0.35257482739793311</v>
      </c>
      <c r="CR73" s="32" t="e" cm="1">
        <f t="array" ref="CR73">IF($CR$3,INDEX(Eu_tabel_g[[#This Row],[Styrke venstre]:[Styrke tosidet]],CR$7),NA())</f>
        <v>#N/A</v>
      </c>
      <c r="CS73" s="52" t="e">
        <f>Eu_tabel_g[[#This Row],[Falsk positiv
Nulhypotese accepteres
Fejltype 1]]</f>
        <v>#N/A</v>
      </c>
      <c r="CT73" s="52" t="e">
        <f>IF(CHOOSE(CR$7,Eu_tabel_g[[#This Row],[x base]]&gt;0,Eu_tabel_g[[#This Row],[x base]]&lt;0,Eu_tabel_g[[#This Row],[x base]]=0),Eu_tabel_g[[#This Row],[Styrke, aktiv]],NA())</f>
        <v>#N/A</v>
      </c>
      <c r="CU73" s="52" t="e">
        <f>IFERROR(IF($CR$3,Eu_tabel_g[[#This Row],[Styrke, aktiv]],NA()),NA())</f>
        <v>#N/A</v>
      </c>
      <c r="CV73" s="52" t="e">
        <f>IF(ISNA(Eu_tabel_g[[#This Row],[Sand negativ
Nulhypotese afvises
Korrekt]]),NA(),IF($CR$3,1,NA()))</f>
        <v>#N/A</v>
      </c>
      <c r="CW73" s="34" t="str" cm="1">
        <f t="array" ref="CW73">_xlfn.SWITCH(BZ73,_xlfn.IFNA(CU$2,-99),CU$5,_xlfn.IFNA(CU$3,-99),CU$6,_xlfn.IFNA(CU$4,-99),CU$7,"")</f>
        <v/>
      </c>
      <c r="DA73" s="7">
        <f t="shared" si="50"/>
        <v>0.8</v>
      </c>
      <c r="DB73">
        <f>IF(ROW(Styrkeberegning_G[[#This Row],[X base venstre]])=ROW(Styrkeberegning_G[[#Headers],[X base venstre]])+1,DB$7/(DA$7/$B$67),DB72/(DA72/$B$67))</f>
        <v>-2.8015817870135784</v>
      </c>
      <c r="DC73">
        <f>Styrkeberegning_G[[#This Row],[X base venstre]]*-1</f>
        <v>2.8015817870135784</v>
      </c>
      <c r="DN73" s="32">
        <f t="shared" si="51"/>
        <v>63</v>
      </c>
      <c r="DO73" s="32">
        <f t="shared" si="52"/>
        <v>64</v>
      </c>
      <c r="DP73" s="32">
        <f t="shared" si="53"/>
        <v>9.0203166189247526</v>
      </c>
      <c r="DQ73" s="32" t="e">
        <f t="shared" si="54"/>
        <v>#N/A</v>
      </c>
      <c r="DR73" s="32" t="e">
        <f t="shared" si="55"/>
        <v>#N/A</v>
      </c>
      <c r="DS73" s="32">
        <f t="shared" si="56"/>
        <v>9.2308014417196882E-2</v>
      </c>
      <c r="DT73" s="32" t="e">
        <f t="shared" si="57"/>
        <v>#N/A</v>
      </c>
      <c r="DU73" s="32" t="b">
        <f t="shared" si="58"/>
        <v>0</v>
      </c>
      <c r="DV73" s="32" t="b">
        <f t="shared" si="59"/>
        <v>1</v>
      </c>
      <c r="DW73" s="32" t="b">
        <f t="shared" si="60"/>
        <v>0</v>
      </c>
      <c r="DX73" s="32" t="b">
        <f t="shared" si="61"/>
        <v>1</v>
      </c>
      <c r="DY73" s="32">
        <f t="shared" si="62"/>
        <v>9.2308014417196882E-2</v>
      </c>
      <c r="DZ73" s="32" t="e">
        <f t="shared" si="63"/>
        <v>#N/A</v>
      </c>
      <c r="EA73" s="32">
        <f t="shared" si="64"/>
        <v>9.2308014417196882E-2</v>
      </c>
      <c r="EB73" s="45" t="str">
        <f t="shared" si="65"/>
        <v/>
      </c>
      <c r="EG73" s="32">
        <f t="shared" si="66"/>
        <v>63</v>
      </c>
      <c r="EH73" s="32">
        <f t="shared" si="67"/>
        <v>64</v>
      </c>
      <c r="EI73" s="32">
        <f t="shared" si="68"/>
        <v>-1.5810490868765557</v>
      </c>
      <c r="EJ73" s="32">
        <f t="shared" si="69"/>
        <v>0.11431509630296084</v>
      </c>
      <c r="EK73" s="32" t="e">
        <f t="shared" si="70"/>
        <v>#N/A</v>
      </c>
      <c r="EL73" s="32" t="e">
        <f t="shared" si="71"/>
        <v>#N/A</v>
      </c>
      <c r="EM73" s="32" t="e">
        <f t="shared" si="72"/>
        <v>#N/A</v>
      </c>
      <c r="EN73" s="32" t="b">
        <f t="shared" si="73"/>
        <v>0</v>
      </c>
      <c r="EO73" s="32" t="b">
        <f t="shared" si="74"/>
        <v>1</v>
      </c>
      <c r="EP73" s="32" t="b">
        <f t="shared" si="75"/>
        <v>0</v>
      </c>
      <c r="EQ73" s="32" t="b">
        <f t="shared" si="76"/>
        <v>1</v>
      </c>
      <c r="ER73" s="32">
        <f t="shared" si="77"/>
        <v>0.11431509630296084</v>
      </c>
      <c r="ES73" s="32" t="e">
        <f t="shared" si="78"/>
        <v>#N/A</v>
      </c>
      <c r="ET73" s="32">
        <f t="shared" si="79"/>
        <v>0.11431509630296084</v>
      </c>
      <c r="EU73" s="45" t="str">
        <f t="shared" si="80"/>
        <v/>
      </c>
      <c r="EV7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3" s="32" t="e" cm="1">
        <f t="array" ref="EY73">IF($CR$3,INDEX(Eu_tabel_a[[#This Row],[Styrke venstre]:[Styrke tosidet]],EY$7),NA())</f>
        <v>#N/A</v>
      </c>
      <c r="EZ73" s="32" t="e">
        <f>IF(EY$3,IF(CHOOSE(EY$7,Eu_tabel_a[[#This Row],[x base]]&gt;0,Eu_tabel_a[[#This Row],[x base]]&lt;0,Eu_tabel_a[[#This Row],[x base]]=0),1,NA()),NA())</f>
        <v>#N/A</v>
      </c>
      <c r="FA73" s="32" t="e">
        <f>IF(CHOOSE(EY$7,Eu_tabel_a[[#This Row],[x base]]&gt;0,Eu_tabel_a[[#This Row],[x base]]&lt;0,Eu_tabel_a[[#This Row],[x base]]=0),Eu_tabel_a[[#This Row],[Styrke, aktiv]],NA())</f>
        <v>#N/A</v>
      </c>
      <c r="FB73" s="32" t="e">
        <f>IFERROR(IF($EY$3,Eu_tabel_a[[#This Row],[Styrke, aktiv]],NA()),NA())</f>
        <v>#N/A</v>
      </c>
      <c r="FC73" s="32" t="e">
        <f>IF(ISNA(Eu_tabel_a[[#This Row],[Sand negativ
Nulhypotese afvises
Korrekt]]),NA(),IF(EY$3,1,NA()))</f>
        <v>#N/A</v>
      </c>
      <c r="FD73" s="33" t="str" cm="1">
        <f t="array" ref="FD73">IFERROR(_xlfn.SWITCH(Eu_tabel_a[[#This Row],[Indeks]],_xlfn.IFNA(FB$2,-99),FB$5,_xlfn.IFNA(FB$3,-99),FB$6,_xlfn.IFNA(FB$4,-99),FB$7,""),"")</f>
        <v/>
      </c>
      <c r="FE73" s="32">
        <f>Eu_tabel_a[[#This Row],[x base]]*SQRT(Eu_a_h0_x*(1-Eu_a_h0_x)/Eu_a_n_x)+Eu_a_h0_x</f>
        <v>0</v>
      </c>
      <c r="FJ73" s="74" t="e">
        <f t="shared" si="130"/>
        <v>#N/A</v>
      </c>
      <c r="FK73" s="82" t="e">
        <f t="shared" si="113"/>
        <v>#DIV/0!</v>
      </c>
      <c r="FL73" s="7" t="e">
        <f t="shared" si="124"/>
        <v>#DIV/0!</v>
      </c>
      <c r="FM73" t="e">
        <f t="shared" si="114"/>
        <v>#DIV/0!</v>
      </c>
      <c r="FN73" s="8" t="e">
        <f t="shared" si="115"/>
        <v>#DIV/0!</v>
      </c>
      <c r="FO73" s="8" t="e">
        <f t="shared" si="116"/>
        <v>#DIV/0!</v>
      </c>
      <c r="FP73" s="81" t="e">
        <f t="shared" si="117"/>
        <v>#DIV/0!</v>
      </c>
      <c r="FQ73" s="74" t="e">
        <f t="shared" ca="1" si="125"/>
        <v>#N/A</v>
      </c>
      <c r="FR73" s="82" t="e" vm="3">
        <f t="shared" ca="1" si="131"/>
        <v>#VALUE!</v>
      </c>
      <c r="FS73" s="7" t="e" vm="3">
        <f t="shared" ca="1" si="126"/>
        <v>#VALUE!</v>
      </c>
      <c r="FT73" t="e" vm="3">
        <f t="shared" ca="1" si="120"/>
        <v>#VALUE!</v>
      </c>
      <c r="FU73" s="8" t="e" vm="3">
        <f t="shared" ca="1" si="121"/>
        <v>#VALUE!</v>
      </c>
      <c r="FV73" s="8" t="e" vm="3">
        <f t="shared" ca="1" si="122"/>
        <v>#VALUE!</v>
      </c>
      <c r="FW73" s="81" t="e" vm="3">
        <f t="shared" ca="1" si="123"/>
        <v>#VALUE!</v>
      </c>
      <c r="FX73" s="74" t="e">
        <f t="shared" si="127"/>
        <v>#N/A</v>
      </c>
      <c r="FY73" s="82" t="e">
        <f t="shared" si="132"/>
        <v>#N/A</v>
      </c>
      <c r="FZ73" s="7" t="e">
        <f t="shared" si="128"/>
        <v>#N/A</v>
      </c>
      <c r="GA73" t="e">
        <f t="shared" si="133"/>
        <v>#N/A</v>
      </c>
      <c r="GB73" s="8" t="e">
        <f t="shared" si="134"/>
        <v>#N/A</v>
      </c>
      <c r="GC73" s="8" t="e">
        <f t="shared" si="135"/>
        <v>#N/A</v>
      </c>
      <c r="GD73" s="81" t="e">
        <f t="shared" si="136"/>
        <v>#N/A</v>
      </c>
      <c r="GE73" s="74" t="e">
        <f t="shared" si="137"/>
        <v>#N/A</v>
      </c>
      <c r="GF73" s="82" t="e">
        <f t="shared" si="138"/>
        <v>#N/A</v>
      </c>
      <c r="GG73" s="7" t="e">
        <f t="shared" si="129"/>
        <v>#N/A</v>
      </c>
      <c r="GH73" t="e">
        <f t="shared" si="139"/>
        <v>#N/A</v>
      </c>
      <c r="GI73" s="8" t="e">
        <f t="shared" si="140"/>
        <v>#N/A</v>
      </c>
      <c r="GJ73" s="8" t="e">
        <f t="shared" si="141"/>
        <v>#N/A</v>
      </c>
      <c r="GK73" s="81" t="e">
        <f t="shared" si="142"/>
        <v>#N/A</v>
      </c>
      <c r="GL73" s="81"/>
      <c r="GM73" s="81"/>
      <c r="GP73" s="32">
        <f t="shared" si="81"/>
        <v>63</v>
      </c>
      <c r="GQ73" s="32">
        <f t="shared" si="82"/>
        <v>64</v>
      </c>
      <c r="GR73" s="32">
        <f t="shared" si="83"/>
        <v>-1.5810490868765557</v>
      </c>
      <c r="GS73" s="32">
        <f t="shared" si="84"/>
        <v>0.11431509630296084</v>
      </c>
      <c r="GT73" s="32" t="e">
        <f t="shared" si="85"/>
        <v>#N/A</v>
      </c>
      <c r="GU73" s="32" t="e">
        <f t="shared" si="86"/>
        <v>#N/A</v>
      </c>
      <c r="GV73" s="32" t="e">
        <f t="shared" si="87"/>
        <v>#N/A</v>
      </c>
      <c r="GW73" s="32" t="b">
        <f t="shared" si="88"/>
        <v>0</v>
      </c>
      <c r="GX73" s="32" t="b">
        <f t="shared" si="89"/>
        <v>1</v>
      </c>
      <c r="GY73" s="32" t="b">
        <f t="shared" si="90"/>
        <v>0</v>
      </c>
      <c r="GZ73" s="32" t="b">
        <f t="shared" si="91"/>
        <v>1</v>
      </c>
      <c r="HA73" s="32">
        <f t="shared" si="92"/>
        <v>0.11431509630296084</v>
      </c>
      <c r="HB73" s="32" t="e">
        <f t="shared" si="93"/>
        <v>#N/A</v>
      </c>
      <c r="HC73" s="32">
        <f t="shared" si="94"/>
        <v>0.11431509630296084</v>
      </c>
      <c r="HD73" s="45" t="str">
        <f t="shared" si="95"/>
        <v/>
      </c>
      <c r="HJ73" s="32">
        <f t="shared" si="96"/>
        <v>63</v>
      </c>
      <c r="HK73" s="32">
        <f t="shared" si="97"/>
        <v>64</v>
      </c>
      <c r="HL73" s="32">
        <f t="shared" si="98"/>
        <v>-2.4482877169777515</v>
      </c>
      <c r="HM73" s="32" t="e">
        <f t="shared" si="99"/>
        <v>#N/A</v>
      </c>
      <c r="HN73" s="32">
        <f t="shared" si="100"/>
        <v>3.2423263296291388E-2</v>
      </c>
      <c r="HO73" s="32" t="e">
        <f t="shared" si="101"/>
        <v>#N/A</v>
      </c>
      <c r="HP73" s="32" t="e">
        <f t="shared" si="102"/>
        <v>#N/A</v>
      </c>
      <c r="HQ73" s="32" t="b">
        <f t="shared" si="103"/>
        <v>1</v>
      </c>
      <c r="HR73" s="32" t="b">
        <f t="shared" si="104"/>
        <v>0</v>
      </c>
      <c r="HS73" s="32" t="b">
        <f t="shared" si="105"/>
        <v>1</v>
      </c>
      <c r="HT73" s="32" t="b">
        <f t="shared" si="106"/>
        <v>0</v>
      </c>
      <c r="HU73" s="32">
        <f t="shared" si="107"/>
        <v>3.2423263296291388E-2</v>
      </c>
      <c r="HV73" s="32">
        <f t="shared" si="108"/>
        <v>3.2423263296291388E-2</v>
      </c>
      <c r="HW73" s="32" t="e">
        <f t="shared" si="109"/>
        <v>#N/A</v>
      </c>
      <c r="HX73" s="45" t="str">
        <f t="shared" si="110"/>
        <v/>
      </c>
    </row>
    <row r="74" spans="1:232" x14ac:dyDescent="0.2">
      <c r="BZ74" s="32">
        <f t="shared" ref="BZ74:BZ137" si="143">ROW(BZ74)-ROW(BZ$10)</f>
        <v>64</v>
      </c>
      <c r="CA74" s="32">
        <f>Eu_tabel_g[[#This Row],[Indeks]]+1</f>
        <v>65</v>
      </c>
      <c r="CB74" s="32">
        <f t="shared" ref="CB74:CB137" si="144">CB$5+(CB$7-CB$5)/CB$3*BZ74</f>
        <v>-1.5570937976814563</v>
      </c>
      <c r="CC74" s="32">
        <f t="shared" ref="CC74:CC137" si="145">IF(CC$3,_xlfn.NORM.DIST(CB74,CC$5,CC$7,FALSE),NA())</f>
        <v>0.11869369681429402</v>
      </c>
      <c r="CD74" s="32" t="e">
        <f t="shared" ref="CD74:CD137" si="146">IF(CD$3,_xlfn.T.DIST(CB74,CD$5,FALSE),NA())</f>
        <v>#N/A</v>
      </c>
      <c r="CE74" s="32" t="e">
        <f t="shared" ref="CE74:CE137" si="147">IF(CE$3,_xlfn.CHISQ.DIST(CB74,CE$5,FALSE),NA())</f>
        <v>#N/A</v>
      </c>
      <c r="CF74" s="32" t="e">
        <f t="shared" ref="CF74:CF137" si="148">IF(CF$3,_xlfn.F.DIST(CB74,CF$5,CF$7,FALSE),NA())</f>
        <v>#N/A</v>
      </c>
      <c r="CG74" s="32" t="b">
        <f t="shared" ref="CG74:CG137" si="149">CB74&lt;CG$3</f>
        <v>0</v>
      </c>
      <c r="CH74" s="32" t="b">
        <f t="shared" ref="CH74:CH137" si="150">CB74&gt;CG$3</f>
        <v>1</v>
      </c>
      <c r="CI74" s="32" t="b">
        <f t="shared" ref="CI74:CI137" si="151">OR(CB74&lt;CI$3,CB74&gt;CI$5)</f>
        <v>0</v>
      </c>
      <c r="CJ74" s="32" t="b">
        <f t="shared" ref="CJ74:CJ137" si="152">AND(CB74&gt;CI$3,CB74&lt;CI$5)</f>
        <v>1</v>
      </c>
      <c r="CK74" s="32">
        <f t="shared" si="119"/>
        <v>0.11869369681429402</v>
      </c>
      <c r="CL74" s="32" t="e">
        <f t="shared" ref="CL74:CL137" si="153">IF(INDEX(CG74:CJ74,CK$7),CK74,NA())</f>
        <v>#N/A</v>
      </c>
      <c r="CM74" s="32">
        <f t="shared" ref="CM74:CM137" si="154">IF(INDEX(CG74:CJ74,CL$7),CK74,NA())</f>
        <v>0.11869369681429402</v>
      </c>
      <c r="CN74" s="45" t="str">
        <f t="shared" ref="CN74:CN137" si="155">_xlfn.SWITCH(BZ74,CN$2,CN$5,CN$3,CN$6,CN$4,CN$7,"")</f>
        <v/>
      </c>
      <c r="CO74" s="32">
        <f>_xlfn.NORM.DIST(_xlfn.NORM.INV(1-Eu_g_konfidensniveau,0,1)-Eu_tabel_g[[#This Row],[x base]],0,1,TRUE)</f>
        <v>0.46503378306270904</v>
      </c>
      <c r="CP74" s="32">
        <f>1-_xlfn.NORM.DIST(_xlfn.NORM.INV(Eu_g_konfidensniveau,0,1)-Eu_tabel_g[[#This Row],[x base]],0,1,TRUE)</f>
        <v>6.8250954524728957E-4</v>
      </c>
      <c r="CQ74" s="32">
        <f>_xlfn.NORM.DIST(_xlfn.NORM.INV((1-Eu_g_konfidensniveau)/2,0,1)-Eu_tabel_g[[#This Row],[x base]],0,1,TRUE)+1-_xlfn.NORM.DIST(_xlfn.NORM.INV(1-(1-Eu_g_konfidensniveau)/2,0,1)-Eu_tabel_g[[#This Row],[x base]],0,1,TRUE)</f>
        <v>0.34374004164020988</v>
      </c>
      <c r="CR74" s="32" t="e" cm="1">
        <f t="array" ref="CR74">IF($CR$3,INDEX(Eu_tabel_g[[#This Row],[Styrke venstre]:[Styrke tosidet]],CR$7),NA())</f>
        <v>#N/A</v>
      </c>
      <c r="CS74" s="52" t="e">
        <f>Eu_tabel_g[[#This Row],[Falsk positiv
Nulhypotese accepteres
Fejltype 1]]</f>
        <v>#N/A</v>
      </c>
      <c r="CT74" s="52" t="e">
        <f>IF(CHOOSE(CR$7,Eu_tabel_g[[#This Row],[x base]]&gt;0,Eu_tabel_g[[#This Row],[x base]]&lt;0,Eu_tabel_g[[#This Row],[x base]]=0),Eu_tabel_g[[#This Row],[Styrke, aktiv]],NA())</f>
        <v>#N/A</v>
      </c>
      <c r="CU74" s="52" t="e">
        <f>IFERROR(IF($CR$3,Eu_tabel_g[[#This Row],[Styrke, aktiv]],NA()),NA())</f>
        <v>#N/A</v>
      </c>
      <c r="CV74" s="52" t="e">
        <f>IF(ISNA(Eu_tabel_g[[#This Row],[Sand negativ
Nulhypotese afvises
Korrekt]]),NA(),IF($CR$3,1,NA()))</f>
        <v>#N/A</v>
      </c>
      <c r="CW74" s="34" t="str" cm="1">
        <f t="array" ref="CW74">_xlfn.SWITCH(BZ74,_xlfn.IFNA(CU$2,-99),CU$5,_xlfn.IFNA(CU$3,-99),CU$6,_xlfn.IFNA(CU$4,-99),CU$7,"")</f>
        <v/>
      </c>
      <c r="DA74" s="7">
        <f t="shared" ref="DA74:DA137" si="156">_xlfn.NORM.DIST(_xlfn.NORM.INV((1-Eu_g_konfidensniveau)/2,0,1)-DB74,0,1,TRUE)+1-_xlfn.NORM.DIST(_xlfn.NORM.INV(1-(1-Eu_g_konfidensniveau)/2,0,1)-DB74,0,1,TRUE)</f>
        <v>0.8</v>
      </c>
      <c r="DB74">
        <f>IF(ROW(Styrkeberegning_G[[#This Row],[X base venstre]])=ROW(Styrkeberegning_G[[#Headers],[X base venstre]])+1,DB$7/(DA$7/$B$67),DB73/(DA73/$B$67))</f>
        <v>-2.8015817870135784</v>
      </c>
      <c r="DC74">
        <f>Styrkeberegning_G[[#This Row],[X base venstre]]*-1</f>
        <v>2.8015817870135784</v>
      </c>
      <c r="DN74" s="32">
        <f t="shared" ref="DN74:DN137" si="157">ROW(DN74)-ROW(DN$10)</f>
        <v>64</v>
      </c>
      <c r="DO74" s="32">
        <f t="shared" ref="DO74:DO137" si="158">DN74+1</f>
        <v>65</v>
      </c>
      <c r="DP74" s="32">
        <f t="shared" ref="DP74:DP137" si="159">DP$5+(DP$7-DP$5)/DP$3*DN74</f>
        <v>9.1343874753417538</v>
      </c>
      <c r="DQ74" s="32" t="e">
        <f t="shared" ref="DQ74:DQ137" si="160">IF(DQ$3,_xlfn.NORM.DIST(DP74,DQ$5,DQ$7,FALSE),NA())</f>
        <v>#N/A</v>
      </c>
      <c r="DR74" s="32" t="e">
        <f t="shared" ref="DR74:DR137" si="161">IF(DR$3,_xlfn.T.DIST(DP74,DR$5,FALSE),NA())</f>
        <v>#N/A</v>
      </c>
      <c r="DS74" s="32">
        <f t="shared" ref="DS74:DS137" si="162">IF(DS$3,_xlfn.CHISQ.DIST(DP74,DS$5,FALSE),NA())</f>
        <v>9.226323010835695E-2</v>
      </c>
      <c r="DT74" s="32" t="e">
        <f t="shared" ref="DT74:DT137" si="163">IF(DT$3,_xlfn.F.DIST(DP74,DT$5,DT$7,FALSE),NA())</f>
        <v>#N/A</v>
      </c>
      <c r="DU74" s="32" t="b">
        <f t="shared" ref="DU74:DU137" si="164">DP74&lt;DU$3</f>
        <v>0</v>
      </c>
      <c r="DV74" s="32" t="b">
        <f t="shared" ref="DV74:DV137" si="165">DP74&gt;DU$3</f>
        <v>1</v>
      </c>
      <c r="DW74" s="32" t="b">
        <f t="shared" ref="DW74:DW137" si="166">OR(DP74&lt;DW$3,DP74&gt;DW$5)</f>
        <v>0</v>
      </c>
      <c r="DX74" s="32" t="b">
        <f t="shared" ref="DX74:DX137" si="167">AND(DP74&gt;DW$3,DP74&lt;DW$5)</f>
        <v>1</v>
      </c>
      <c r="DY74" s="32">
        <f t="shared" ref="DY74:DY137" si="168">_xlfn.AGGREGATE(9,6,DQ74:DT74)</f>
        <v>9.226323010835695E-2</v>
      </c>
      <c r="DZ74" s="32" t="e">
        <f t="shared" ref="DZ74:DZ137" si="169">IF(INDEX(DU74:DX74,DY$7),DY74,NA())</f>
        <v>#N/A</v>
      </c>
      <c r="EA74" s="32">
        <f t="shared" ref="EA74:EA137" si="170">IF(INDEX(DU74:DX74,DZ$7),DY74,NA())</f>
        <v>9.226323010835695E-2</v>
      </c>
      <c r="EB74" s="45" t="str">
        <f t="shared" ref="EB74:EB137" si="171">_xlfn.SWITCH(DN74,EB$2,EB$5,EB$3,EB$6,EB$4,EB$7,"")</f>
        <v/>
      </c>
      <c r="EG74" s="32">
        <f t="shared" ref="EG74:EG137" si="172">ROW(EG74)-ROW(EG$10)</f>
        <v>64</v>
      </c>
      <c r="EH74" s="32">
        <f t="shared" ref="EH74:EH137" si="173">EG74+1</f>
        <v>65</v>
      </c>
      <c r="EI74" s="32">
        <f t="shared" ref="EI74:EI137" si="174">EI$5+(EI$7-EI$5)/EI$3*EG74</f>
        <v>-1.5570937976814563</v>
      </c>
      <c r="EJ74" s="32">
        <f t="shared" ref="EJ74:EJ137" si="175">IF(EJ$3,_xlfn.NORM.DIST(EI74,EJ$5,EJ$7,FALSE),NA())</f>
        <v>0.11869369681429402</v>
      </c>
      <c r="EK74" s="32" t="e">
        <f t="shared" ref="EK74:EK137" si="176">IF(EK$3,_xlfn.T.DIST(EI74,EK$5,FALSE),NA())</f>
        <v>#N/A</v>
      </c>
      <c r="EL74" s="32" t="e">
        <f t="shared" ref="EL74:EL137" si="177">IF(EL$3,_xlfn.CHISQ.DIST(EI74,EL$5,FALSE),NA())</f>
        <v>#N/A</v>
      </c>
      <c r="EM74" s="32" t="e">
        <f t="shared" ref="EM74:EM137" si="178">IF(EM$3,_xlfn.F.DIST(EI74,EM$5,EM$7,FALSE),NA())</f>
        <v>#N/A</v>
      </c>
      <c r="EN74" s="32" t="b">
        <f t="shared" ref="EN74:EN137" si="179">EI74&lt;EN$3</f>
        <v>0</v>
      </c>
      <c r="EO74" s="32" t="b">
        <f t="shared" ref="EO74:EO137" si="180">EI74&gt;EN$3</f>
        <v>1</v>
      </c>
      <c r="EP74" s="32" t="b">
        <f t="shared" ref="EP74:EP137" si="181">OR(EI74&lt;EP$3,EI74&gt;EP$5)</f>
        <v>0</v>
      </c>
      <c r="EQ74" s="32" t="b">
        <f t="shared" ref="EQ74:EQ137" si="182">AND(EI74&gt;EP$3,EI74&lt;EP$5)</f>
        <v>1</v>
      </c>
      <c r="ER74" s="32">
        <f t="shared" ref="ER74:ER137" si="183">_xlfn.AGGREGATE(9,6,EJ74:EM74)</f>
        <v>0.11869369681429402</v>
      </c>
      <c r="ES74" s="32" t="e">
        <f t="shared" ref="ES74:ES137" si="184">IF(INDEX(EN74:EQ74,ER$7),ER74,NA())</f>
        <v>#N/A</v>
      </c>
      <c r="ET74" s="32">
        <f t="shared" ref="ET74:ET137" si="185">IF(INDEX(EN74:EQ74,ES$7),ER74,NA())</f>
        <v>0.11869369681429402</v>
      </c>
      <c r="EU74" s="45" t="str">
        <f t="shared" ref="EU74:EU137" si="186">_xlfn.SWITCH(EG74,EU$2,EU$5,EU$3,EU$6,EU$4,EU$7,"")</f>
        <v/>
      </c>
      <c r="EV7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4" s="32" t="e" cm="1">
        <f t="array" ref="EY74">IF($CR$3,INDEX(Eu_tabel_a[[#This Row],[Styrke venstre]:[Styrke tosidet]],EY$7),NA())</f>
        <v>#N/A</v>
      </c>
      <c r="EZ74" s="32" t="e">
        <f>IF(EY$3,IF(CHOOSE(EY$7,Eu_tabel_a[[#This Row],[x base]]&gt;0,Eu_tabel_a[[#This Row],[x base]]&lt;0,Eu_tabel_a[[#This Row],[x base]]=0),1,NA()),NA())</f>
        <v>#N/A</v>
      </c>
      <c r="FA74" s="32" t="e">
        <f>IF(CHOOSE(EY$7,Eu_tabel_a[[#This Row],[x base]]&gt;0,Eu_tabel_a[[#This Row],[x base]]&lt;0,Eu_tabel_a[[#This Row],[x base]]=0),Eu_tabel_a[[#This Row],[Styrke, aktiv]],NA())</f>
        <v>#N/A</v>
      </c>
      <c r="FB74" s="32" t="e">
        <f>IFERROR(IF($EY$3,Eu_tabel_a[[#This Row],[Styrke, aktiv]],NA()),NA())</f>
        <v>#N/A</v>
      </c>
      <c r="FC74" s="32" t="e">
        <f>IF(ISNA(Eu_tabel_a[[#This Row],[Sand negativ
Nulhypotese afvises
Korrekt]]),NA(),IF(EY$3,1,NA()))</f>
        <v>#N/A</v>
      </c>
      <c r="FD74" s="33" t="str" cm="1">
        <f t="array" ref="FD74">IFERROR(_xlfn.SWITCH(Eu_tabel_a[[#This Row],[Indeks]],_xlfn.IFNA(FB$2,-99),FB$5,_xlfn.IFNA(FB$3,-99),FB$6,_xlfn.IFNA(FB$4,-99),FB$7,""),"")</f>
        <v/>
      </c>
      <c r="FE74" s="32">
        <f>Eu_tabel_a[[#This Row],[x base]]*SQRT(Eu_a_h0_x*(1-Eu_a_h0_x)/Eu_a_n_x)+Eu_a_h0_x</f>
        <v>0</v>
      </c>
      <c r="FJ74" s="74" t="e">
        <f t="shared" si="130"/>
        <v>#N/A</v>
      </c>
      <c r="FK74" s="82" t="e">
        <f t="shared" si="113"/>
        <v>#DIV/0!</v>
      </c>
      <c r="FL74" s="7" t="e">
        <f t="shared" si="124"/>
        <v>#DIV/0!</v>
      </c>
      <c r="FM74" t="e">
        <f t="shared" si="114"/>
        <v>#DIV/0!</v>
      </c>
      <c r="FN74" s="8" t="e">
        <f t="shared" si="115"/>
        <v>#DIV/0!</v>
      </c>
      <c r="FO74" s="8" t="e">
        <f t="shared" si="116"/>
        <v>#DIV/0!</v>
      </c>
      <c r="FP74" s="81" t="e">
        <f t="shared" si="117"/>
        <v>#DIV/0!</v>
      </c>
      <c r="FQ74" s="74" t="e">
        <f t="shared" ca="1" si="125"/>
        <v>#N/A</v>
      </c>
      <c r="FR74" s="82" t="e" vm="3">
        <f t="shared" ca="1" si="131"/>
        <v>#VALUE!</v>
      </c>
      <c r="FS74" s="7" t="e" vm="3">
        <f t="shared" ca="1" si="126"/>
        <v>#VALUE!</v>
      </c>
      <c r="FT74" t="e" vm="3">
        <f t="shared" ca="1" si="120"/>
        <v>#VALUE!</v>
      </c>
      <c r="FU74" s="8" t="e" vm="3">
        <f t="shared" ca="1" si="121"/>
        <v>#VALUE!</v>
      </c>
      <c r="FV74" s="8" t="e" vm="3">
        <f t="shared" ca="1" si="122"/>
        <v>#VALUE!</v>
      </c>
      <c r="FW74" s="81" t="e" vm="3">
        <f t="shared" ca="1" si="123"/>
        <v>#VALUE!</v>
      </c>
      <c r="FX74" s="74" t="e">
        <f t="shared" si="127"/>
        <v>#N/A</v>
      </c>
      <c r="FY74" s="82" t="e">
        <f t="shared" si="132"/>
        <v>#N/A</v>
      </c>
      <c r="FZ74" s="7" t="e">
        <f t="shared" si="128"/>
        <v>#N/A</v>
      </c>
      <c r="GA74" t="e">
        <f t="shared" si="133"/>
        <v>#N/A</v>
      </c>
      <c r="GB74" s="8" t="e">
        <f t="shared" si="134"/>
        <v>#N/A</v>
      </c>
      <c r="GC74" s="8" t="e">
        <f t="shared" si="135"/>
        <v>#N/A</v>
      </c>
      <c r="GD74" s="81" t="e">
        <f t="shared" si="136"/>
        <v>#N/A</v>
      </c>
      <c r="GE74" s="74" t="e">
        <f t="shared" si="137"/>
        <v>#N/A</v>
      </c>
      <c r="GF74" s="82" t="e">
        <f t="shared" si="138"/>
        <v>#N/A</v>
      </c>
      <c r="GG74" s="7" t="e">
        <f t="shared" si="129"/>
        <v>#N/A</v>
      </c>
      <c r="GH74" t="e">
        <f t="shared" si="139"/>
        <v>#N/A</v>
      </c>
      <c r="GI74" s="8" t="e">
        <f t="shared" si="140"/>
        <v>#N/A</v>
      </c>
      <c r="GJ74" s="8" t="e">
        <f t="shared" si="141"/>
        <v>#N/A</v>
      </c>
      <c r="GK74" s="81" t="e">
        <f t="shared" si="142"/>
        <v>#N/A</v>
      </c>
      <c r="GL74" s="81"/>
      <c r="GM74" s="81"/>
      <c r="GP74" s="32">
        <f t="shared" ref="GP74:GP137" si="187">ROW(GP74)-ROW(GP$10)</f>
        <v>64</v>
      </c>
      <c r="GQ74" s="32">
        <f t="shared" ref="GQ74:GQ137" si="188">GP74+1</f>
        <v>65</v>
      </c>
      <c r="GR74" s="32">
        <f t="shared" ref="GR74:GR137" si="189">GR$5+(GR$7-GR$5)/GR$3*GP74</f>
        <v>-1.5570937976814563</v>
      </c>
      <c r="GS74" s="32">
        <f t="shared" ref="GS74:GS137" si="190">IF(GS$3,_xlfn.NORM.DIST(GR74,GS$5,GS$7,FALSE),NA())</f>
        <v>0.11869369681429402</v>
      </c>
      <c r="GT74" s="32" t="e">
        <f t="shared" ref="GT74:GT137" si="191">IF(GT$3,_xlfn.T.DIST(GR74,GT$5,FALSE),NA())</f>
        <v>#N/A</v>
      </c>
      <c r="GU74" s="32" t="e">
        <f t="shared" ref="GU74:GU137" si="192">IF(GU$3,_xlfn.CHISQ.DIST(GR74,GU$5,FALSE),NA())</f>
        <v>#N/A</v>
      </c>
      <c r="GV74" s="32" t="e">
        <f t="shared" ref="GV74:GV137" si="193">IF(GV$3,_xlfn.F.DIST(GR74,GV$5,GV$7,FALSE),NA())</f>
        <v>#N/A</v>
      </c>
      <c r="GW74" s="32" t="b">
        <f t="shared" ref="GW74:GW137" si="194">GR74&lt;GW$3</f>
        <v>0</v>
      </c>
      <c r="GX74" s="32" t="b">
        <f t="shared" ref="GX74:GX137" si="195">GR74&gt;GW$3</f>
        <v>1</v>
      </c>
      <c r="GY74" s="32" t="b">
        <f t="shared" ref="GY74:GY137" si="196">OR(GR74&lt;GY$3,GR74&gt;GY$5)</f>
        <v>0</v>
      </c>
      <c r="GZ74" s="32" t="b">
        <f t="shared" ref="GZ74:GZ137" si="197">AND(GR74&gt;GY$3,GR74&lt;GY$5)</f>
        <v>1</v>
      </c>
      <c r="HA74" s="32">
        <f t="shared" ref="HA74:HA137" si="198">_xlfn.AGGREGATE(9,6,GS74:GV74)</f>
        <v>0.11869369681429402</v>
      </c>
      <c r="HB74" s="32" t="e">
        <f t="shared" ref="HB74:HB137" si="199">IF(INDEX(GW74:GZ74,HA$7),HA74,NA())</f>
        <v>#N/A</v>
      </c>
      <c r="HC74" s="32">
        <f t="shared" ref="HC74:HC137" si="200">IF(INDEX(GW74:GZ74,HB$7),HA74,NA())</f>
        <v>0.11869369681429402</v>
      </c>
      <c r="HD74" s="45" t="str">
        <f t="shared" ref="HD74:HD137" si="201">_xlfn.SWITCH(GP74,HD$2,HD$5,HD$3,HD$6,HD$4,HD$7,"")</f>
        <v/>
      </c>
      <c r="HJ74" s="32">
        <f t="shared" ref="HJ74:HJ137" si="202">ROW(HJ74)-ROW(HJ$10)</f>
        <v>64</v>
      </c>
      <c r="HK74" s="32">
        <f t="shared" ref="HK74:HK137" si="203">HJ74+1</f>
        <v>65</v>
      </c>
      <c r="HL74" s="32">
        <f t="shared" ref="HL74:HL137" si="204">HL$5+(HL$7-HL$5)/HL$3*HJ74</f>
        <v>-2.4111924485386949</v>
      </c>
      <c r="HM74" s="32" t="e">
        <f t="shared" ref="HM74:HM137" si="205">IF(HM$3,_xlfn.NORM.DIST(HL74,HM$5,HM$7,FALSE),NA())</f>
        <v>#N/A</v>
      </c>
      <c r="HN74" s="32">
        <f t="shared" ref="HN74:HN137" si="206">IF(HN$3,_xlfn.T.DIST(HL74,HN$5,FALSE),NA())</f>
        <v>3.428663268349693E-2</v>
      </c>
      <c r="HO74" s="32" t="e">
        <f t="shared" ref="HO74:HO137" si="207">IF(HO$3,_xlfn.CHISQ.DIST(HL74,HO$5,FALSE),NA())</f>
        <v>#N/A</v>
      </c>
      <c r="HP74" s="32" t="e">
        <f t="shared" ref="HP74:HP137" si="208">IF(HP$3,_xlfn.F.DIST(HL74,HP$5,HP$7,FALSE),NA())</f>
        <v>#N/A</v>
      </c>
      <c r="HQ74" s="32" t="b">
        <f t="shared" ref="HQ74:HQ137" si="209">HL74&lt;HQ$3</f>
        <v>1</v>
      </c>
      <c r="HR74" s="32" t="b">
        <f t="shared" ref="HR74:HR137" si="210">HL74&gt;HQ$3</f>
        <v>0</v>
      </c>
      <c r="HS74" s="32" t="b">
        <f t="shared" ref="HS74:HS137" si="211">OR(HL74&lt;HS$3,HL74&gt;HS$5)</f>
        <v>1</v>
      </c>
      <c r="HT74" s="32" t="b">
        <f t="shared" ref="HT74:HT137" si="212">AND(HL74&gt;HS$3,HL74&lt;HS$5)</f>
        <v>0</v>
      </c>
      <c r="HU74" s="32">
        <f t="shared" ref="HU74:HU137" si="213">_xlfn.AGGREGATE(9,6,HM74:HP74)</f>
        <v>3.428663268349693E-2</v>
      </c>
      <c r="HV74" s="32">
        <f t="shared" ref="HV74:HV137" si="214">IF(INDEX(HQ74:HT74,HU$7),HU74,NA())</f>
        <v>3.428663268349693E-2</v>
      </c>
      <c r="HW74" s="32" t="e">
        <f t="shared" ref="HW74:HW137" si="215">IF(INDEX(HQ74:HT74,HV$7),HU74,NA())</f>
        <v>#N/A</v>
      </c>
      <c r="HX74" s="45" t="str">
        <f t="shared" ref="HX74:HX137" si="216">_xlfn.SWITCH(HJ74,HX$2,HX$5,HX$3,HX$6,HX$4,HX$7,"")</f>
        <v/>
      </c>
    </row>
    <row r="75" spans="1:232" x14ac:dyDescent="0.2">
      <c r="BZ75" s="32">
        <f t="shared" si="143"/>
        <v>65</v>
      </c>
      <c r="CA75" s="32">
        <f>Eu_tabel_g[[#This Row],[Indeks]]+1</f>
        <v>66</v>
      </c>
      <c r="CB75" s="32">
        <f t="shared" si="144"/>
        <v>-1.5331385084863569</v>
      </c>
      <c r="CC75" s="32">
        <f t="shared" si="145"/>
        <v>0.12316930873768142</v>
      </c>
      <c r="CD75" s="32" t="e">
        <f t="shared" si="146"/>
        <v>#N/A</v>
      </c>
      <c r="CE75" s="32" t="e">
        <f t="shared" si="147"/>
        <v>#N/A</v>
      </c>
      <c r="CF75" s="32" t="e">
        <f t="shared" si="148"/>
        <v>#N/A</v>
      </c>
      <c r="CG75" s="32" t="b">
        <f t="shared" si="149"/>
        <v>0</v>
      </c>
      <c r="CH75" s="32" t="b">
        <f t="shared" si="150"/>
        <v>1</v>
      </c>
      <c r="CI75" s="32" t="b">
        <f t="shared" si="151"/>
        <v>0</v>
      </c>
      <c r="CJ75" s="32" t="b">
        <f t="shared" si="152"/>
        <v>1</v>
      </c>
      <c r="CK75" s="32">
        <f t="shared" si="119"/>
        <v>0.12316930873768142</v>
      </c>
      <c r="CL75" s="32" t="e">
        <f t="shared" si="153"/>
        <v>#N/A</v>
      </c>
      <c r="CM75" s="32">
        <f t="shared" si="154"/>
        <v>0.12316930873768142</v>
      </c>
      <c r="CN75" s="45" t="str">
        <f t="shared" si="155"/>
        <v/>
      </c>
      <c r="CO75" s="32">
        <f>_xlfn.NORM.DIST(_xlfn.NORM.INV(1-Eu_g_konfidensniveau,0,1)-Eu_tabel_g[[#This Row],[x base]],0,1,TRUE)</f>
        <v>0.45552464578503599</v>
      </c>
      <c r="CP75" s="32">
        <f>1-_xlfn.NORM.DIST(_xlfn.NORM.INV(Eu_g_konfidensniveau,0,1)-Eu_tabel_g[[#This Row],[x base]],0,1,TRUE)</f>
        <v>7.4149386699196018E-4</v>
      </c>
      <c r="CQ75" s="32">
        <f>_xlfn.NORM.DIST(_xlfn.NORM.INV((1-Eu_g_konfidensniveau)/2,0,1)-Eu_tabel_g[[#This Row],[x base]],0,1,TRUE)+1-_xlfn.NORM.DIST(_xlfn.NORM.INV(1-(1-Eu_g_konfidensniveau)/2,0,1)-Eu_tabel_g[[#This Row],[x base]],0,1,TRUE)</f>
        <v>0.33499194621031891</v>
      </c>
      <c r="CR75" s="32" t="e" cm="1">
        <f t="array" ref="CR75">IF($CR$3,INDEX(Eu_tabel_g[[#This Row],[Styrke venstre]:[Styrke tosidet]],CR$7),NA())</f>
        <v>#N/A</v>
      </c>
      <c r="CS75" s="52" t="e">
        <f>Eu_tabel_g[[#This Row],[Falsk positiv
Nulhypotese accepteres
Fejltype 1]]</f>
        <v>#N/A</v>
      </c>
      <c r="CT75" s="52" t="e">
        <f>IF(CHOOSE(CR$7,Eu_tabel_g[[#This Row],[x base]]&gt;0,Eu_tabel_g[[#This Row],[x base]]&lt;0,Eu_tabel_g[[#This Row],[x base]]=0),Eu_tabel_g[[#This Row],[Styrke, aktiv]],NA())</f>
        <v>#N/A</v>
      </c>
      <c r="CU75" s="52" t="e">
        <f>IFERROR(IF($CR$3,Eu_tabel_g[[#This Row],[Styrke, aktiv]],NA()),NA())</f>
        <v>#N/A</v>
      </c>
      <c r="CV75" s="52" t="e">
        <f>IF(ISNA(Eu_tabel_g[[#This Row],[Sand negativ
Nulhypotese afvises
Korrekt]]),NA(),IF($CR$3,1,NA()))</f>
        <v>#N/A</v>
      </c>
      <c r="CW75" s="34" t="str" cm="1">
        <f t="array" ref="CW75">_xlfn.SWITCH(BZ75,_xlfn.IFNA(CU$2,-99),CU$5,_xlfn.IFNA(CU$3,-99),CU$6,_xlfn.IFNA(CU$4,-99),CU$7,"")</f>
        <v/>
      </c>
      <c r="DA75" s="7">
        <f t="shared" si="156"/>
        <v>0.8</v>
      </c>
      <c r="DB75">
        <f>IF(ROW(Styrkeberegning_G[[#This Row],[X base venstre]])=ROW(Styrkeberegning_G[[#Headers],[X base venstre]])+1,DB$7/(DA$7/$B$67),DB74/(DA74/$B$67))</f>
        <v>-2.8015817870135784</v>
      </c>
      <c r="DC75">
        <f>Styrkeberegning_G[[#This Row],[X base venstre]]*-1</f>
        <v>2.8015817870135784</v>
      </c>
      <c r="DN75" s="32">
        <f t="shared" si="157"/>
        <v>65</v>
      </c>
      <c r="DO75" s="32">
        <f t="shared" si="158"/>
        <v>66</v>
      </c>
      <c r="DP75" s="32">
        <f t="shared" si="159"/>
        <v>9.248458331758755</v>
      </c>
      <c r="DQ75" s="32" t="e">
        <f t="shared" si="160"/>
        <v>#N/A</v>
      </c>
      <c r="DR75" s="32" t="e">
        <f t="shared" si="161"/>
        <v>#N/A</v>
      </c>
      <c r="DS75" s="32">
        <f t="shared" si="162"/>
        <v>9.2153767802551093E-2</v>
      </c>
      <c r="DT75" s="32" t="e">
        <f t="shared" si="163"/>
        <v>#N/A</v>
      </c>
      <c r="DU75" s="32" t="b">
        <f t="shared" si="164"/>
        <v>0</v>
      </c>
      <c r="DV75" s="32" t="b">
        <f t="shared" si="165"/>
        <v>1</v>
      </c>
      <c r="DW75" s="32" t="b">
        <f t="shared" si="166"/>
        <v>0</v>
      </c>
      <c r="DX75" s="32" t="b">
        <f t="shared" si="167"/>
        <v>1</v>
      </c>
      <c r="DY75" s="32">
        <f t="shared" si="168"/>
        <v>9.2153767802551093E-2</v>
      </c>
      <c r="DZ75" s="32" t="e">
        <f t="shared" si="169"/>
        <v>#N/A</v>
      </c>
      <c r="EA75" s="32">
        <f t="shared" si="170"/>
        <v>9.2153767802551093E-2</v>
      </c>
      <c r="EB75" s="45" t="str">
        <f t="shared" si="171"/>
        <v/>
      </c>
      <c r="EG75" s="32">
        <f t="shared" si="172"/>
        <v>65</v>
      </c>
      <c r="EH75" s="32">
        <f t="shared" si="173"/>
        <v>66</v>
      </c>
      <c r="EI75" s="32">
        <f t="shared" si="174"/>
        <v>-1.5331385084863569</v>
      </c>
      <c r="EJ75" s="32">
        <f t="shared" si="175"/>
        <v>0.12316930873768142</v>
      </c>
      <c r="EK75" s="32" t="e">
        <f t="shared" si="176"/>
        <v>#N/A</v>
      </c>
      <c r="EL75" s="32" t="e">
        <f t="shared" si="177"/>
        <v>#N/A</v>
      </c>
      <c r="EM75" s="32" t="e">
        <f t="shared" si="178"/>
        <v>#N/A</v>
      </c>
      <c r="EN75" s="32" t="b">
        <f t="shared" si="179"/>
        <v>0</v>
      </c>
      <c r="EO75" s="32" t="b">
        <f t="shared" si="180"/>
        <v>1</v>
      </c>
      <c r="EP75" s="32" t="b">
        <f t="shared" si="181"/>
        <v>0</v>
      </c>
      <c r="EQ75" s="32" t="b">
        <f t="shared" si="182"/>
        <v>1</v>
      </c>
      <c r="ER75" s="32">
        <f t="shared" si="183"/>
        <v>0.12316930873768142</v>
      </c>
      <c r="ES75" s="32" t="e">
        <f t="shared" si="184"/>
        <v>#N/A</v>
      </c>
      <c r="ET75" s="32">
        <f t="shared" si="185"/>
        <v>0.12316930873768142</v>
      </c>
      <c r="EU75" s="45" t="str">
        <f t="shared" si="186"/>
        <v/>
      </c>
      <c r="EV7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5" s="32" t="e" cm="1">
        <f t="array" ref="EY75">IF($CR$3,INDEX(Eu_tabel_a[[#This Row],[Styrke venstre]:[Styrke tosidet]],EY$7),NA())</f>
        <v>#N/A</v>
      </c>
      <c r="EZ75" s="32" t="e">
        <f>IF(EY$3,IF(CHOOSE(EY$7,Eu_tabel_a[[#This Row],[x base]]&gt;0,Eu_tabel_a[[#This Row],[x base]]&lt;0,Eu_tabel_a[[#This Row],[x base]]=0),1,NA()),NA())</f>
        <v>#N/A</v>
      </c>
      <c r="FA75" s="32" t="e">
        <f>IF(CHOOSE(EY$7,Eu_tabel_a[[#This Row],[x base]]&gt;0,Eu_tabel_a[[#This Row],[x base]]&lt;0,Eu_tabel_a[[#This Row],[x base]]=0),Eu_tabel_a[[#This Row],[Styrke, aktiv]],NA())</f>
        <v>#N/A</v>
      </c>
      <c r="FB75" s="32" t="e">
        <f>IFERROR(IF($EY$3,Eu_tabel_a[[#This Row],[Styrke, aktiv]],NA()),NA())</f>
        <v>#N/A</v>
      </c>
      <c r="FC75" s="32" t="e">
        <f>IF(ISNA(Eu_tabel_a[[#This Row],[Sand negativ
Nulhypotese afvises
Korrekt]]),NA(),IF(EY$3,1,NA()))</f>
        <v>#N/A</v>
      </c>
      <c r="FD75" s="33" t="str" cm="1">
        <f t="array" ref="FD75">IFERROR(_xlfn.SWITCH(Eu_tabel_a[[#This Row],[Indeks]],_xlfn.IFNA(FB$2,-99),FB$5,_xlfn.IFNA(FB$3,-99),FB$6,_xlfn.IFNA(FB$4,-99),FB$7,""),"")</f>
        <v/>
      </c>
      <c r="FE75" s="32">
        <f>Eu_tabel_a[[#This Row],[x base]]*SQRT(Eu_a_h0_x*(1-Eu_a_h0_x)/Eu_a_n_x)+Eu_a_h0_x</f>
        <v>0</v>
      </c>
      <c r="FJ75" s="74" t="e">
        <f t="shared" si="130"/>
        <v>#N/A</v>
      </c>
      <c r="FK75" s="82" t="e">
        <f t="shared" si="113"/>
        <v>#DIV/0!</v>
      </c>
      <c r="FL75" s="7" t="e">
        <f t="shared" si="124"/>
        <v>#DIV/0!</v>
      </c>
      <c r="FM75" t="e">
        <f t="shared" si="114"/>
        <v>#DIV/0!</v>
      </c>
      <c r="FN75" s="8" t="e">
        <f t="shared" si="115"/>
        <v>#DIV/0!</v>
      </c>
      <c r="FO75" s="8" t="e">
        <f t="shared" si="116"/>
        <v>#DIV/0!</v>
      </c>
      <c r="FP75" s="81" t="e">
        <f t="shared" si="117"/>
        <v>#DIV/0!</v>
      </c>
      <c r="FQ75" s="74" t="e">
        <f t="shared" ca="1" si="125"/>
        <v>#N/A</v>
      </c>
      <c r="FR75" s="82" t="e" vm="3">
        <f t="shared" ca="1" si="131"/>
        <v>#VALUE!</v>
      </c>
      <c r="FS75" s="7" t="e" vm="3">
        <f t="shared" ca="1" si="126"/>
        <v>#VALUE!</v>
      </c>
      <c r="FT75" t="e" vm="3">
        <f t="shared" ca="1" si="120"/>
        <v>#VALUE!</v>
      </c>
      <c r="FU75" s="8" t="e" vm="3">
        <f t="shared" ca="1" si="121"/>
        <v>#VALUE!</v>
      </c>
      <c r="FV75" s="8" t="e" vm="3">
        <f t="shared" ca="1" si="122"/>
        <v>#VALUE!</v>
      </c>
      <c r="FW75" s="81" t="e" vm="3">
        <f t="shared" ca="1" si="123"/>
        <v>#VALUE!</v>
      </c>
      <c r="FX75" s="74" t="e">
        <f t="shared" si="127"/>
        <v>#N/A</v>
      </c>
      <c r="FY75" s="82" t="e">
        <f t="shared" si="132"/>
        <v>#N/A</v>
      </c>
      <c r="FZ75" s="7" t="e">
        <f t="shared" si="128"/>
        <v>#N/A</v>
      </c>
      <c r="GA75" t="e">
        <f t="shared" si="133"/>
        <v>#N/A</v>
      </c>
      <c r="GB75" s="8" t="e">
        <f t="shared" si="134"/>
        <v>#N/A</v>
      </c>
      <c r="GC75" s="8" t="e">
        <f t="shared" si="135"/>
        <v>#N/A</v>
      </c>
      <c r="GD75" s="81" t="e">
        <f t="shared" si="136"/>
        <v>#N/A</v>
      </c>
      <c r="GE75" s="74" t="e">
        <f t="shared" si="137"/>
        <v>#N/A</v>
      </c>
      <c r="GF75" s="82" t="e">
        <f t="shared" si="138"/>
        <v>#N/A</v>
      </c>
      <c r="GG75" s="7" t="e">
        <f t="shared" si="129"/>
        <v>#N/A</v>
      </c>
      <c r="GH75" t="e">
        <f t="shared" si="139"/>
        <v>#N/A</v>
      </c>
      <c r="GI75" s="8" t="e">
        <f t="shared" si="140"/>
        <v>#N/A</v>
      </c>
      <c r="GJ75" s="8" t="e">
        <f t="shared" si="141"/>
        <v>#N/A</v>
      </c>
      <c r="GK75" s="81" t="e">
        <f t="shared" si="142"/>
        <v>#N/A</v>
      </c>
      <c r="GL75" s="81"/>
      <c r="GM75" s="81"/>
      <c r="GP75" s="32">
        <f t="shared" si="187"/>
        <v>65</v>
      </c>
      <c r="GQ75" s="32">
        <f t="shared" si="188"/>
        <v>66</v>
      </c>
      <c r="GR75" s="32">
        <f t="shared" si="189"/>
        <v>-1.5331385084863569</v>
      </c>
      <c r="GS75" s="32">
        <f t="shared" si="190"/>
        <v>0.12316930873768142</v>
      </c>
      <c r="GT75" s="32" t="e">
        <f t="shared" si="191"/>
        <v>#N/A</v>
      </c>
      <c r="GU75" s="32" t="e">
        <f t="shared" si="192"/>
        <v>#N/A</v>
      </c>
      <c r="GV75" s="32" t="e">
        <f t="shared" si="193"/>
        <v>#N/A</v>
      </c>
      <c r="GW75" s="32" t="b">
        <f t="shared" si="194"/>
        <v>0</v>
      </c>
      <c r="GX75" s="32" t="b">
        <f t="shared" si="195"/>
        <v>1</v>
      </c>
      <c r="GY75" s="32" t="b">
        <f t="shared" si="196"/>
        <v>0</v>
      </c>
      <c r="GZ75" s="32" t="b">
        <f t="shared" si="197"/>
        <v>1</v>
      </c>
      <c r="HA75" s="32">
        <f t="shared" si="198"/>
        <v>0.12316930873768142</v>
      </c>
      <c r="HB75" s="32" t="e">
        <f t="shared" si="199"/>
        <v>#N/A</v>
      </c>
      <c r="HC75" s="32">
        <f t="shared" si="200"/>
        <v>0.12316930873768142</v>
      </c>
      <c r="HD75" s="45" t="str">
        <f t="shared" si="201"/>
        <v/>
      </c>
      <c r="HJ75" s="32">
        <f t="shared" si="202"/>
        <v>65</v>
      </c>
      <c r="HK75" s="32">
        <f t="shared" si="203"/>
        <v>66</v>
      </c>
      <c r="HL75" s="32">
        <f t="shared" si="204"/>
        <v>-2.3740971800996382</v>
      </c>
      <c r="HM75" s="32" t="e">
        <f t="shared" si="205"/>
        <v>#N/A</v>
      </c>
      <c r="HN75" s="32">
        <f t="shared" si="206"/>
        <v>3.6254205263453354E-2</v>
      </c>
      <c r="HO75" s="32" t="e">
        <f t="shared" si="207"/>
        <v>#N/A</v>
      </c>
      <c r="HP75" s="32" t="e">
        <f t="shared" si="208"/>
        <v>#N/A</v>
      </c>
      <c r="HQ75" s="32" t="b">
        <f t="shared" si="209"/>
        <v>1</v>
      </c>
      <c r="HR75" s="32" t="b">
        <f t="shared" si="210"/>
        <v>0</v>
      </c>
      <c r="HS75" s="32" t="b">
        <f t="shared" si="211"/>
        <v>1</v>
      </c>
      <c r="HT75" s="32" t="b">
        <f t="shared" si="212"/>
        <v>0</v>
      </c>
      <c r="HU75" s="32">
        <f t="shared" si="213"/>
        <v>3.6254205263453354E-2</v>
      </c>
      <c r="HV75" s="32">
        <f t="shared" si="214"/>
        <v>3.6254205263453354E-2</v>
      </c>
      <c r="HW75" s="32" t="e">
        <f t="shared" si="215"/>
        <v>#N/A</v>
      </c>
      <c r="HX75" s="45" t="str">
        <f t="shared" si="216"/>
        <v/>
      </c>
    </row>
    <row r="76" spans="1:232" x14ac:dyDescent="0.2">
      <c r="BZ76" s="32">
        <f t="shared" si="143"/>
        <v>66</v>
      </c>
      <c r="CA76" s="32">
        <f>Eu_tabel_g[[#This Row],[Indeks]]+1</f>
        <v>67</v>
      </c>
      <c r="CB76" s="32">
        <f t="shared" si="144"/>
        <v>-1.5091832192912575</v>
      </c>
      <c r="CC76" s="32">
        <f t="shared" si="145"/>
        <v>0.12774035804918907</v>
      </c>
      <c r="CD76" s="32" t="e">
        <f t="shared" si="146"/>
        <v>#N/A</v>
      </c>
      <c r="CE76" s="32" t="e">
        <f t="shared" si="147"/>
        <v>#N/A</v>
      </c>
      <c r="CF76" s="32" t="e">
        <f t="shared" si="148"/>
        <v>#N/A</v>
      </c>
      <c r="CG76" s="32" t="b">
        <f t="shared" si="149"/>
        <v>0</v>
      </c>
      <c r="CH76" s="32" t="b">
        <f t="shared" si="150"/>
        <v>1</v>
      </c>
      <c r="CI76" s="32" t="b">
        <f t="shared" si="151"/>
        <v>0</v>
      </c>
      <c r="CJ76" s="32" t="b">
        <f t="shared" si="152"/>
        <v>1</v>
      </c>
      <c r="CK76" s="32">
        <f t="shared" si="119"/>
        <v>0.12774035804918907</v>
      </c>
      <c r="CL76" s="32" t="e">
        <f t="shared" si="153"/>
        <v>#N/A</v>
      </c>
      <c r="CM76" s="32">
        <f t="shared" si="154"/>
        <v>0.12774035804918907</v>
      </c>
      <c r="CN76" s="45" t="str">
        <f t="shared" si="155"/>
        <v/>
      </c>
      <c r="CO76" s="32">
        <f>_xlfn.NORM.DIST(_xlfn.NORM.INV(1-Eu_g_konfidensniveau,0,1)-Eu_tabel_g[[#This Row],[x base]],0,1,TRUE)</f>
        <v>0.4460409213210163</v>
      </c>
      <c r="CP76" s="32">
        <f>1-_xlfn.NORM.DIST(_xlfn.NORM.INV(Eu_g_konfidensniveau,0,1)-Eu_tabel_g[[#This Row],[x base]],0,1,TRUE)</f>
        <v>8.0514376711926516E-4</v>
      </c>
      <c r="CQ76" s="32">
        <f>_xlfn.NORM.DIST(_xlfn.NORM.INV((1-Eu_g_konfidensniveau)/2,0,1)-Eu_tabel_g[[#This Row],[x base]],0,1,TRUE)+1-_xlfn.NORM.DIST(_xlfn.NORM.INV(1-(1-Eu_g_konfidensniveau)/2,0,1)-Eu_tabel_g[[#This Row],[x base]],0,1,TRUE)</f>
        <v>0.32633483948430808</v>
      </c>
      <c r="CR76" s="32" t="e" cm="1">
        <f t="array" ref="CR76">IF($CR$3,INDEX(Eu_tabel_g[[#This Row],[Styrke venstre]:[Styrke tosidet]],CR$7),NA())</f>
        <v>#N/A</v>
      </c>
      <c r="CS76" s="52" t="e">
        <f>Eu_tabel_g[[#This Row],[Falsk positiv
Nulhypotese accepteres
Fejltype 1]]</f>
        <v>#N/A</v>
      </c>
      <c r="CT76" s="52" t="e">
        <f>IF(CHOOSE(CR$7,Eu_tabel_g[[#This Row],[x base]]&gt;0,Eu_tabel_g[[#This Row],[x base]]&lt;0,Eu_tabel_g[[#This Row],[x base]]=0),Eu_tabel_g[[#This Row],[Styrke, aktiv]],NA())</f>
        <v>#N/A</v>
      </c>
      <c r="CU76" s="52" t="e">
        <f>IFERROR(IF($CR$3,Eu_tabel_g[[#This Row],[Styrke, aktiv]],NA()),NA())</f>
        <v>#N/A</v>
      </c>
      <c r="CV76" s="52" t="e">
        <f>IF(ISNA(Eu_tabel_g[[#This Row],[Sand negativ
Nulhypotese afvises
Korrekt]]),NA(),IF($CR$3,1,NA()))</f>
        <v>#N/A</v>
      </c>
      <c r="CW76" s="34" t="str" cm="1">
        <f t="array" ref="CW76">_xlfn.SWITCH(BZ76,_xlfn.IFNA(CU$2,-99),CU$5,_xlfn.IFNA(CU$3,-99),CU$6,_xlfn.IFNA(CU$4,-99),CU$7,"")</f>
        <v/>
      </c>
      <c r="DA76" s="7">
        <f t="shared" si="156"/>
        <v>0.8</v>
      </c>
      <c r="DB76">
        <f>IF(ROW(Styrkeberegning_G[[#This Row],[X base venstre]])=ROW(Styrkeberegning_G[[#Headers],[X base venstre]])+1,DB$7/(DA$7/$B$67),DB75/(DA75/$B$67))</f>
        <v>-2.8015817870135784</v>
      </c>
      <c r="DC76">
        <f>Styrkeberegning_G[[#This Row],[X base venstre]]*-1</f>
        <v>2.8015817870135784</v>
      </c>
      <c r="DN76" s="32">
        <f t="shared" si="157"/>
        <v>66</v>
      </c>
      <c r="DO76" s="32">
        <f t="shared" si="158"/>
        <v>67</v>
      </c>
      <c r="DP76" s="32">
        <f t="shared" si="159"/>
        <v>9.3625291881757562</v>
      </c>
      <c r="DQ76" s="32" t="e">
        <f t="shared" si="160"/>
        <v>#N/A</v>
      </c>
      <c r="DR76" s="32" t="e">
        <f t="shared" si="161"/>
        <v>#N/A</v>
      </c>
      <c r="DS76" s="32">
        <f t="shared" si="162"/>
        <v>9.198144049966174E-2</v>
      </c>
      <c r="DT76" s="32" t="e">
        <f t="shared" si="163"/>
        <v>#N/A</v>
      </c>
      <c r="DU76" s="32" t="b">
        <f t="shared" si="164"/>
        <v>0</v>
      </c>
      <c r="DV76" s="32" t="b">
        <f t="shared" si="165"/>
        <v>1</v>
      </c>
      <c r="DW76" s="32" t="b">
        <f t="shared" si="166"/>
        <v>0</v>
      </c>
      <c r="DX76" s="32" t="b">
        <f t="shared" si="167"/>
        <v>1</v>
      </c>
      <c r="DY76" s="32">
        <f t="shared" si="168"/>
        <v>9.198144049966174E-2</v>
      </c>
      <c r="DZ76" s="32" t="e">
        <f t="shared" si="169"/>
        <v>#N/A</v>
      </c>
      <c r="EA76" s="32">
        <f t="shared" si="170"/>
        <v>9.198144049966174E-2</v>
      </c>
      <c r="EB76" s="45" t="str">
        <f t="shared" si="171"/>
        <v/>
      </c>
      <c r="EG76" s="32">
        <f t="shared" si="172"/>
        <v>66</v>
      </c>
      <c r="EH76" s="32">
        <f t="shared" si="173"/>
        <v>67</v>
      </c>
      <c r="EI76" s="32">
        <f t="shared" si="174"/>
        <v>-1.5091832192912575</v>
      </c>
      <c r="EJ76" s="32">
        <f t="shared" si="175"/>
        <v>0.12774035804918907</v>
      </c>
      <c r="EK76" s="32" t="e">
        <f t="shared" si="176"/>
        <v>#N/A</v>
      </c>
      <c r="EL76" s="32" t="e">
        <f t="shared" si="177"/>
        <v>#N/A</v>
      </c>
      <c r="EM76" s="32" t="e">
        <f t="shared" si="178"/>
        <v>#N/A</v>
      </c>
      <c r="EN76" s="32" t="b">
        <f t="shared" si="179"/>
        <v>0</v>
      </c>
      <c r="EO76" s="32" t="b">
        <f t="shared" si="180"/>
        <v>1</v>
      </c>
      <c r="EP76" s="32" t="b">
        <f t="shared" si="181"/>
        <v>0</v>
      </c>
      <c r="EQ76" s="32" t="b">
        <f t="shared" si="182"/>
        <v>1</v>
      </c>
      <c r="ER76" s="32">
        <f t="shared" si="183"/>
        <v>0.12774035804918907</v>
      </c>
      <c r="ES76" s="32" t="e">
        <f t="shared" si="184"/>
        <v>#N/A</v>
      </c>
      <c r="ET76" s="32">
        <f t="shared" si="185"/>
        <v>0.12774035804918907</v>
      </c>
      <c r="EU76" s="45" t="str">
        <f t="shared" si="186"/>
        <v/>
      </c>
      <c r="EV7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6" s="32" t="e" cm="1">
        <f t="array" ref="EY76">IF($CR$3,INDEX(Eu_tabel_a[[#This Row],[Styrke venstre]:[Styrke tosidet]],EY$7),NA())</f>
        <v>#N/A</v>
      </c>
      <c r="EZ76" s="32" t="e">
        <f>IF(EY$3,IF(CHOOSE(EY$7,Eu_tabel_a[[#This Row],[x base]]&gt;0,Eu_tabel_a[[#This Row],[x base]]&lt;0,Eu_tabel_a[[#This Row],[x base]]=0),1,NA()),NA())</f>
        <v>#N/A</v>
      </c>
      <c r="FA76" s="32" t="e">
        <f>IF(CHOOSE(EY$7,Eu_tabel_a[[#This Row],[x base]]&gt;0,Eu_tabel_a[[#This Row],[x base]]&lt;0,Eu_tabel_a[[#This Row],[x base]]=0),Eu_tabel_a[[#This Row],[Styrke, aktiv]],NA())</f>
        <v>#N/A</v>
      </c>
      <c r="FB76" s="32" t="e">
        <f>IFERROR(IF($EY$3,Eu_tabel_a[[#This Row],[Styrke, aktiv]],NA()),NA())</f>
        <v>#N/A</v>
      </c>
      <c r="FC76" s="32" t="e">
        <f>IF(ISNA(Eu_tabel_a[[#This Row],[Sand negativ
Nulhypotese afvises
Korrekt]]),NA(),IF(EY$3,1,NA()))</f>
        <v>#N/A</v>
      </c>
      <c r="FD76" s="33" t="str" cm="1">
        <f t="array" ref="FD76">IFERROR(_xlfn.SWITCH(Eu_tabel_a[[#This Row],[Indeks]],_xlfn.IFNA(FB$2,-99),FB$5,_xlfn.IFNA(FB$3,-99),FB$6,_xlfn.IFNA(FB$4,-99),FB$7,""),"")</f>
        <v/>
      </c>
      <c r="FE76" s="32">
        <f>Eu_tabel_a[[#This Row],[x base]]*SQRT(Eu_a_h0_x*(1-Eu_a_h0_x)/Eu_a_n_x)+Eu_a_h0_x</f>
        <v>0</v>
      </c>
      <c r="FJ76" s="74" t="e">
        <f t="shared" si="130"/>
        <v>#N/A</v>
      </c>
      <c r="FK76" s="82" t="e">
        <f t="shared" si="113"/>
        <v>#DIV/0!</v>
      </c>
      <c r="FL76" s="7" t="e">
        <f t="shared" si="124"/>
        <v>#DIV/0!</v>
      </c>
      <c r="FM76" t="e">
        <f t="shared" si="114"/>
        <v>#DIV/0!</v>
      </c>
      <c r="FN76" s="8" t="e">
        <f t="shared" si="115"/>
        <v>#DIV/0!</v>
      </c>
      <c r="FO76" s="8" t="e">
        <f t="shared" si="116"/>
        <v>#DIV/0!</v>
      </c>
      <c r="FP76" s="81" t="e">
        <f t="shared" si="117"/>
        <v>#DIV/0!</v>
      </c>
      <c r="FQ76" s="74" t="e">
        <f t="shared" ca="1" si="125"/>
        <v>#N/A</v>
      </c>
      <c r="FR76" s="82" t="e" vm="3">
        <f t="shared" ca="1" si="131"/>
        <v>#VALUE!</v>
      </c>
      <c r="FS76" s="7" t="e" vm="3">
        <f t="shared" ca="1" si="126"/>
        <v>#VALUE!</v>
      </c>
      <c r="FT76" t="e" vm="3">
        <f t="shared" ca="1" si="120"/>
        <v>#VALUE!</v>
      </c>
      <c r="FU76" s="8" t="e" vm="3">
        <f t="shared" ca="1" si="121"/>
        <v>#VALUE!</v>
      </c>
      <c r="FV76" s="8" t="e" vm="3">
        <f t="shared" ca="1" si="122"/>
        <v>#VALUE!</v>
      </c>
      <c r="FW76" s="81" t="e" vm="3">
        <f t="shared" ca="1" si="123"/>
        <v>#VALUE!</v>
      </c>
      <c r="FX76" s="74" t="e">
        <f t="shared" si="127"/>
        <v>#N/A</v>
      </c>
      <c r="FY76" s="82" t="e">
        <f t="shared" si="132"/>
        <v>#N/A</v>
      </c>
      <c r="FZ76" s="7" t="e">
        <f t="shared" si="128"/>
        <v>#N/A</v>
      </c>
      <c r="GA76" t="e">
        <f t="shared" si="133"/>
        <v>#N/A</v>
      </c>
      <c r="GB76" s="8" t="e">
        <f t="shared" si="134"/>
        <v>#N/A</v>
      </c>
      <c r="GC76" s="8" t="e">
        <f t="shared" si="135"/>
        <v>#N/A</v>
      </c>
      <c r="GD76" s="81" t="e">
        <f t="shared" si="136"/>
        <v>#N/A</v>
      </c>
      <c r="GE76" s="74" t="e">
        <f t="shared" si="137"/>
        <v>#N/A</v>
      </c>
      <c r="GF76" s="82" t="e">
        <f t="shared" si="138"/>
        <v>#N/A</v>
      </c>
      <c r="GG76" s="7" t="e">
        <f t="shared" si="129"/>
        <v>#N/A</v>
      </c>
      <c r="GH76" t="e">
        <f t="shared" si="139"/>
        <v>#N/A</v>
      </c>
      <c r="GI76" s="8" t="e">
        <f t="shared" si="140"/>
        <v>#N/A</v>
      </c>
      <c r="GJ76" s="8" t="e">
        <f t="shared" si="141"/>
        <v>#N/A</v>
      </c>
      <c r="GK76" s="81" t="e">
        <f t="shared" si="142"/>
        <v>#N/A</v>
      </c>
      <c r="GL76" s="81"/>
      <c r="GM76" s="81"/>
      <c r="GP76" s="32">
        <f t="shared" si="187"/>
        <v>66</v>
      </c>
      <c r="GQ76" s="32">
        <f t="shared" si="188"/>
        <v>67</v>
      </c>
      <c r="GR76" s="32">
        <f t="shared" si="189"/>
        <v>-1.5091832192912575</v>
      </c>
      <c r="GS76" s="32">
        <f t="shared" si="190"/>
        <v>0.12774035804918907</v>
      </c>
      <c r="GT76" s="32" t="e">
        <f t="shared" si="191"/>
        <v>#N/A</v>
      </c>
      <c r="GU76" s="32" t="e">
        <f t="shared" si="192"/>
        <v>#N/A</v>
      </c>
      <c r="GV76" s="32" t="e">
        <f t="shared" si="193"/>
        <v>#N/A</v>
      </c>
      <c r="GW76" s="32" t="b">
        <f t="shared" si="194"/>
        <v>0</v>
      </c>
      <c r="GX76" s="32" t="b">
        <f t="shared" si="195"/>
        <v>1</v>
      </c>
      <c r="GY76" s="32" t="b">
        <f t="shared" si="196"/>
        <v>0</v>
      </c>
      <c r="GZ76" s="32" t="b">
        <f t="shared" si="197"/>
        <v>1</v>
      </c>
      <c r="HA76" s="32">
        <f t="shared" si="198"/>
        <v>0.12774035804918907</v>
      </c>
      <c r="HB76" s="32" t="e">
        <f t="shared" si="199"/>
        <v>#N/A</v>
      </c>
      <c r="HC76" s="32">
        <f t="shared" si="200"/>
        <v>0.12774035804918907</v>
      </c>
      <c r="HD76" s="45" t="str">
        <f t="shared" si="201"/>
        <v/>
      </c>
      <c r="HJ76" s="32">
        <f t="shared" si="202"/>
        <v>66</v>
      </c>
      <c r="HK76" s="32">
        <f t="shared" si="203"/>
        <v>67</v>
      </c>
      <c r="HL76" s="32">
        <f t="shared" si="204"/>
        <v>-2.3370019116605811</v>
      </c>
      <c r="HM76" s="32" t="e">
        <f t="shared" si="205"/>
        <v>#N/A</v>
      </c>
      <c r="HN76" s="32">
        <f t="shared" si="206"/>
        <v>3.8331083360961797E-2</v>
      </c>
      <c r="HO76" s="32" t="e">
        <f t="shared" si="207"/>
        <v>#N/A</v>
      </c>
      <c r="HP76" s="32" t="e">
        <f t="shared" si="208"/>
        <v>#N/A</v>
      </c>
      <c r="HQ76" s="32" t="b">
        <f t="shared" si="209"/>
        <v>1</v>
      </c>
      <c r="HR76" s="32" t="b">
        <f t="shared" si="210"/>
        <v>0</v>
      </c>
      <c r="HS76" s="32" t="b">
        <f t="shared" si="211"/>
        <v>1</v>
      </c>
      <c r="HT76" s="32" t="b">
        <f t="shared" si="212"/>
        <v>0</v>
      </c>
      <c r="HU76" s="32">
        <f t="shared" si="213"/>
        <v>3.8331083360961797E-2</v>
      </c>
      <c r="HV76" s="32">
        <f t="shared" si="214"/>
        <v>3.8331083360961797E-2</v>
      </c>
      <c r="HW76" s="32" t="e">
        <f t="shared" si="215"/>
        <v>#N/A</v>
      </c>
      <c r="HX76" s="45" t="str">
        <f t="shared" si="216"/>
        <v/>
      </c>
    </row>
    <row r="77" spans="1:232" x14ac:dyDescent="0.2">
      <c r="BZ77" s="32">
        <f t="shared" si="143"/>
        <v>67</v>
      </c>
      <c r="CA77" s="32">
        <f>Eu_tabel_g[[#This Row],[Indeks]]+1</f>
        <v>68</v>
      </c>
      <c r="CB77" s="32">
        <f t="shared" si="144"/>
        <v>-1.4852279300961584</v>
      </c>
      <c r="CC77" s="32">
        <f t="shared" si="145"/>
        <v>0.13240504455009261</v>
      </c>
      <c r="CD77" s="32" t="e">
        <f t="shared" si="146"/>
        <v>#N/A</v>
      </c>
      <c r="CE77" s="32" t="e">
        <f t="shared" si="147"/>
        <v>#N/A</v>
      </c>
      <c r="CF77" s="32" t="e">
        <f t="shared" si="148"/>
        <v>#N/A</v>
      </c>
      <c r="CG77" s="32" t="b">
        <f t="shared" si="149"/>
        <v>0</v>
      </c>
      <c r="CH77" s="32" t="b">
        <f t="shared" si="150"/>
        <v>1</v>
      </c>
      <c r="CI77" s="32" t="b">
        <f t="shared" si="151"/>
        <v>0</v>
      </c>
      <c r="CJ77" s="32" t="b">
        <f t="shared" si="152"/>
        <v>1</v>
      </c>
      <c r="CK77" s="32">
        <f t="shared" si="119"/>
        <v>0.13240504455009261</v>
      </c>
      <c r="CL77" s="32" t="e">
        <f t="shared" si="153"/>
        <v>#N/A</v>
      </c>
      <c r="CM77" s="32">
        <f t="shared" si="154"/>
        <v>0.13240504455009261</v>
      </c>
      <c r="CN77" s="45" t="str">
        <f t="shared" si="155"/>
        <v/>
      </c>
      <c r="CO77" s="32">
        <f>_xlfn.NORM.DIST(_xlfn.NORM.INV(1-Eu_g_konfidensniveau,0,1)-Eu_tabel_g[[#This Row],[x base]],0,1,TRUE)</f>
        <v>0.43658796768610664</v>
      </c>
      <c r="CP77" s="32">
        <f>1-_xlfn.NORM.DIST(_xlfn.NORM.INV(Eu_g_konfidensniveau,0,1)-Eu_tabel_g[[#This Row],[x base]],0,1,TRUE)</f>
        <v>8.7378888461064896E-4</v>
      </c>
      <c r="CQ77" s="32">
        <f>_xlfn.NORM.DIST(_xlfn.NORM.INV((1-Eu_g_konfidensniveau)/2,0,1)-Eu_tabel_g[[#This Row],[x base]],0,1,TRUE)+1-_xlfn.NORM.DIST(_xlfn.NORM.INV(1-(1-Eu_g_konfidensniveau)/2,0,1)-Eu_tabel_g[[#This Row],[x base]],0,1,TRUE)</f>
        <v>0.31777288511858404</v>
      </c>
      <c r="CR77" s="32" t="e" cm="1">
        <f t="array" ref="CR77">IF($CR$3,INDEX(Eu_tabel_g[[#This Row],[Styrke venstre]:[Styrke tosidet]],CR$7),NA())</f>
        <v>#N/A</v>
      </c>
      <c r="CS77" s="52" t="e">
        <f>Eu_tabel_g[[#This Row],[Falsk positiv
Nulhypotese accepteres
Fejltype 1]]</f>
        <v>#N/A</v>
      </c>
      <c r="CT77" s="52" t="e">
        <f>IF(CHOOSE(CR$7,Eu_tabel_g[[#This Row],[x base]]&gt;0,Eu_tabel_g[[#This Row],[x base]]&lt;0,Eu_tabel_g[[#This Row],[x base]]=0),Eu_tabel_g[[#This Row],[Styrke, aktiv]],NA())</f>
        <v>#N/A</v>
      </c>
      <c r="CU77" s="52" t="e">
        <f>IFERROR(IF($CR$3,Eu_tabel_g[[#This Row],[Styrke, aktiv]],NA()),NA())</f>
        <v>#N/A</v>
      </c>
      <c r="CV77" s="52" t="e">
        <f>IF(ISNA(Eu_tabel_g[[#This Row],[Sand negativ
Nulhypotese afvises
Korrekt]]),NA(),IF($CR$3,1,NA()))</f>
        <v>#N/A</v>
      </c>
      <c r="CW77" s="34" t="str" cm="1">
        <f t="array" ref="CW77">_xlfn.SWITCH(BZ77,_xlfn.IFNA(CU$2,-99),CU$5,_xlfn.IFNA(CU$3,-99),CU$6,_xlfn.IFNA(CU$4,-99),CU$7,"")</f>
        <v/>
      </c>
      <c r="DA77" s="7">
        <f t="shared" si="156"/>
        <v>0.8</v>
      </c>
      <c r="DB77">
        <f>IF(ROW(Styrkeberegning_G[[#This Row],[X base venstre]])=ROW(Styrkeberegning_G[[#Headers],[X base venstre]])+1,DB$7/(DA$7/$B$67),DB76/(DA76/$B$67))</f>
        <v>-2.8015817870135784</v>
      </c>
      <c r="DC77">
        <f>Styrkeberegning_G[[#This Row],[X base venstre]]*-1</f>
        <v>2.8015817870135784</v>
      </c>
      <c r="DN77" s="32">
        <f t="shared" si="157"/>
        <v>67</v>
      </c>
      <c r="DO77" s="32">
        <f t="shared" si="158"/>
        <v>68</v>
      </c>
      <c r="DP77" s="32">
        <f t="shared" si="159"/>
        <v>9.4766000445927574</v>
      </c>
      <c r="DQ77" s="32" t="e">
        <f t="shared" si="160"/>
        <v>#N/A</v>
      </c>
      <c r="DR77" s="32" t="e">
        <f t="shared" si="161"/>
        <v>#N/A</v>
      </c>
      <c r="DS77" s="32">
        <f t="shared" si="162"/>
        <v>9.1748122804320709E-2</v>
      </c>
      <c r="DT77" s="32" t="e">
        <f t="shared" si="163"/>
        <v>#N/A</v>
      </c>
      <c r="DU77" s="32" t="b">
        <f t="shared" si="164"/>
        <v>0</v>
      </c>
      <c r="DV77" s="32" t="b">
        <f t="shared" si="165"/>
        <v>1</v>
      </c>
      <c r="DW77" s="32" t="b">
        <f t="shared" si="166"/>
        <v>0</v>
      </c>
      <c r="DX77" s="32" t="b">
        <f t="shared" si="167"/>
        <v>1</v>
      </c>
      <c r="DY77" s="32">
        <f t="shared" si="168"/>
        <v>9.1748122804320709E-2</v>
      </c>
      <c r="DZ77" s="32" t="e">
        <f t="shared" si="169"/>
        <v>#N/A</v>
      </c>
      <c r="EA77" s="32">
        <f t="shared" si="170"/>
        <v>9.1748122804320709E-2</v>
      </c>
      <c r="EB77" s="45" t="str">
        <f t="shared" si="171"/>
        <v/>
      </c>
      <c r="EG77" s="32">
        <f t="shared" si="172"/>
        <v>67</v>
      </c>
      <c r="EH77" s="32">
        <f t="shared" si="173"/>
        <v>68</v>
      </c>
      <c r="EI77" s="32">
        <f t="shared" si="174"/>
        <v>-1.4852279300961584</v>
      </c>
      <c r="EJ77" s="32">
        <f t="shared" si="175"/>
        <v>0.13240504455009261</v>
      </c>
      <c r="EK77" s="32" t="e">
        <f t="shared" si="176"/>
        <v>#N/A</v>
      </c>
      <c r="EL77" s="32" t="e">
        <f t="shared" si="177"/>
        <v>#N/A</v>
      </c>
      <c r="EM77" s="32" t="e">
        <f t="shared" si="178"/>
        <v>#N/A</v>
      </c>
      <c r="EN77" s="32" t="b">
        <f t="shared" si="179"/>
        <v>0</v>
      </c>
      <c r="EO77" s="32" t="b">
        <f t="shared" si="180"/>
        <v>1</v>
      </c>
      <c r="EP77" s="32" t="b">
        <f t="shared" si="181"/>
        <v>0</v>
      </c>
      <c r="EQ77" s="32" t="b">
        <f t="shared" si="182"/>
        <v>1</v>
      </c>
      <c r="ER77" s="32">
        <f t="shared" si="183"/>
        <v>0.13240504455009261</v>
      </c>
      <c r="ES77" s="32" t="e">
        <f t="shared" si="184"/>
        <v>#N/A</v>
      </c>
      <c r="ET77" s="32">
        <f t="shared" si="185"/>
        <v>0.13240504455009261</v>
      </c>
      <c r="EU77" s="45" t="str">
        <f t="shared" si="186"/>
        <v/>
      </c>
      <c r="EV7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7" s="32" t="e" cm="1">
        <f t="array" ref="EY77">IF($CR$3,INDEX(Eu_tabel_a[[#This Row],[Styrke venstre]:[Styrke tosidet]],EY$7),NA())</f>
        <v>#N/A</v>
      </c>
      <c r="EZ77" s="32" t="e">
        <f>IF(EY$3,IF(CHOOSE(EY$7,Eu_tabel_a[[#This Row],[x base]]&gt;0,Eu_tabel_a[[#This Row],[x base]]&lt;0,Eu_tabel_a[[#This Row],[x base]]=0),1,NA()),NA())</f>
        <v>#N/A</v>
      </c>
      <c r="FA77" s="32" t="e">
        <f>IF(CHOOSE(EY$7,Eu_tabel_a[[#This Row],[x base]]&gt;0,Eu_tabel_a[[#This Row],[x base]]&lt;0,Eu_tabel_a[[#This Row],[x base]]=0),Eu_tabel_a[[#This Row],[Styrke, aktiv]],NA())</f>
        <v>#N/A</v>
      </c>
      <c r="FB77" s="32" t="e">
        <f>IFERROR(IF($EY$3,Eu_tabel_a[[#This Row],[Styrke, aktiv]],NA()),NA())</f>
        <v>#N/A</v>
      </c>
      <c r="FC77" s="32" t="e">
        <f>IF(ISNA(Eu_tabel_a[[#This Row],[Sand negativ
Nulhypotese afvises
Korrekt]]),NA(),IF(EY$3,1,NA()))</f>
        <v>#N/A</v>
      </c>
      <c r="FD77" s="33" t="str" cm="1">
        <f t="array" ref="FD77">IFERROR(_xlfn.SWITCH(Eu_tabel_a[[#This Row],[Indeks]],_xlfn.IFNA(FB$2,-99),FB$5,_xlfn.IFNA(FB$3,-99),FB$6,_xlfn.IFNA(FB$4,-99),FB$7,""),"")</f>
        <v/>
      </c>
      <c r="FE77" s="32">
        <f>Eu_tabel_a[[#This Row],[x base]]*SQRT(Eu_a_h0_x*(1-Eu_a_h0_x)/Eu_a_n_x)+Eu_a_h0_x</f>
        <v>0</v>
      </c>
      <c r="FJ77" s="74" t="e">
        <f t="shared" si="130"/>
        <v>#N/A</v>
      </c>
      <c r="FK77" s="82" t="e">
        <f t="shared" si="113"/>
        <v>#DIV/0!</v>
      </c>
      <c r="FL77" s="7" t="e">
        <f t="shared" si="124"/>
        <v>#DIV/0!</v>
      </c>
      <c r="FM77" t="e">
        <f t="shared" si="114"/>
        <v>#DIV/0!</v>
      </c>
      <c r="FN77" s="8" t="e">
        <f t="shared" si="115"/>
        <v>#DIV/0!</v>
      </c>
      <c r="FO77" s="8" t="e">
        <f t="shared" si="116"/>
        <v>#DIV/0!</v>
      </c>
      <c r="FP77" s="81" t="e">
        <f t="shared" si="117"/>
        <v>#DIV/0!</v>
      </c>
      <c r="FQ77" s="74" t="e">
        <f t="shared" ca="1" si="125"/>
        <v>#N/A</v>
      </c>
      <c r="FR77" s="82" t="e" vm="3">
        <f t="shared" ca="1" si="131"/>
        <v>#VALUE!</v>
      </c>
      <c r="FS77" s="7" t="e" vm="3">
        <f t="shared" ca="1" si="126"/>
        <v>#VALUE!</v>
      </c>
      <c r="FT77" t="e" vm="3">
        <f t="shared" ca="1" si="120"/>
        <v>#VALUE!</v>
      </c>
      <c r="FU77" s="8" t="e" vm="3">
        <f t="shared" ca="1" si="121"/>
        <v>#VALUE!</v>
      </c>
      <c r="FV77" s="8" t="e" vm="3">
        <f t="shared" ca="1" si="122"/>
        <v>#VALUE!</v>
      </c>
      <c r="FW77" s="81" t="e" vm="3">
        <f t="shared" ca="1" si="123"/>
        <v>#VALUE!</v>
      </c>
      <c r="FX77" s="74" t="e">
        <f t="shared" si="127"/>
        <v>#N/A</v>
      </c>
      <c r="FY77" s="82" t="e">
        <f t="shared" si="132"/>
        <v>#N/A</v>
      </c>
      <c r="FZ77" s="7" t="e">
        <f t="shared" si="128"/>
        <v>#N/A</v>
      </c>
      <c r="GA77" t="e">
        <f t="shared" si="133"/>
        <v>#N/A</v>
      </c>
      <c r="GB77" s="8" t="e">
        <f t="shared" si="134"/>
        <v>#N/A</v>
      </c>
      <c r="GC77" s="8" t="e">
        <f t="shared" si="135"/>
        <v>#N/A</v>
      </c>
      <c r="GD77" s="81" t="e">
        <f t="shared" si="136"/>
        <v>#N/A</v>
      </c>
      <c r="GE77" s="74" t="e">
        <f t="shared" si="137"/>
        <v>#N/A</v>
      </c>
      <c r="GF77" s="82" t="e">
        <f t="shared" si="138"/>
        <v>#N/A</v>
      </c>
      <c r="GG77" s="7" t="e">
        <f t="shared" si="129"/>
        <v>#N/A</v>
      </c>
      <c r="GH77" t="e">
        <f t="shared" si="139"/>
        <v>#N/A</v>
      </c>
      <c r="GI77" s="8" t="e">
        <f t="shared" si="140"/>
        <v>#N/A</v>
      </c>
      <c r="GJ77" s="8" t="e">
        <f t="shared" si="141"/>
        <v>#N/A</v>
      </c>
      <c r="GK77" s="81" t="e">
        <f t="shared" si="142"/>
        <v>#N/A</v>
      </c>
      <c r="GL77" s="81"/>
      <c r="GM77" s="81"/>
      <c r="GP77" s="32">
        <f t="shared" si="187"/>
        <v>67</v>
      </c>
      <c r="GQ77" s="32">
        <f t="shared" si="188"/>
        <v>68</v>
      </c>
      <c r="GR77" s="32">
        <f t="shared" si="189"/>
        <v>-1.4852279300961584</v>
      </c>
      <c r="GS77" s="32">
        <f t="shared" si="190"/>
        <v>0.13240504455009261</v>
      </c>
      <c r="GT77" s="32" t="e">
        <f t="shared" si="191"/>
        <v>#N/A</v>
      </c>
      <c r="GU77" s="32" t="e">
        <f t="shared" si="192"/>
        <v>#N/A</v>
      </c>
      <c r="GV77" s="32" t="e">
        <f t="shared" si="193"/>
        <v>#N/A</v>
      </c>
      <c r="GW77" s="32" t="b">
        <f t="shared" si="194"/>
        <v>0</v>
      </c>
      <c r="GX77" s="32" t="b">
        <f t="shared" si="195"/>
        <v>1</v>
      </c>
      <c r="GY77" s="32" t="b">
        <f t="shared" si="196"/>
        <v>0</v>
      </c>
      <c r="GZ77" s="32" t="b">
        <f t="shared" si="197"/>
        <v>1</v>
      </c>
      <c r="HA77" s="32">
        <f t="shared" si="198"/>
        <v>0.13240504455009261</v>
      </c>
      <c r="HB77" s="32" t="e">
        <f t="shared" si="199"/>
        <v>#N/A</v>
      </c>
      <c r="HC77" s="32">
        <f t="shared" si="200"/>
        <v>0.13240504455009261</v>
      </c>
      <c r="HD77" s="45" t="str">
        <f t="shared" si="201"/>
        <v/>
      </c>
      <c r="HJ77" s="32">
        <f t="shared" si="202"/>
        <v>67</v>
      </c>
      <c r="HK77" s="32">
        <f t="shared" si="203"/>
        <v>68</v>
      </c>
      <c r="HL77" s="32">
        <f t="shared" si="204"/>
        <v>-2.2999066432215245</v>
      </c>
      <c r="HM77" s="32" t="e">
        <f t="shared" si="205"/>
        <v>#N/A</v>
      </c>
      <c r="HN77" s="32">
        <f t="shared" si="206"/>
        <v>4.0522517174392161E-2</v>
      </c>
      <c r="HO77" s="32" t="e">
        <f t="shared" si="207"/>
        <v>#N/A</v>
      </c>
      <c r="HP77" s="32" t="e">
        <f t="shared" si="208"/>
        <v>#N/A</v>
      </c>
      <c r="HQ77" s="32" t="b">
        <f t="shared" si="209"/>
        <v>1</v>
      </c>
      <c r="HR77" s="32" t="b">
        <f t="shared" si="210"/>
        <v>0</v>
      </c>
      <c r="HS77" s="32" t="b">
        <f t="shared" si="211"/>
        <v>1</v>
      </c>
      <c r="HT77" s="32" t="b">
        <f t="shared" si="212"/>
        <v>0</v>
      </c>
      <c r="HU77" s="32">
        <f t="shared" si="213"/>
        <v>4.0522517174392161E-2</v>
      </c>
      <c r="HV77" s="32">
        <f t="shared" si="214"/>
        <v>4.0522517174392161E-2</v>
      </c>
      <c r="HW77" s="32" t="e">
        <f t="shared" si="215"/>
        <v>#N/A</v>
      </c>
      <c r="HX77" s="45" t="str">
        <f t="shared" si="216"/>
        <v/>
      </c>
    </row>
    <row r="78" spans="1:232" x14ac:dyDescent="0.2">
      <c r="BZ78" s="32">
        <f t="shared" si="143"/>
        <v>68</v>
      </c>
      <c r="CA78" s="32">
        <f>Eu_tabel_g[[#This Row],[Indeks]]+1</f>
        <v>69</v>
      </c>
      <c r="CB78" s="32">
        <f t="shared" si="144"/>
        <v>-1.461272640901059</v>
      </c>
      <c r="CC78" s="32">
        <f t="shared" si="145"/>
        <v>0.13716133768133662</v>
      </c>
      <c r="CD78" s="32" t="e">
        <f t="shared" si="146"/>
        <v>#N/A</v>
      </c>
      <c r="CE78" s="32" t="e">
        <f t="shared" si="147"/>
        <v>#N/A</v>
      </c>
      <c r="CF78" s="32" t="e">
        <f t="shared" si="148"/>
        <v>#N/A</v>
      </c>
      <c r="CG78" s="32" t="b">
        <f t="shared" si="149"/>
        <v>0</v>
      </c>
      <c r="CH78" s="32" t="b">
        <f t="shared" si="150"/>
        <v>1</v>
      </c>
      <c r="CI78" s="32" t="b">
        <f t="shared" si="151"/>
        <v>0</v>
      </c>
      <c r="CJ78" s="32" t="b">
        <f t="shared" si="152"/>
        <v>1</v>
      </c>
      <c r="CK78" s="32">
        <f t="shared" si="119"/>
        <v>0.13716133768133662</v>
      </c>
      <c r="CL78" s="32" t="e">
        <f t="shared" si="153"/>
        <v>#N/A</v>
      </c>
      <c r="CM78" s="32">
        <f t="shared" si="154"/>
        <v>0.13716133768133662</v>
      </c>
      <c r="CN78" s="45" t="str">
        <f t="shared" si="155"/>
        <v/>
      </c>
      <c r="CO78" s="32">
        <f>_xlfn.NORM.DIST(_xlfn.NORM.INV(1-Eu_g_konfidensniveau,0,1)-Eu_tabel_g[[#This Row],[x base]],0,1,TRUE)</f>
        <v>0.42717109026423261</v>
      </c>
      <c r="CP78" s="32">
        <f>1-_xlfn.NORM.DIST(_xlfn.NORM.INV(Eu_g_konfidensniveau,0,1)-Eu_tabel_g[[#This Row],[x base]],0,1,TRUE)</f>
        <v>9.4777877233520602E-4</v>
      </c>
      <c r="CQ78" s="32">
        <f>_xlfn.NORM.DIST(_xlfn.NORM.INV((1-Eu_g_konfidensniveau)/2,0,1)-Eu_tabel_g[[#This Row],[x base]],0,1,TRUE)+1-_xlfn.NORM.DIST(_xlfn.NORM.INV(1-(1-Eu_g_konfidensniveau)/2,0,1)-Eu_tabel_g[[#This Row],[x base]],0,1,TRUE)</f>
        <v>0.30931010724091768</v>
      </c>
      <c r="CR78" s="32" t="e" cm="1">
        <f t="array" ref="CR78">IF($CR$3,INDEX(Eu_tabel_g[[#This Row],[Styrke venstre]:[Styrke tosidet]],CR$7),NA())</f>
        <v>#N/A</v>
      </c>
      <c r="CS78" s="52" t="e">
        <f>Eu_tabel_g[[#This Row],[Falsk positiv
Nulhypotese accepteres
Fejltype 1]]</f>
        <v>#N/A</v>
      </c>
      <c r="CT78" s="52" t="e">
        <f>IF(CHOOSE(CR$7,Eu_tabel_g[[#This Row],[x base]]&gt;0,Eu_tabel_g[[#This Row],[x base]]&lt;0,Eu_tabel_g[[#This Row],[x base]]=0),Eu_tabel_g[[#This Row],[Styrke, aktiv]],NA())</f>
        <v>#N/A</v>
      </c>
      <c r="CU78" s="52" t="e">
        <f>IFERROR(IF($CR$3,Eu_tabel_g[[#This Row],[Styrke, aktiv]],NA()),NA())</f>
        <v>#N/A</v>
      </c>
      <c r="CV78" s="52" t="e">
        <f>IF(ISNA(Eu_tabel_g[[#This Row],[Sand negativ
Nulhypotese afvises
Korrekt]]),NA(),IF($CR$3,1,NA()))</f>
        <v>#N/A</v>
      </c>
      <c r="CW78" s="34" t="str" cm="1">
        <f t="array" ref="CW78">_xlfn.SWITCH(BZ78,_xlfn.IFNA(CU$2,-99),CU$5,_xlfn.IFNA(CU$3,-99),CU$6,_xlfn.IFNA(CU$4,-99),CU$7,"")</f>
        <v/>
      </c>
      <c r="DA78" s="7">
        <f t="shared" si="156"/>
        <v>0.8</v>
      </c>
      <c r="DB78">
        <f>IF(ROW(Styrkeberegning_G[[#This Row],[X base venstre]])=ROW(Styrkeberegning_G[[#Headers],[X base venstre]])+1,DB$7/(DA$7/$B$67),DB77/(DA77/$B$67))</f>
        <v>-2.8015817870135784</v>
      </c>
      <c r="DC78">
        <f>Styrkeberegning_G[[#This Row],[X base venstre]]*-1</f>
        <v>2.8015817870135784</v>
      </c>
      <c r="DN78" s="32">
        <f t="shared" si="157"/>
        <v>68</v>
      </c>
      <c r="DO78" s="32">
        <f t="shared" si="158"/>
        <v>69</v>
      </c>
      <c r="DP78" s="32">
        <f t="shared" si="159"/>
        <v>9.5906709010097586</v>
      </c>
      <c r="DQ78" s="32" t="e">
        <f t="shared" si="160"/>
        <v>#N/A</v>
      </c>
      <c r="DR78" s="32" t="e">
        <f t="shared" si="161"/>
        <v>#N/A</v>
      </c>
      <c r="DS78" s="32">
        <f t="shared" si="162"/>
        <v>9.1455742759090727E-2</v>
      </c>
      <c r="DT78" s="32" t="e">
        <f t="shared" si="163"/>
        <v>#N/A</v>
      </c>
      <c r="DU78" s="32" t="b">
        <f t="shared" si="164"/>
        <v>0</v>
      </c>
      <c r="DV78" s="32" t="b">
        <f t="shared" si="165"/>
        <v>1</v>
      </c>
      <c r="DW78" s="32" t="b">
        <f t="shared" si="166"/>
        <v>0</v>
      </c>
      <c r="DX78" s="32" t="b">
        <f t="shared" si="167"/>
        <v>1</v>
      </c>
      <c r="DY78" s="32">
        <f t="shared" si="168"/>
        <v>9.1455742759090727E-2</v>
      </c>
      <c r="DZ78" s="32" t="e">
        <f t="shared" si="169"/>
        <v>#N/A</v>
      </c>
      <c r="EA78" s="32">
        <f t="shared" si="170"/>
        <v>9.1455742759090727E-2</v>
      </c>
      <c r="EB78" s="45" t="str">
        <f t="shared" si="171"/>
        <v/>
      </c>
      <c r="EG78" s="32">
        <f t="shared" si="172"/>
        <v>68</v>
      </c>
      <c r="EH78" s="32">
        <f t="shared" si="173"/>
        <v>69</v>
      </c>
      <c r="EI78" s="32">
        <f t="shared" si="174"/>
        <v>-1.461272640901059</v>
      </c>
      <c r="EJ78" s="32">
        <f t="shared" si="175"/>
        <v>0.13716133768133662</v>
      </c>
      <c r="EK78" s="32" t="e">
        <f t="shared" si="176"/>
        <v>#N/A</v>
      </c>
      <c r="EL78" s="32" t="e">
        <f t="shared" si="177"/>
        <v>#N/A</v>
      </c>
      <c r="EM78" s="32" t="e">
        <f t="shared" si="178"/>
        <v>#N/A</v>
      </c>
      <c r="EN78" s="32" t="b">
        <f t="shared" si="179"/>
        <v>0</v>
      </c>
      <c r="EO78" s="32" t="b">
        <f t="shared" si="180"/>
        <v>1</v>
      </c>
      <c r="EP78" s="32" t="b">
        <f t="shared" si="181"/>
        <v>0</v>
      </c>
      <c r="EQ78" s="32" t="b">
        <f t="shared" si="182"/>
        <v>1</v>
      </c>
      <c r="ER78" s="32">
        <f t="shared" si="183"/>
        <v>0.13716133768133662</v>
      </c>
      <c r="ES78" s="32" t="e">
        <f t="shared" si="184"/>
        <v>#N/A</v>
      </c>
      <c r="ET78" s="32">
        <f t="shared" si="185"/>
        <v>0.13716133768133662</v>
      </c>
      <c r="EU78" s="45" t="str">
        <f t="shared" si="186"/>
        <v/>
      </c>
      <c r="EV7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8" s="32" t="e" cm="1">
        <f t="array" ref="EY78">IF($CR$3,INDEX(Eu_tabel_a[[#This Row],[Styrke venstre]:[Styrke tosidet]],EY$7),NA())</f>
        <v>#N/A</v>
      </c>
      <c r="EZ78" s="32" t="e">
        <f>IF(EY$3,IF(CHOOSE(EY$7,Eu_tabel_a[[#This Row],[x base]]&gt;0,Eu_tabel_a[[#This Row],[x base]]&lt;0,Eu_tabel_a[[#This Row],[x base]]=0),1,NA()),NA())</f>
        <v>#N/A</v>
      </c>
      <c r="FA78" s="32" t="e">
        <f>IF(CHOOSE(EY$7,Eu_tabel_a[[#This Row],[x base]]&gt;0,Eu_tabel_a[[#This Row],[x base]]&lt;0,Eu_tabel_a[[#This Row],[x base]]=0),Eu_tabel_a[[#This Row],[Styrke, aktiv]],NA())</f>
        <v>#N/A</v>
      </c>
      <c r="FB78" s="32" t="e">
        <f>IFERROR(IF($EY$3,Eu_tabel_a[[#This Row],[Styrke, aktiv]],NA()),NA())</f>
        <v>#N/A</v>
      </c>
      <c r="FC78" s="32" t="e">
        <f>IF(ISNA(Eu_tabel_a[[#This Row],[Sand negativ
Nulhypotese afvises
Korrekt]]),NA(),IF(EY$3,1,NA()))</f>
        <v>#N/A</v>
      </c>
      <c r="FD78" s="33" t="str" cm="1">
        <f t="array" ref="FD78">IFERROR(_xlfn.SWITCH(Eu_tabel_a[[#This Row],[Indeks]],_xlfn.IFNA(FB$2,-99),FB$5,_xlfn.IFNA(FB$3,-99),FB$6,_xlfn.IFNA(FB$4,-99),FB$7,""),"")</f>
        <v/>
      </c>
      <c r="FE78" s="32">
        <f>Eu_tabel_a[[#This Row],[x base]]*SQRT(Eu_a_h0_x*(1-Eu_a_h0_x)/Eu_a_n_x)+Eu_a_h0_x</f>
        <v>0</v>
      </c>
      <c r="FJ78" s="74" t="e">
        <f t="shared" si="130"/>
        <v>#N/A</v>
      </c>
      <c r="FK78" s="82" t="e">
        <f t="shared" si="113"/>
        <v>#DIV/0!</v>
      </c>
      <c r="FL78" s="7" t="e">
        <f t="shared" si="124"/>
        <v>#DIV/0!</v>
      </c>
      <c r="FM78" t="e">
        <f t="shared" si="114"/>
        <v>#DIV/0!</v>
      </c>
      <c r="FN78" s="8" t="e">
        <f t="shared" si="115"/>
        <v>#DIV/0!</v>
      </c>
      <c r="FO78" s="8" t="e">
        <f t="shared" si="116"/>
        <v>#DIV/0!</v>
      </c>
      <c r="FP78" s="81" t="e">
        <f t="shared" si="117"/>
        <v>#DIV/0!</v>
      </c>
      <c r="FQ78" s="74" t="e">
        <f t="shared" ca="1" si="125"/>
        <v>#N/A</v>
      </c>
      <c r="FR78" s="82" t="e" vm="3">
        <f t="shared" ca="1" si="131"/>
        <v>#VALUE!</v>
      </c>
      <c r="FS78" s="7" t="e" vm="3">
        <f t="shared" ca="1" si="126"/>
        <v>#VALUE!</v>
      </c>
      <c r="FT78" t="e" vm="3">
        <f t="shared" ca="1" si="120"/>
        <v>#VALUE!</v>
      </c>
      <c r="FU78" s="8" t="e" vm="3">
        <f t="shared" ca="1" si="121"/>
        <v>#VALUE!</v>
      </c>
      <c r="FV78" s="8" t="e" vm="3">
        <f t="shared" ca="1" si="122"/>
        <v>#VALUE!</v>
      </c>
      <c r="FW78" s="81" t="e" vm="3">
        <f t="shared" ca="1" si="123"/>
        <v>#VALUE!</v>
      </c>
      <c r="FX78" s="74" t="e">
        <f t="shared" si="127"/>
        <v>#N/A</v>
      </c>
      <c r="FY78" s="82" t="e">
        <f t="shared" si="132"/>
        <v>#N/A</v>
      </c>
      <c r="FZ78" s="7" t="e">
        <f t="shared" si="128"/>
        <v>#N/A</v>
      </c>
      <c r="GA78" t="e">
        <f t="shared" si="133"/>
        <v>#N/A</v>
      </c>
      <c r="GB78" s="8" t="e">
        <f t="shared" si="134"/>
        <v>#N/A</v>
      </c>
      <c r="GC78" s="8" t="e">
        <f t="shared" si="135"/>
        <v>#N/A</v>
      </c>
      <c r="GD78" s="81" t="e">
        <f t="shared" si="136"/>
        <v>#N/A</v>
      </c>
      <c r="GE78" s="74" t="e">
        <f t="shared" si="137"/>
        <v>#N/A</v>
      </c>
      <c r="GF78" s="82" t="e">
        <f t="shared" si="138"/>
        <v>#N/A</v>
      </c>
      <c r="GG78" s="7" t="e">
        <f t="shared" si="129"/>
        <v>#N/A</v>
      </c>
      <c r="GH78" t="e">
        <f t="shared" si="139"/>
        <v>#N/A</v>
      </c>
      <c r="GI78" s="8" t="e">
        <f t="shared" si="140"/>
        <v>#N/A</v>
      </c>
      <c r="GJ78" s="8" t="e">
        <f t="shared" si="141"/>
        <v>#N/A</v>
      </c>
      <c r="GK78" s="81" t="e">
        <f t="shared" si="142"/>
        <v>#N/A</v>
      </c>
      <c r="GL78" s="81"/>
      <c r="GM78" s="81"/>
      <c r="GP78" s="32">
        <f t="shared" si="187"/>
        <v>68</v>
      </c>
      <c r="GQ78" s="32">
        <f t="shared" si="188"/>
        <v>69</v>
      </c>
      <c r="GR78" s="32">
        <f t="shared" si="189"/>
        <v>-1.461272640901059</v>
      </c>
      <c r="GS78" s="32">
        <f t="shared" si="190"/>
        <v>0.13716133768133662</v>
      </c>
      <c r="GT78" s="32" t="e">
        <f t="shared" si="191"/>
        <v>#N/A</v>
      </c>
      <c r="GU78" s="32" t="e">
        <f t="shared" si="192"/>
        <v>#N/A</v>
      </c>
      <c r="GV78" s="32" t="e">
        <f t="shared" si="193"/>
        <v>#N/A</v>
      </c>
      <c r="GW78" s="32" t="b">
        <f t="shared" si="194"/>
        <v>0</v>
      </c>
      <c r="GX78" s="32" t="b">
        <f t="shared" si="195"/>
        <v>1</v>
      </c>
      <c r="GY78" s="32" t="b">
        <f t="shared" si="196"/>
        <v>0</v>
      </c>
      <c r="GZ78" s="32" t="b">
        <f t="shared" si="197"/>
        <v>1</v>
      </c>
      <c r="HA78" s="32">
        <f t="shared" si="198"/>
        <v>0.13716133768133662</v>
      </c>
      <c r="HB78" s="32" t="e">
        <f t="shared" si="199"/>
        <v>#N/A</v>
      </c>
      <c r="HC78" s="32">
        <f t="shared" si="200"/>
        <v>0.13716133768133662</v>
      </c>
      <c r="HD78" s="45" t="str">
        <f t="shared" si="201"/>
        <v/>
      </c>
      <c r="HJ78" s="32">
        <f t="shared" si="202"/>
        <v>68</v>
      </c>
      <c r="HK78" s="32">
        <f t="shared" si="203"/>
        <v>69</v>
      </c>
      <c r="HL78" s="32">
        <f t="shared" si="204"/>
        <v>-2.2628113747824674</v>
      </c>
      <c r="HM78" s="32" t="e">
        <f t="shared" si="205"/>
        <v>#N/A</v>
      </c>
      <c r="HN78" s="32">
        <f t="shared" si="206"/>
        <v>4.2833895415660274E-2</v>
      </c>
      <c r="HO78" s="32" t="e">
        <f t="shared" si="207"/>
        <v>#N/A</v>
      </c>
      <c r="HP78" s="32" t="e">
        <f t="shared" si="208"/>
        <v>#N/A</v>
      </c>
      <c r="HQ78" s="32" t="b">
        <f t="shared" si="209"/>
        <v>1</v>
      </c>
      <c r="HR78" s="32" t="b">
        <f t="shared" si="210"/>
        <v>0</v>
      </c>
      <c r="HS78" s="32" t="b">
        <f t="shared" si="211"/>
        <v>1</v>
      </c>
      <c r="HT78" s="32" t="b">
        <f t="shared" si="212"/>
        <v>0</v>
      </c>
      <c r="HU78" s="32">
        <f t="shared" si="213"/>
        <v>4.2833895415660274E-2</v>
      </c>
      <c r="HV78" s="32">
        <f t="shared" si="214"/>
        <v>4.2833895415660274E-2</v>
      </c>
      <c r="HW78" s="32" t="e">
        <f t="shared" si="215"/>
        <v>#N/A</v>
      </c>
      <c r="HX78" s="45" t="str">
        <f t="shared" si="216"/>
        <v/>
      </c>
    </row>
    <row r="79" spans="1:232" x14ac:dyDescent="0.2">
      <c r="BZ79" s="32">
        <f t="shared" si="143"/>
        <v>69</v>
      </c>
      <c r="CA79" s="32">
        <f>Eu_tabel_g[[#This Row],[Indeks]]+1</f>
        <v>70</v>
      </c>
      <c r="CB79" s="32">
        <f t="shared" si="144"/>
        <v>-1.4373173517059596</v>
      </c>
      <c r="CC79" s="32">
        <f t="shared" si="145"/>
        <v>0.14200697285664771</v>
      </c>
      <c r="CD79" s="32" t="e">
        <f t="shared" si="146"/>
        <v>#N/A</v>
      </c>
      <c r="CE79" s="32" t="e">
        <f t="shared" si="147"/>
        <v>#N/A</v>
      </c>
      <c r="CF79" s="32" t="e">
        <f t="shared" si="148"/>
        <v>#N/A</v>
      </c>
      <c r="CG79" s="32" t="b">
        <f t="shared" si="149"/>
        <v>0</v>
      </c>
      <c r="CH79" s="32" t="b">
        <f t="shared" si="150"/>
        <v>1</v>
      </c>
      <c r="CI79" s="32" t="b">
        <f t="shared" si="151"/>
        <v>0</v>
      </c>
      <c r="CJ79" s="32" t="b">
        <f t="shared" si="152"/>
        <v>1</v>
      </c>
      <c r="CK79" s="32">
        <f t="shared" si="119"/>
        <v>0.14200697285664771</v>
      </c>
      <c r="CL79" s="32" t="e">
        <f t="shared" si="153"/>
        <v>#N/A</v>
      </c>
      <c r="CM79" s="32">
        <f t="shared" si="154"/>
        <v>0.14200697285664771</v>
      </c>
      <c r="CN79" s="45" t="str">
        <f t="shared" si="155"/>
        <v/>
      </c>
      <c r="CO79" s="32">
        <f>_xlfn.NORM.DIST(_xlfn.NORM.INV(1-Eu_g_konfidensniveau,0,1)-Eu_tabel_g[[#This Row],[x base]],0,1,TRUE)</f>
        <v>0.41779553287962068</v>
      </c>
      <c r="CP79" s="32">
        <f>1-_xlfn.NORM.DIST(_xlfn.NORM.INV(Eu_g_konfidensniveau,0,1)-Eu_tabel_g[[#This Row],[x base]],0,1,TRUE)</f>
        <v>1.0274838287291921E-3</v>
      </c>
      <c r="CQ79" s="32">
        <f>_xlfn.NORM.DIST(_xlfn.NORM.INV((1-Eu_g_konfidensniveau)/2,0,1)-Eu_tabel_g[[#This Row],[x base]],0,1,TRUE)+1-_xlfn.NORM.DIST(_xlfn.NORM.INV(1-(1-Eu_g_konfidensniveau)/2,0,1)-Eu_tabel_g[[#This Row],[x base]],0,1,TRUE)</f>
        <v>0.30095038606562374</v>
      </c>
      <c r="CR79" s="32" t="e" cm="1">
        <f t="array" ref="CR79">IF($CR$3,INDEX(Eu_tabel_g[[#This Row],[Styrke venstre]:[Styrke tosidet]],CR$7),NA())</f>
        <v>#N/A</v>
      </c>
      <c r="CS79" s="52" t="e">
        <f>Eu_tabel_g[[#This Row],[Falsk positiv
Nulhypotese accepteres
Fejltype 1]]</f>
        <v>#N/A</v>
      </c>
      <c r="CT79" s="52" t="e">
        <f>IF(CHOOSE(CR$7,Eu_tabel_g[[#This Row],[x base]]&gt;0,Eu_tabel_g[[#This Row],[x base]]&lt;0,Eu_tabel_g[[#This Row],[x base]]=0),Eu_tabel_g[[#This Row],[Styrke, aktiv]],NA())</f>
        <v>#N/A</v>
      </c>
      <c r="CU79" s="52" t="e">
        <f>IFERROR(IF($CR$3,Eu_tabel_g[[#This Row],[Styrke, aktiv]],NA()),NA())</f>
        <v>#N/A</v>
      </c>
      <c r="CV79" s="52" t="e">
        <f>IF(ISNA(Eu_tabel_g[[#This Row],[Sand negativ
Nulhypotese afvises
Korrekt]]),NA(),IF($CR$3,1,NA()))</f>
        <v>#N/A</v>
      </c>
      <c r="CW79" s="34" t="str" cm="1">
        <f t="array" ref="CW79">_xlfn.SWITCH(BZ79,_xlfn.IFNA(CU$2,-99),CU$5,_xlfn.IFNA(CU$3,-99),CU$6,_xlfn.IFNA(CU$4,-99),CU$7,"")</f>
        <v/>
      </c>
      <c r="DA79" s="7">
        <f t="shared" si="156"/>
        <v>0.8</v>
      </c>
      <c r="DB79">
        <f>IF(ROW(Styrkeberegning_G[[#This Row],[X base venstre]])=ROW(Styrkeberegning_G[[#Headers],[X base venstre]])+1,DB$7/(DA$7/$B$67),DB78/(DA78/$B$67))</f>
        <v>-2.8015817870135784</v>
      </c>
      <c r="DC79">
        <f>Styrkeberegning_G[[#This Row],[X base venstre]]*-1</f>
        <v>2.8015817870135784</v>
      </c>
      <c r="DN79" s="32">
        <f t="shared" si="157"/>
        <v>69</v>
      </c>
      <c r="DO79" s="32">
        <f t="shared" si="158"/>
        <v>70</v>
      </c>
      <c r="DP79" s="32">
        <f t="shared" si="159"/>
        <v>9.7047417574267598</v>
      </c>
      <c r="DQ79" s="32" t="e">
        <f t="shared" si="160"/>
        <v>#N/A</v>
      </c>
      <c r="DR79" s="32" t="e">
        <f t="shared" si="161"/>
        <v>#N/A</v>
      </c>
      <c r="DS79" s="32">
        <f t="shared" si="162"/>
        <v>9.1106273997226025E-2</v>
      </c>
      <c r="DT79" s="32" t="e">
        <f t="shared" si="163"/>
        <v>#N/A</v>
      </c>
      <c r="DU79" s="32" t="b">
        <f t="shared" si="164"/>
        <v>0</v>
      </c>
      <c r="DV79" s="32" t="b">
        <f t="shared" si="165"/>
        <v>1</v>
      </c>
      <c r="DW79" s="32" t="b">
        <f t="shared" si="166"/>
        <v>0</v>
      </c>
      <c r="DX79" s="32" t="b">
        <f t="shared" si="167"/>
        <v>1</v>
      </c>
      <c r="DY79" s="32">
        <f t="shared" si="168"/>
        <v>9.1106273997226025E-2</v>
      </c>
      <c r="DZ79" s="32" t="e">
        <f t="shared" si="169"/>
        <v>#N/A</v>
      </c>
      <c r="EA79" s="32">
        <f t="shared" si="170"/>
        <v>9.1106273997226025E-2</v>
      </c>
      <c r="EB79" s="45" t="str">
        <f t="shared" si="171"/>
        <v/>
      </c>
      <c r="EG79" s="32">
        <f t="shared" si="172"/>
        <v>69</v>
      </c>
      <c r="EH79" s="32">
        <f t="shared" si="173"/>
        <v>70</v>
      </c>
      <c r="EI79" s="32">
        <f t="shared" si="174"/>
        <v>-1.4373173517059596</v>
      </c>
      <c r="EJ79" s="32">
        <f t="shared" si="175"/>
        <v>0.14200697285664771</v>
      </c>
      <c r="EK79" s="32" t="e">
        <f t="shared" si="176"/>
        <v>#N/A</v>
      </c>
      <c r="EL79" s="32" t="e">
        <f t="shared" si="177"/>
        <v>#N/A</v>
      </c>
      <c r="EM79" s="32" t="e">
        <f t="shared" si="178"/>
        <v>#N/A</v>
      </c>
      <c r="EN79" s="32" t="b">
        <f t="shared" si="179"/>
        <v>0</v>
      </c>
      <c r="EO79" s="32" t="b">
        <f t="shared" si="180"/>
        <v>1</v>
      </c>
      <c r="EP79" s="32" t="b">
        <f t="shared" si="181"/>
        <v>0</v>
      </c>
      <c r="EQ79" s="32" t="b">
        <f t="shared" si="182"/>
        <v>1</v>
      </c>
      <c r="ER79" s="32">
        <f t="shared" si="183"/>
        <v>0.14200697285664771</v>
      </c>
      <c r="ES79" s="32" t="e">
        <f t="shared" si="184"/>
        <v>#N/A</v>
      </c>
      <c r="ET79" s="32">
        <f t="shared" si="185"/>
        <v>0.14200697285664771</v>
      </c>
      <c r="EU79" s="45" t="str">
        <f t="shared" si="186"/>
        <v/>
      </c>
      <c r="EV7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9" s="32" t="e" cm="1">
        <f t="array" ref="EY79">IF($CR$3,INDEX(Eu_tabel_a[[#This Row],[Styrke venstre]:[Styrke tosidet]],EY$7),NA())</f>
        <v>#N/A</v>
      </c>
      <c r="EZ79" s="32" t="e">
        <f>IF(EY$3,IF(CHOOSE(EY$7,Eu_tabel_a[[#This Row],[x base]]&gt;0,Eu_tabel_a[[#This Row],[x base]]&lt;0,Eu_tabel_a[[#This Row],[x base]]=0),1,NA()),NA())</f>
        <v>#N/A</v>
      </c>
      <c r="FA79" s="32" t="e">
        <f>IF(CHOOSE(EY$7,Eu_tabel_a[[#This Row],[x base]]&gt;0,Eu_tabel_a[[#This Row],[x base]]&lt;0,Eu_tabel_a[[#This Row],[x base]]=0),Eu_tabel_a[[#This Row],[Styrke, aktiv]],NA())</f>
        <v>#N/A</v>
      </c>
      <c r="FB79" s="32" t="e">
        <f>IFERROR(IF($EY$3,Eu_tabel_a[[#This Row],[Styrke, aktiv]],NA()),NA())</f>
        <v>#N/A</v>
      </c>
      <c r="FC79" s="32" t="e">
        <f>IF(ISNA(Eu_tabel_a[[#This Row],[Sand negativ
Nulhypotese afvises
Korrekt]]),NA(),IF(EY$3,1,NA()))</f>
        <v>#N/A</v>
      </c>
      <c r="FD79" s="33" t="str" cm="1">
        <f t="array" ref="FD79">IFERROR(_xlfn.SWITCH(Eu_tabel_a[[#This Row],[Indeks]],_xlfn.IFNA(FB$2,-99),FB$5,_xlfn.IFNA(FB$3,-99),FB$6,_xlfn.IFNA(FB$4,-99),FB$7,""),"")</f>
        <v/>
      </c>
      <c r="FE79" s="32">
        <f>Eu_tabel_a[[#This Row],[x base]]*SQRT(Eu_a_h0_x*(1-Eu_a_h0_x)/Eu_a_n_x)+Eu_a_h0_x</f>
        <v>0</v>
      </c>
      <c r="FJ79" s="74" t="e">
        <f t="shared" si="130"/>
        <v>#N/A</v>
      </c>
      <c r="FK79" s="82" t="e">
        <f t="shared" si="113"/>
        <v>#DIV/0!</v>
      </c>
      <c r="FL79" s="7" t="e">
        <f t="shared" si="124"/>
        <v>#DIV/0!</v>
      </c>
      <c r="FM79" t="e">
        <f t="shared" si="114"/>
        <v>#DIV/0!</v>
      </c>
      <c r="FN79" s="8" t="e">
        <f t="shared" si="115"/>
        <v>#DIV/0!</v>
      </c>
      <c r="FO79" s="8" t="e">
        <f t="shared" si="116"/>
        <v>#DIV/0!</v>
      </c>
      <c r="FP79" s="81" t="e">
        <f t="shared" si="117"/>
        <v>#DIV/0!</v>
      </c>
      <c r="FQ79" s="74" t="e">
        <f t="shared" ca="1" si="125"/>
        <v>#N/A</v>
      </c>
      <c r="FR79" s="82" t="e" vm="3">
        <f t="shared" ca="1" si="131"/>
        <v>#VALUE!</v>
      </c>
      <c r="FS79" s="7" t="e" vm="3">
        <f t="shared" ca="1" si="126"/>
        <v>#VALUE!</v>
      </c>
      <c r="FT79" t="e" vm="3">
        <f t="shared" ca="1" si="120"/>
        <v>#VALUE!</v>
      </c>
      <c r="FU79" s="8" t="e" vm="3">
        <f t="shared" ca="1" si="121"/>
        <v>#VALUE!</v>
      </c>
      <c r="FV79" s="8" t="e" vm="3">
        <f t="shared" ca="1" si="122"/>
        <v>#VALUE!</v>
      </c>
      <c r="FW79" s="81" t="e" vm="3">
        <f t="shared" ca="1" si="123"/>
        <v>#VALUE!</v>
      </c>
      <c r="FX79" s="74" t="e">
        <f t="shared" si="127"/>
        <v>#N/A</v>
      </c>
      <c r="FY79" s="82" t="e">
        <f t="shared" si="132"/>
        <v>#N/A</v>
      </c>
      <c r="FZ79" s="7" t="e">
        <f t="shared" si="128"/>
        <v>#N/A</v>
      </c>
      <c r="GA79" t="e">
        <f t="shared" si="133"/>
        <v>#N/A</v>
      </c>
      <c r="GB79" s="8" t="e">
        <f t="shared" si="134"/>
        <v>#N/A</v>
      </c>
      <c r="GC79" s="8" t="e">
        <f t="shared" si="135"/>
        <v>#N/A</v>
      </c>
      <c r="GD79" s="81" t="e">
        <f t="shared" si="136"/>
        <v>#N/A</v>
      </c>
      <c r="GE79" s="74" t="e">
        <f t="shared" si="137"/>
        <v>#N/A</v>
      </c>
      <c r="GF79" s="82" t="e">
        <f t="shared" si="138"/>
        <v>#N/A</v>
      </c>
      <c r="GG79" s="7" t="e">
        <f t="shared" si="129"/>
        <v>#N/A</v>
      </c>
      <c r="GH79" t="e">
        <f t="shared" si="139"/>
        <v>#N/A</v>
      </c>
      <c r="GI79" s="8" t="e">
        <f t="shared" si="140"/>
        <v>#N/A</v>
      </c>
      <c r="GJ79" s="8" t="e">
        <f t="shared" si="141"/>
        <v>#N/A</v>
      </c>
      <c r="GK79" s="81" t="e">
        <f t="shared" si="142"/>
        <v>#N/A</v>
      </c>
      <c r="GL79" s="81"/>
      <c r="GM79" s="81"/>
      <c r="GP79" s="32">
        <f t="shared" si="187"/>
        <v>69</v>
      </c>
      <c r="GQ79" s="32">
        <f t="shared" si="188"/>
        <v>70</v>
      </c>
      <c r="GR79" s="32">
        <f t="shared" si="189"/>
        <v>-1.4373173517059596</v>
      </c>
      <c r="GS79" s="32">
        <f t="shared" si="190"/>
        <v>0.14200697285664771</v>
      </c>
      <c r="GT79" s="32" t="e">
        <f t="shared" si="191"/>
        <v>#N/A</v>
      </c>
      <c r="GU79" s="32" t="e">
        <f t="shared" si="192"/>
        <v>#N/A</v>
      </c>
      <c r="GV79" s="32" t="e">
        <f t="shared" si="193"/>
        <v>#N/A</v>
      </c>
      <c r="GW79" s="32" t="b">
        <f t="shared" si="194"/>
        <v>0</v>
      </c>
      <c r="GX79" s="32" t="b">
        <f t="shared" si="195"/>
        <v>1</v>
      </c>
      <c r="GY79" s="32" t="b">
        <f t="shared" si="196"/>
        <v>0</v>
      </c>
      <c r="GZ79" s="32" t="b">
        <f t="shared" si="197"/>
        <v>1</v>
      </c>
      <c r="HA79" s="32">
        <f t="shared" si="198"/>
        <v>0.14200697285664771</v>
      </c>
      <c r="HB79" s="32" t="e">
        <f t="shared" si="199"/>
        <v>#N/A</v>
      </c>
      <c r="HC79" s="32">
        <f t="shared" si="200"/>
        <v>0.14200697285664771</v>
      </c>
      <c r="HD79" s="45" t="str">
        <f t="shared" si="201"/>
        <v/>
      </c>
      <c r="HJ79" s="32">
        <f t="shared" si="202"/>
        <v>69</v>
      </c>
      <c r="HK79" s="32">
        <f t="shared" si="203"/>
        <v>70</v>
      </c>
      <c r="HL79" s="32">
        <f t="shared" si="204"/>
        <v>-2.2257161063434108</v>
      </c>
      <c r="HM79" s="32" t="e">
        <f t="shared" si="205"/>
        <v>#N/A</v>
      </c>
      <c r="HN79" s="32">
        <f t="shared" si="206"/>
        <v>4.5270733725450971E-2</v>
      </c>
      <c r="HO79" s="32" t="e">
        <f t="shared" si="207"/>
        <v>#N/A</v>
      </c>
      <c r="HP79" s="32" t="e">
        <f t="shared" si="208"/>
        <v>#N/A</v>
      </c>
      <c r="HQ79" s="32" t="b">
        <f t="shared" si="209"/>
        <v>1</v>
      </c>
      <c r="HR79" s="32" t="b">
        <f t="shared" si="210"/>
        <v>0</v>
      </c>
      <c r="HS79" s="32" t="b">
        <f t="shared" si="211"/>
        <v>1</v>
      </c>
      <c r="HT79" s="32" t="b">
        <f t="shared" si="212"/>
        <v>0</v>
      </c>
      <c r="HU79" s="32">
        <f t="shared" si="213"/>
        <v>4.5270733725450971E-2</v>
      </c>
      <c r="HV79" s="32">
        <f t="shared" si="214"/>
        <v>4.5270733725450971E-2</v>
      </c>
      <c r="HW79" s="32" t="e">
        <f t="shared" si="215"/>
        <v>#N/A</v>
      </c>
      <c r="HX79" s="45" t="str">
        <f t="shared" si="216"/>
        <v/>
      </c>
    </row>
    <row r="80" spans="1:232" x14ac:dyDescent="0.2">
      <c r="BZ80" s="32">
        <f t="shared" si="143"/>
        <v>70</v>
      </c>
      <c r="CA80" s="32">
        <f>Eu_tabel_g[[#This Row],[Indeks]]+1</f>
        <v>71</v>
      </c>
      <c r="CB80" s="32">
        <f t="shared" si="144"/>
        <v>-1.4133620625108603</v>
      </c>
      <c r="CC80" s="32">
        <f t="shared" si="145"/>
        <v>0.14693944834608266</v>
      </c>
      <c r="CD80" s="32" t="e">
        <f t="shared" si="146"/>
        <v>#N/A</v>
      </c>
      <c r="CE80" s="32" t="e">
        <f t="shared" si="147"/>
        <v>#N/A</v>
      </c>
      <c r="CF80" s="32" t="e">
        <f t="shared" si="148"/>
        <v>#N/A</v>
      </c>
      <c r="CG80" s="32" t="b">
        <f t="shared" si="149"/>
        <v>0</v>
      </c>
      <c r="CH80" s="32" t="b">
        <f t="shared" si="150"/>
        <v>1</v>
      </c>
      <c r="CI80" s="32" t="b">
        <f t="shared" si="151"/>
        <v>0</v>
      </c>
      <c r="CJ80" s="32" t="b">
        <f t="shared" si="152"/>
        <v>1</v>
      </c>
      <c r="CK80" s="32">
        <f t="shared" si="119"/>
        <v>0.14693944834608266</v>
      </c>
      <c r="CL80" s="32" t="e">
        <f t="shared" si="153"/>
        <v>#N/A</v>
      </c>
      <c r="CM80" s="32">
        <f t="shared" si="154"/>
        <v>0.14693944834608266</v>
      </c>
      <c r="CN80" s="45" t="str">
        <f t="shared" si="155"/>
        <v/>
      </c>
      <c r="CO80" s="32">
        <f>_xlfn.NORM.DIST(_xlfn.NORM.INV(1-Eu_g_konfidensniveau,0,1)-Eu_tabel_g[[#This Row],[x base]],0,1,TRUE)</f>
        <v>0.4084664690436639</v>
      </c>
      <c r="CP80" s="32">
        <f>1-_xlfn.NORM.DIST(_xlfn.NORM.INV(Eu_g_konfidensniveau,0,1)-Eu_tabel_g[[#This Row],[x base]],0,1,TRUE)</f>
        <v>1.1132962523361378E-3</v>
      </c>
      <c r="CQ80" s="32">
        <f>_xlfn.NORM.DIST(_xlfn.NORM.INV((1-Eu_g_konfidensniveau)/2,0,1)-Eu_tabel_g[[#This Row],[x base]],0,1,TRUE)+1-_xlfn.NORM.DIST(_xlfn.NORM.INV(1-(1-Eu_g_konfidensniveau)/2,0,1)-Eu_tabel_g[[#This Row],[x base]],0,1,TRUE)</f>
        <v>0.29269745394311342</v>
      </c>
      <c r="CR80" s="32" t="e" cm="1">
        <f t="array" ref="CR80">IF($CR$3,INDEX(Eu_tabel_g[[#This Row],[Styrke venstre]:[Styrke tosidet]],CR$7),NA())</f>
        <v>#N/A</v>
      </c>
      <c r="CS80" s="52" t="e">
        <f>Eu_tabel_g[[#This Row],[Falsk positiv
Nulhypotese accepteres
Fejltype 1]]</f>
        <v>#N/A</v>
      </c>
      <c r="CT80" s="52" t="e">
        <f>IF(CHOOSE(CR$7,Eu_tabel_g[[#This Row],[x base]]&gt;0,Eu_tabel_g[[#This Row],[x base]]&lt;0,Eu_tabel_g[[#This Row],[x base]]=0),Eu_tabel_g[[#This Row],[Styrke, aktiv]],NA())</f>
        <v>#N/A</v>
      </c>
      <c r="CU80" s="52" t="e">
        <f>IFERROR(IF($CR$3,Eu_tabel_g[[#This Row],[Styrke, aktiv]],NA()),NA())</f>
        <v>#N/A</v>
      </c>
      <c r="CV80" s="52" t="e">
        <f>IF(ISNA(Eu_tabel_g[[#This Row],[Sand negativ
Nulhypotese afvises
Korrekt]]),NA(),IF($CR$3,1,NA()))</f>
        <v>#N/A</v>
      </c>
      <c r="CW80" s="34" t="str" cm="1">
        <f t="array" ref="CW80">_xlfn.SWITCH(BZ80,_xlfn.IFNA(CU$2,-99),CU$5,_xlfn.IFNA(CU$3,-99),CU$6,_xlfn.IFNA(CU$4,-99),CU$7,"")</f>
        <v/>
      </c>
      <c r="DA80" s="7">
        <f t="shared" si="156"/>
        <v>0.8</v>
      </c>
      <c r="DB80">
        <f>IF(ROW(Styrkeberegning_G[[#This Row],[X base venstre]])=ROW(Styrkeberegning_G[[#Headers],[X base venstre]])+1,DB$7/(DA$7/$B$67),DB79/(DA79/$B$67))</f>
        <v>-2.8015817870135784</v>
      </c>
      <c r="DC80">
        <f>Styrkeberegning_G[[#This Row],[X base venstre]]*-1</f>
        <v>2.8015817870135784</v>
      </c>
      <c r="DN80" s="32">
        <f t="shared" si="157"/>
        <v>70</v>
      </c>
      <c r="DO80" s="32">
        <f t="shared" si="158"/>
        <v>71</v>
      </c>
      <c r="DP80" s="32">
        <f t="shared" si="159"/>
        <v>9.818812613843761</v>
      </c>
      <c r="DQ80" s="32" t="e">
        <f t="shared" si="160"/>
        <v>#N/A</v>
      </c>
      <c r="DR80" s="32" t="e">
        <f t="shared" si="161"/>
        <v>#N/A</v>
      </c>
      <c r="DS80" s="32">
        <f t="shared" si="162"/>
        <v>9.0701728223188074E-2</v>
      </c>
      <c r="DT80" s="32" t="e">
        <f t="shared" si="163"/>
        <v>#N/A</v>
      </c>
      <c r="DU80" s="32" t="b">
        <f t="shared" si="164"/>
        <v>0</v>
      </c>
      <c r="DV80" s="32" t="b">
        <f t="shared" si="165"/>
        <v>1</v>
      </c>
      <c r="DW80" s="32" t="b">
        <f t="shared" si="166"/>
        <v>0</v>
      </c>
      <c r="DX80" s="32" t="b">
        <f t="shared" si="167"/>
        <v>1</v>
      </c>
      <c r="DY80" s="32">
        <f t="shared" si="168"/>
        <v>9.0701728223188074E-2</v>
      </c>
      <c r="DZ80" s="32" t="e">
        <f t="shared" si="169"/>
        <v>#N/A</v>
      </c>
      <c r="EA80" s="32">
        <f t="shared" si="170"/>
        <v>9.0701728223188074E-2</v>
      </c>
      <c r="EB80" s="45" t="str">
        <f t="shared" si="171"/>
        <v/>
      </c>
      <c r="EG80" s="32">
        <f t="shared" si="172"/>
        <v>70</v>
      </c>
      <c r="EH80" s="32">
        <f t="shared" si="173"/>
        <v>71</v>
      </c>
      <c r="EI80" s="32">
        <f t="shared" si="174"/>
        <v>-1.4133620625108603</v>
      </c>
      <c r="EJ80" s="32">
        <f t="shared" si="175"/>
        <v>0.14693944834608266</v>
      </c>
      <c r="EK80" s="32" t="e">
        <f t="shared" si="176"/>
        <v>#N/A</v>
      </c>
      <c r="EL80" s="32" t="e">
        <f t="shared" si="177"/>
        <v>#N/A</v>
      </c>
      <c r="EM80" s="32" t="e">
        <f t="shared" si="178"/>
        <v>#N/A</v>
      </c>
      <c r="EN80" s="32" t="b">
        <f t="shared" si="179"/>
        <v>0</v>
      </c>
      <c r="EO80" s="32" t="b">
        <f t="shared" si="180"/>
        <v>1</v>
      </c>
      <c r="EP80" s="32" t="b">
        <f t="shared" si="181"/>
        <v>0</v>
      </c>
      <c r="EQ80" s="32" t="b">
        <f t="shared" si="182"/>
        <v>1</v>
      </c>
      <c r="ER80" s="32">
        <f t="shared" si="183"/>
        <v>0.14693944834608266</v>
      </c>
      <c r="ES80" s="32" t="e">
        <f t="shared" si="184"/>
        <v>#N/A</v>
      </c>
      <c r="ET80" s="32">
        <f t="shared" si="185"/>
        <v>0.14693944834608266</v>
      </c>
      <c r="EU80" s="45" t="str">
        <f t="shared" si="186"/>
        <v/>
      </c>
      <c r="EV8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0" s="32" t="e" cm="1">
        <f t="array" ref="EY80">IF($CR$3,INDEX(Eu_tabel_a[[#This Row],[Styrke venstre]:[Styrke tosidet]],EY$7),NA())</f>
        <v>#N/A</v>
      </c>
      <c r="EZ80" s="32" t="e">
        <f>IF(EY$3,IF(CHOOSE(EY$7,Eu_tabel_a[[#This Row],[x base]]&gt;0,Eu_tabel_a[[#This Row],[x base]]&lt;0,Eu_tabel_a[[#This Row],[x base]]=0),1,NA()),NA())</f>
        <v>#N/A</v>
      </c>
      <c r="FA80" s="32" t="e">
        <f>IF(CHOOSE(EY$7,Eu_tabel_a[[#This Row],[x base]]&gt;0,Eu_tabel_a[[#This Row],[x base]]&lt;0,Eu_tabel_a[[#This Row],[x base]]=0),Eu_tabel_a[[#This Row],[Styrke, aktiv]],NA())</f>
        <v>#N/A</v>
      </c>
      <c r="FB80" s="32" t="e">
        <f>IFERROR(IF($EY$3,Eu_tabel_a[[#This Row],[Styrke, aktiv]],NA()),NA())</f>
        <v>#N/A</v>
      </c>
      <c r="FC80" s="32" t="e">
        <f>IF(ISNA(Eu_tabel_a[[#This Row],[Sand negativ
Nulhypotese afvises
Korrekt]]),NA(),IF(EY$3,1,NA()))</f>
        <v>#N/A</v>
      </c>
      <c r="FD80" s="33" t="str" cm="1">
        <f t="array" ref="FD80">IFERROR(_xlfn.SWITCH(Eu_tabel_a[[#This Row],[Indeks]],_xlfn.IFNA(FB$2,-99),FB$5,_xlfn.IFNA(FB$3,-99),FB$6,_xlfn.IFNA(FB$4,-99),FB$7,""),"")</f>
        <v/>
      </c>
      <c r="FE80" s="32">
        <f>Eu_tabel_a[[#This Row],[x base]]*SQRT(Eu_a_h0_x*(1-Eu_a_h0_x)/Eu_a_n_x)+Eu_a_h0_x</f>
        <v>0</v>
      </c>
      <c r="FJ80" s="74" t="e">
        <f t="shared" si="130"/>
        <v>#N/A</v>
      </c>
      <c r="FK80" s="82" t="e">
        <f t="shared" si="113"/>
        <v>#DIV/0!</v>
      </c>
      <c r="FL80" s="7" t="e">
        <f t="shared" si="124"/>
        <v>#DIV/0!</v>
      </c>
      <c r="FM80" t="e">
        <f t="shared" si="114"/>
        <v>#DIV/0!</v>
      </c>
      <c r="FN80" s="8" t="e">
        <f t="shared" si="115"/>
        <v>#DIV/0!</v>
      </c>
      <c r="FO80" s="8" t="e">
        <f t="shared" si="116"/>
        <v>#DIV/0!</v>
      </c>
      <c r="FP80" s="81" t="e">
        <f t="shared" si="117"/>
        <v>#DIV/0!</v>
      </c>
      <c r="FQ80" s="74" t="e">
        <f t="shared" ca="1" si="125"/>
        <v>#N/A</v>
      </c>
      <c r="FR80" s="82" t="e" vm="3">
        <f t="shared" ca="1" si="131"/>
        <v>#VALUE!</v>
      </c>
      <c r="FS80" s="7" t="e" vm="3">
        <f t="shared" ca="1" si="126"/>
        <v>#VALUE!</v>
      </c>
      <c r="FT80" t="e" vm="3">
        <f t="shared" ca="1" si="120"/>
        <v>#VALUE!</v>
      </c>
      <c r="FU80" s="8" t="e" vm="3">
        <f t="shared" ca="1" si="121"/>
        <v>#VALUE!</v>
      </c>
      <c r="FV80" s="8" t="e" vm="3">
        <f t="shared" ca="1" si="122"/>
        <v>#VALUE!</v>
      </c>
      <c r="FW80" s="81" t="e" vm="3">
        <f t="shared" ca="1" si="123"/>
        <v>#VALUE!</v>
      </c>
      <c r="FX80" s="74" t="e">
        <f t="shared" si="127"/>
        <v>#N/A</v>
      </c>
      <c r="FY80" s="82" t="e">
        <f t="shared" si="132"/>
        <v>#N/A</v>
      </c>
      <c r="FZ80" s="7" t="e">
        <f t="shared" si="128"/>
        <v>#N/A</v>
      </c>
      <c r="GA80" t="e">
        <f t="shared" si="133"/>
        <v>#N/A</v>
      </c>
      <c r="GB80" s="8" t="e">
        <f t="shared" si="134"/>
        <v>#N/A</v>
      </c>
      <c r="GC80" s="8" t="e">
        <f t="shared" si="135"/>
        <v>#N/A</v>
      </c>
      <c r="GD80" s="81" t="e">
        <f t="shared" si="136"/>
        <v>#N/A</v>
      </c>
      <c r="GE80" s="74" t="e">
        <f t="shared" si="137"/>
        <v>#N/A</v>
      </c>
      <c r="GF80" s="82" t="e">
        <f t="shared" si="138"/>
        <v>#N/A</v>
      </c>
      <c r="GG80" s="7" t="e">
        <f t="shared" si="129"/>
        <v>#N/A</v>
      </c>
      <c r="GH80" t="e">
        <f t="shared" si="139"/>
        <v>#N/A</v>
      </c>
      <c r="GI80" s="8" t="e">
        <f t="shared" si="140"/>
        <v>#N/A</v>
      </c>
      <c r="GJ80" s="8" t="e">
        <f t="shared" si="141"/>
        <v>#N/A</v>
      </c>
      <c r="GK80" s="81" t="e">
        <f t="shared" si="142"/>
        <v>#N/A</v>
      </c>
      <c r="GL80" s="81"/>
      <c r="GM80" s="81"/>
      <c r="GP80" s="32">
        <f t="shared" si="187"/>
        <v>70</v>
      </c>
      <c r="GQ80" s="32">
        <f t="shared" si="188"/>
        <v>71</v>
      </c>
      <c r="GR80" s="32">
        <f t="shared" si="189"/>
        <v>-1.4133620625108603</v>
      </c>
      <c r="GS80" s="32">
        <f t="shared" si="190"/>
        <v>0.14693944834608266</v>
      </c>
      <c r="GT80" s="32" t="e">
        <f t="shared" si="191"/>
        <v>#N/A</v>
      </c>
      <c r="GU80" s="32" t="e">
        <f t="shared" si="192"/>
        <v>#N/A</v>
      </c>
      <c r="GV80" s="32" t="e">
        <f t="shared" si="193"/>
        <v>#N/A</v>
      </c>
      <c r="GW80" s="32" t="b">
        <f t="shared" si="194"/>
        <v>0</v>
      </c>
      <c r="GX80" s="32" t="b">
        <f t="shared" si="195"/>
        <v>1</v>
      </c>
      <c r="GY80" s="32" t="b">
        <f t="shared" si="196"/>
        <v>0</v>
      </c>
      <c r="GZ80" s="32" t="b">
        <f t="shared" si="197"/>
        <v>1</v>
      </c>
      <c r="HA80" s="32">
        <f t="shared" si="198"/>
        <v>0.14693944834608266</v>
      </c>
      <c r="HB80" s="32" t="e">
        <f t="shared" si="199"/>
        <v>#N/A</v>
      </c>
      <c r="HC80" s="32">
        <f t="shared" si="200"/>
        <v>0.14693944834608266</v>
      </c>
      <c r="HD80" s="45" t="str">
        <f t="shared" si="201"/>
        <v/>
      </c>
      <c r="HJ80" s="32">
        <f t="shared" si="202"/>
        <v>70</v>
      </c>
      <c r="HK80" s="32">
        <f t="shared" si="203"/>
        <v>71</v>
      </c>
      <c r="HL80" s="32">
        <f t="shared" si="204"/>
        <v>-2.1886208379043537</v>
      </c>
      <c r="HM80" s="32" t="e">
        <f t="shared" si="205"/>
        <v>#N/A</v>
      </c>
      <c r="HN80" s="32">
        <f t="shared" si="206"/>
        <v>4.7838660639883103E-2</v>
      </c>
      <c r="HO80" s="32" t="e">
        <f t="shared" si="207"/>
        <v>#N/A</v>
      </c>
      <c r="HP80" s="32" t="e">
        <f t="shared" si="208"/>
        <v>#N/A</v>
      </c>
      <c r="HQ80" s="32" t="b">
        <f t="shared" si="209"/>
        <v>1</v>
      </c>
      <c r="HR80" s="32" t="b">
        <f t="shared" si="210"/>
        <v>0</v>
      </c>
      <c r="HS80" s="32" t="b">
        <f t="shared" si="211"/>
        <v>1</v>
      </c>
      <c r="HT80" s="32" t="b">
        <f t="shared" si="212"/>
        <v>0</v>
      </c>
      <c r="HU80" s="32">
        <f t="shared" si="213"/>
        <v>4.7838660639883103E-2</v>
      </c>
      <c r="HV80" s="32">
        <f t="shared" si="214"/>
        <v>4.7838660639883103E-2</v>
      </c>
      <c r="HW80" s="32" t="e">
        <f t="shared" si="215"/>
        <v>#N/A</v>
      </c>
      <c r="HX80" s="45" t="str">
        <f t="shared" si="216"/>
        <v/>
      </c>
    </row>
    <row r="81" spans="78:232" x14ac:dyDescent="0.2">
      <c r="BZ81" s="32">
        <f t="shared" si="143"/>
        <v>71</v>
      </c>
      <c r="CA81" s="32">
        <f>Eu_tabel_g[[#This Row],[Indeks]]+1</f>
        <v>72</v>
      </c>
      <c r="CB81" s="32">
        <f t="shared" si="144"/>
        <v>-1.3894067733157609</v>
      </c>
      <c r="CC81" s="32">
        <f t="shared" si="145"/>
        <v>0.15195602274069356</v>
      </c>
      <c r="CD81" s="32" t="e">
        <f t="shared" si="146"/>
        <v>#N/A</v>
      </c>
      <c r="CE81" s="32" t="e">
        <f t="shared" si="147"/>
        <v>#N/A</v>
      </c>
      <c r="CF81" s="32" t="e">
        <f t="shared" si="148"/>
        <v>#N/A</v>
      </c>
      <c r="CG81" s="32" t="b">
        <f t="shared" si="149"/>
        <v>0</v>
      </c>
      <c r="CH81" s="32" t="b">
        <f t="shared" si="150"/>
        <v>1</v>
      </c>
      <c r="CI81" s="32" t="b">
        <f t="shared" si="151"/>
        <v>0</v>
      </c>
      <c r="CJ81" s="32" t="b">
        <f t="shared" si="152"/>
        <v>1</v>
      </c>
      <c r="CK81" s="32">
        <f t="shared" si="119"/>
        <v>0.15195602274069356</v>
      </c>
      <c r="CL81" s="32" t="e">
        <f t="shared" si="153"/>
        <v>#N/A</v>
      </c>
      <c r="CM81" s="32">
        <f t="shared" si="154"/>
        <v>0.15195602274069356</v>
      </c>
      <c r="CN81" s="45" t="str">
        <f t="shared" si="155"/>
        <v/>
      </c>
      <c r="CO81" s="32">
        <f>_xlfn.NORM.DIST(_xlfn.NORM.INV(1-Eu_g_konfidensniveau,0,1)-Eu_tabel_g[[#This Row],[x base]],0,1,TRUE)</f>
        <v>0.39918899340115521</v>
      </c>
      <c r="CP81" s="32">
        <f>1-_xlfn.NORM.DIST(_xlfn.NORM.INV(Eu_g_konfidensniveau,0,1)-Eu_tabel_g[[#This Row],[x base]],0,1,TRUE)</f>
        <v>1.2056310181406404E-3</v>
      </c>
      <c r="CQ81" s="32">
        <f>_xlfn.NORM.DIST(_xlfn.NORM.INV((1-Eu_g_konfidensniveau)/2,0,1)-Eu_tabel_g[[#This Row],[x base]],0,1,TRUE)+1-_xlfn.NORM.DIST(_xlfn.NORM.INV(1-(1-Eu_g_konfidensniveau)/2,0,1)-Eu_tabel_g[[#This Row],[x base]],0,1,TRUE)</f>
        <v>0.2845548918524472</v>
      </c>
      <c r="CR81" s="32" t="e" cm="1">
        <f t="array" ref="CR81">IF($CR$3,INDEX(Eu_tabel_g[[#This Row],[Styrke venstre]:[Styrke tosidet]],CR$7),NA())</f>
        <v>#N/A</v>
      </c>
      <c r="CS81" s="52" t="e">
        <f>Eu_tabel_g[[#This Row],[Falsk positiv
Nulhypotese accepteres
Fejltype 1]]</f>
        <v>#N/A</v>
      </c>
      <c r="CT81" s="52" t="e">
        <f>IF(CHOOSE(CR$7,Eu_tabel_g[[#This Row],[x base]]&gt;0,Eu_tabel_g[[#This Row],[x base]]&lt;0,Eu_tabel_g[[#This Row],[x base]]=0),Eu_tabel_g[[#This Row],[Styrke, aktiv]],NA())</f>
        <v>#N/A</v>
      </c>
      <c r="CU81" s="52" t="e">
        <f>IFERROR(IF($CR$3,Eu_tabel_g[[#This Row],[Styrke, aktiv]],NA()),NA())</f>
        <v>#N/A</v>
      </c>
      <c r="CV81" s="52" t="e">
        <f>IF(ISNA(Eu_tabel_g[[#This Row],[Sand negativ
Nulhypotese afvises
Korrekt]]),NA(),IF($CR$3,1,NA()))</f>
        <v>#N/A</v>
      </c>
      <c r="CW81" s="34" t="str" cm="1">
        <f t="array" ref="CW81">_xlfn.SWITCH(BZ81,_xlfn.IFNA(CU$2,-99),CU$5,_xlfn.IFNA(CU$3,-99),CU$6,_xlfn.IFNA(CU$4,-99),CU$7,"")</f>
        <v/>
      </c>
      <c r="DA81" s="7">
        <f t="shared" si="156"/>
        <v>0.8</v>
      </c>
      <c r="DB81">
        <f>IF(ROW(Styrkeberegning_G[[#This Row],[X base venstre]])=ROW(Styrkeberegning_G[[#Headers],[X base venstre]])+1,DB$7/(DA$7/$B$67),DB80/(DA80/$B$67))</f>
        <v>-2.8015817870135784</v>
      </c>
      <c r="DC81">
        <f>Styrkeberegning_G[[#This Row],[X base venstre]]*-1</f>
        <v>2.8015817870135784</v>
      </c>
      <c r="DN81" s="32">
        <f t="shared" si="157"/>
        <v>71</v>
      </c>
      <c r="DO81" s="32">
        <f t="shared" si="158"/>
        <v>72</v>
      </c>
      <c r="DP81" s="32">
        <f t="shared" si="159"/>
        <v>9.9328834702607622</v>
      </c>
      <c r="DQ81" s="32" t="e">
        <f t="shared" si="160"/>
        <v>#N/A</v>
      </c>
      <c r="DR81" s="32" t="e">
        <f t="shared" si="161"/>
        <v>#N/A</v>
      </c>
      <c r="DS81" s="32">
        <f t="shared" si="162"/>
        <v>9.024414802690281E-2</v>
      </c>
      <c r="DT81" s="32" t="e">
        <f t="shared" si="163"/>
        <v>#N/A</v>
      </c>
      <c r="DU81" s="32" t="b">
        <f t="shared" si="164"/>
        <v>0</v>
      </c>
      <c r="DV81" s="32" t="b">
        <f t="shared" si="165"/>
        <v>1</v>
      </c>
      <c r="DW81" s="32" t="b">
        <f t="shared" si="166"/>
        <v>0</v>
      </c>
      <c r="DX81" s="32" t="b">
        <f t="shared" si="167"/>
        <v>1</v>
      </c>
      <c r="DY81" s="32">
        <f t="shared" si="168"/>
        <v>9.024414802690281E-2</v>
      </c>
      <c r="DZ81" s="32" t="e">
        <f t="shared" si="169"/>
        <v>#N/A</v>
      </c>
      <c r="EA81" s="32">
        <f t="shared" si="170"/>
        <v>9.024414802690281E-2</v>
      </c>
      <c r="EB81" s="45" t="str">
        <f t="shared" si="171"/>
        <v/>
      </c>
      <c r="EG81" s="32">
        <f t="shared" si="172"/>
        <v>71</v>
      </c>
      <c r="EH81" s="32">
        <f t="shared" si="173"/>
        <v>72</v>
      </c>
      <c r="EI81" s="32">
        <f t="shared" si="174"/>
        <v>-1.3894067733157609</v>
      </c>
      <c r="EJ81" s="32">
        <f t="shared" si="175"/>
        <v>0.15195602274069356</v>
      </c>
      <c r="EK81" s="32" t="e">
        <f t="shared" si="176"/>
        <v>#N/A</v>
      </c>
      <c r="EL81" s="32" t="e">
        <f t="shared" si="177"/>
        <v>#N/A</v>
      </c>
      <c r="EM81" s="32" t="e">
        <f t="shared" si="178"/>
        <v>#N/A</v>
      </c>
      <c r="EN81" s="32" t="b">
        <f t="shared" si="179"/>
        <v>0</v>
      </c>
      <c r="EO81" s="32" t="b">
        <f t="shared" si="180"/>
        <v>1</v>
      </c>
      <c r="EP81" s="32" t="b">
        <f t="shared" si="181"/>
        <v>0</v>
      </c>
      <c r="EQ81" s="32" t="b">
        <f t="shared" si="182"/>
        <v>1</v>
      </c>
      <c r="ER81" s="32">
        <f t="shared" si="183"/>
        <v>0.15195602274069356</v>
      </c>
      <c r="ES81" s="32" t="e">
        <f t="shared" si="184"/>
        <v>#N/A</v>
      </c>
      <c r="ET81" s="32">
        <f t="shared" si="185"/>
        <v>0.15195602274069356</v>
      </c>
      <c r="EU81" s="45" t="str">
        <f t="shared" si="186"/>
        <v/>
      </c>
      <c r="EV8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1" s="32" t="e" cm="1">
        <f t="array" ref="EY81">IF($CR$3,INDEX(Eu_tabel_a[[#This Row],[Styrke venstre]:[Styrke tosidet]],EY$7),NA())</f>
        <v>#N/A</v>
      </c>
      <c r="EZ81" s="32" t="e">
        <f>IF(EY$3,IF(CHOOSE(EY$7,Eu_tabel_a[[#This Row],[x base]]&gt;0,Eu_tabel_a[[#This Row],[x base]]&lt;0,Eu_tabel_a[[#This Row],[x base]]=0),1,NA()),NA())</f>
        <v>#N/A</v>
      </c>
      <c r="FA81" s="32" t="e">
        <f>IF(CHOOSE(EY$7,Eu_tabel_a[[#This Row],[x base]]&gt;0,Eu_tabel_a[[#This Row],[x base]]&lt;0,Eu_tabel_a[[#This Row],[x base]]=0),Eu_tabel_a[[#This Row],[Styrke, aktiv]],NA())</f>
        <v>#N/A</v>
      </c>
      <c r="FB81" s="32" t="e">
        <f>IFERROR(IF($EY$3,Eu_tabel_a[[#This Row],[Styrke, aktiv]],NA()),NA())</f>
        <v>#N/A</v>
      </c>
      <c r="FC81" s="32" t="e">
        <f>IF(ISNA(Eu_tabel_a[[#This Row],[Sand negativ
Nulhypotese afvises
Korrekt]]),NA(),IF(EY$3,1,NA()))</f>
        <v>#N/A</v>
      </c>
      <c r="FD81" s="33" t="str" cm="1">
        <f t="array" ref="FD81">IFERROR(_xlfn.SWITCH(Eu_tabel_a[[#This Row],[Indeks]],_xlfn.IFNA(FB$2,-99),FB$5,_xlfn.IFNA(FB$3,-99),FB$6,_xlfn.IFNA(FB$4,-99),FB$7,""),"")</f>
        <v/>
      </c>
      <c r="FE81" s="32">
        <f>Eu_tabel_a[[#This Row],[x base]]*SQRT(Eu_a_h0_x*(1-Eu_a_h0_x)/Eu_a_n_x)+Eu_a_h0_x</f>
        <v>0</v>
      </c>
      <c r="FJ81" s="74" t="e">
        <f t="shared" si="130"/>
        <v>#N/A</v>
      </c>
      <c r="FK81" s="82" t="e">
        <f t="shared" si="113"/>
        <v>#DIV/0!</v>
      </c>
      <c r="FL81" s="7" t="e">
        <f t="shared" si="124"/>
        <v>#DIV/0!</v>
      </c>
      <c r="FM81" t="e">
        <f t="shared" si="114"/>
        <v>#DIV/0!</v>
      </c>
      <c r="FN81" s="8" t="e">
        <f t="shared" si="115"/>
        <v>#DIV/0!</v>
      </c>
      <c r="FO81" s="8" t="e">
        <f t="shared" si="116"/>
        <v>#DIV/0!</v>
      </c>
      <c r="FP81" s="81" t="e">
        <f t="shared" si="117"/>
        <v>#DIV/0!</v>
      </c>
      <c r="FQ81" s="74" t="e">
        <f t="shared" ca="1" si="125"/>
        <v>#N/A</v>
      </c>
      <c r="FR81" s="82" t="e" vm="3">
        <f t="shared" ca="1" si="131"/>
        <v>#VALUE!</v>
      </c>
      <c r="FS81" s="7" t="e" vm="3">
        <f t="shared" ca="1" si="126"/>
        <v>#VALUE!</v>
      </c>
      <c r="FT81" t="e" vm="3">
        <f t="shared" ca="1" si="120"/>
        <v>#VALUE!</v>
      </c>
      <c r="FU81" s="8" t="e" vm="3">
        <f t="shared" ca="1" si="121"/>
        <v>#VALUE!</v>
      </c>
      <c r="FV81" s="8" t="e" vm="3">
        <f t="shared" ca="1" si="122"/>
        <v>#VALUE!</v>
      </c>
      <c r="FW81" s="81" t="e" vm="3">
        <f t="shared" ca="1" si="123"/>
        <v>#VALUE!</v>
      </c>
      <c r="FX81" s="74" t="e">
        <f t="shared" si="127"/>
        <v>#N/A</v>
      </c>
      <c r="FY81" s="82" t="e">
        <f t="shared" si="132"/>
        <v>#N/A</v>
      </c>
      <c r="FZ81" s="7" t="e">
        <f t="shared" si="128"/>
        <v>#N/A</v>
      </c>
      <c r="GA81" t="e">
        <f t="shared" si="133"/>
        <v>#N/A</v>
      </c>
      <c r="GB81" s="8" t="e">
        <f t="shared" si="134"/>
        <v>#N/A</v>
      </c>
      <c r="GC81" s="8" t="e">
        <f t="shared" si="135"/>
        <v>#N/A</v>
      </c>
      <c r="GD81" s="81" t="e">
        <f t="shared" si="136"/>
        <v>#N/A</v>
      </c>
      <c r="GE81" s="74" t="e">
        <f t="shared" si="137"/>
        <v>#N/A</v>
      </c>
      <c r="GF81" s="82" t="e">
        <f t="shared" si="138"/>
        <v>#N/A</v>
      </c>
      <c r="GG81" s="7" t="e">
        <f t="shared" si="129"/>
        <v>#N/A</v>
      </c>
      <c r="GH81" t="e">
        <f t="shared" si="139"/>
        <v>#N/A</v>
      </c>
      <c r="GI81" s="8" t="e">
        <f t="shared" si="140"/>
        <v>#N/A</v>
      </c>
      <c r="GJ81" s="8" t="e">
        <f t="shared" si="141"/>
        <v>#N/A</v>
      </c>
      <c r="GK81" s="81" t="e">
        <f t="shared" si="142"/>
        <v>#N/A</v>
      </c>
      <c r="GL81" s="81"/>
      <c r="GM81" s="81"/>
      <c r="GP81" s="32">
        <f t="shared" si="187"/>
        <v>71</v>
      </c>
      <c r="GQ81" s="32">
        <f t="shared" si="188"/>
        <v>72</v>
      </c>
      <c r="GR81" s="32">
        <f t="shared" si="189"/>
        <v>-1.3894067733157609</v>
      </c>
      <c r="GS81" s="32">
        <f t="shared" si="190"/>
        <v>0.15195602274069356</v>
      </c>
      <c r="GT81" s="32" t="e">
        <f t="shared" si="191"/>
        <v>#N/A</v>
      </c>
      <c r="GU81" s="32" t="e">
        <f t="shared" si="192"/>
        <v>#N/A</v>
      </c>
      <c r="GV81" s="32" t="e">
        <f t="shared" si="193"/>
        <v>#N/A</v>
      </c>
      <c r="GW81" s="32" t="b">
        <f t="shared" si="194"/>
        <v>0</v>
      </c>
      <c r="GX81" s="32" t="b">
        <f t="shared" si="195"/>
        <v>1</v>
      </c>
      <c r="GY81" s="32" t="b">
        <f t="shared" si="196"/>
        <v>0</v>
      </c>
      <c r="GZ81" s="32" t="b">
        <f t="shared" si="197"/>
        <v>1</v>
      </c>
      <c r="HA81" s="32">
        <f t="shared" si="198"/>
        <v>0.15195602274069356</v>
      </c>
      <c r="HB81" s="32" t="e">
        <f t="shared" si="199"/>
        <v>#N/A</v>
      </c>
      <c r="HC81" s="32">
        <f t="shared" si="200"/>
        <v>0.15195602274069356</v>
      </c>
      <c r="HD81" s="45" t="str">
        <f t="shared" si="201"/>
        <v/>
      </c>
      <c r="HJ81" s="32">
        <f t="shared" si="202"/>
        <v>71</v>
      </c>
      <c r="HK81" s="32">
        <f t="shared" si="203"/>
        <v>72</v>
      </c>
      <c r="HL81" s="32">
        <f t="shared" si="204"/>
        <v>-2.151525569465297</v>
      </c>
      <c r="HM81" s="32" t="e">
        <f t="shared" si="205"/>
        <v>#N/A</v>
      </c>
      <c r="HN81" s="32">
        <f t="shared" si="206"/>
        <v>5.0543400876907167E-2</v>
      </c>
      <c r="HO81" s="32" t="e">
        <f t="shared" si="207"/>
        <v>#N/A</v>
      </c>
      <c r="HP81" s="32" t="e">
        <f t="shared" si="208"/>
        <v>#N/A</v>
      </c>
      <c r="HQ81" s="32" t="b">
        <f t="shared" si="209"/>
        <v>1</v>
      </c>
      <c r="HR81" s="32" t="b">
        <f t="shared" si="210"/>
        <v>0</v>
      </c>
      <c r="HS81" s="32" t="b">
        <f t="shared" si="211"/>
        <v>1</v>
      </c>
      <c r="HT81" s="32" t="b">
        <f t="shared" si="212"/>
        <v>0</v>
      </c>
      <c r="HU81" s="32">
        <f t="shared" si="213"/>
        <v>5.0543400876907167E-2</v>
      </c>
      <c r="HV81" s="32">
        <f t="shared" si="214"/>
        <v>5.0543400876907167E-2</v>
      </c>
      <c r="HW81" s="32" t="e">
        <f t="shared" si="215"/>
        <v>#N/A</v>
      </c>
      <c r="HX81" s="45" t="str">
        <f t="shared" si="216"/>
        <v/>
      </c>
    </row>
    <row r="82" spans="78:232" x14ac:dyDescent="0.2">
      <c r="BZ82" s="32">
        <f t="shared" si="143"/>
        <v>72</v>
      </c>
      <c r="CA82" s="32">
        <f>Eu_tabel_g[[#This Row],[Indeks]]+1</f>
        <v>73</v>
      </c>
      <c r="CB82" s="32">
        <f t="shared" si="144"/>
        <v>-1.3654514841206618</v>
      </c>
      <c r="CC82" s="32">
        <f t="shared" si="145"/>
        <v>0.1570537130277106</v>
      </c>
      <c r="CD82" s="32" t="e">
        <f t="shared" si="146"/>
        <v>#N/A</v>
      </c>
      <c r="CE82" s="32" t="e">
        <f t="shared" si="147"/>
        <v>#N/A</v>
      </c>
      <c r="CF82" s="32" t="e">
        <f t="shared" si="148"/>
        <v>#N/A</v>
      </c>
      <c r="CG82" s="32" t="b">
        <f t="shared" si="149"/>
        <v>0</v>
      </c>
      <c r="CH82" s="32" t="b">
        <f t="shared" si="150"/>
        <v>1</v>
      </c>
      <c r="CI82" s="32" t="b">
        <f t="shared" si="151"/>
        <v>0</v>
      </c>
      <c r="CJ82" s="32" t="b">
        <f t="shared" si="152"/>
        <v>1</v>
      </c>
      <c r="CK82" s="32">
        <f t="shared" si="119"/>
        <v>0.1570537130277106</v>
      </c>
      <c r="CL82" s="32" t="e">
        <f t="shared" si="153"/>
        <v>#N/A</v>
      </c>
      <c r="CM82" s="32">
        <f t="shared" si="154"/>
        <v>0.1570537130277106</v>
      </c>
      <c r="CN82" s="45" t="str">
        <f t="shared" si="155"/>
        <v/>
      </c>
      <c r="CO82" s="32">
        <f>_xlfn.NORM.DIST(_xlfn.NORM.INV(1-Eu_g_konfidensniveau,0,1)-Eu_tabel_g[[#This Row],[x base]],0,1,TRUE)</f>
        <v>0.38996811339942744</v>
      </c>
      <c r="CP82" s="32">
        <f>1-_xlfn.NORM.DIST(_xlfn.NORM.INV(Eu_g_konfidensniveau,0,1)-Eu_tabel_g[[#This Row],[x base]],0,1,TRUE)</f>
        <v>1.3049268744640408E-3</v>
      </c>
      <c r="CQ82" s="32">
        <f>_xlfn.NORM.DIST(_xlfn.NORM.INV((1-Eu_g_konfidensniveau)/2,0,1)-Eu_tabel_g[[#This Row],[x base]],0,1,TRUE)+1-_xlfn.NORM.DIST(_xlfn.NORM.INV(1-(1-Eu_g_konfidensniveau)/2,0,1)-Eu_tabel_g[[#This Row],[x base]],0,1,TRUE)</f>
        <v>0.27652612634393015</v>
      </c>
      <c r="CR82" s="32" t="e" cm="1">
        <f t="array" ref="CR82">IF($CR$3,INDEX(Eu_tabel_g[[#This Row],[Styrke venstre]:[Styrke tosidet]],CR$7),NA())</f>
        <v>#N/A</v>
      </c>
      <c r="CS82" s="52" t="e">
        <f>Eu_tabel_g[[#This Row],[Falsk positiv
Nulhypotese accepteres
Fejltype 1]]</f>
        <v>#N/A</v>
      </c>
      <c r="CT82" s="52" t="e">
        <f>IF(CHOOSE(CR$7,Eu_tabel_g[[#This Row],[x base]]&gt;0,Eu_tabel_g[[#This Row],[x base]]&lt;0,Eu_tabel_g[[#This Row],[x base]]=0),Eu_tabel_g[[#This Row],[Styrke, aktiv]],NA())</f>
        <v>#N/A</v>
      </c>
      <c r="CU82" s="52" t="e">
        <f>IFERROR(IF($CR$3,Eu_tabel_g[[#This Row],[Styrke, aktiv]],NA()),NA())</f>
        <v>#N/A</v>
      </c>
      <c r="CV82" s="52" t="e">
        <f>IF(ISNA(Eu_tabel_g[[#This Row],[Sand negativ
Nulhypotese afvises
Korrekt]]),NA(),IF($CR$3,1,NA()))</f>
        <v>#N/A</v>
      </c>
      <c r="CW82" s="34" t="str" cm="1">
        <f t="array" ref="CW82">_xlfn.SWITCH(BZ82,_xlfn.IFNA(CU$2,-99),CU$5,_xlfn.IFNA(CU$3,-99),CU$6,_xlfn.IFNA(CU$4,-99),CU$7,"")</f>
        <v/>
      </c>
      <c r="DA82" s="7">
        <f t="shared" si="156"/>
        <v>0.8</v>
      </c>
      <c r="DB82">
        <f>IF(ROW(Styrkeberegning_G[[#This Row],[X base venstre]])=ROW(Styrkeberegning_G[[#Headers],[X base venstre]])+1,DB$7/(DA$7/$B$67),DB81/(DA81/$B$67))</f>
        <v>-2.8015817870135784</v>
      </c>
      <c r="DC82">
        <f>Styrkeberegning_G[[#This Row],[X base venstre]]*-1</f>
        <v>2.8015817870135784</v>
      </c>
      <c r="DN82" s="32">
        <f t="shared" si="157"/>
        <v>72</v>
      </c>
      <c r="DO82" s="32">
        <f t="shared" si="158"/>
        <v>73</v>
      </c>
      <c r="DP82" s="32">
        <f t="shared" si="159"/>
        <v>10.046954326677763</v>
      </c>
      <c r="DQ82" s="32" t="e">
        <f t="shared" si="160"/>
        <v>#N/A</v>
      </c>
      <c r="DR82" s="32" t="e">
        <f t="shared" si="161"/>
        <v>#N/A</v>
      </c>
      <c r="DS82" s="32">
        <f t="shared" si="162"/>
        <v>8.9735600035729654E-2</v>
      </c>
      <c r="DT82" s="32" t="e">
        <f t="shared" si="163"/>
        <v>#N/A</v>
      </c>
      <c r="DU82" s="32" t="b">
        <f t="shared" si="164"/>
        <v>0</v>
      </c>
      <c r="DV82" s="32" t="b">
        <f t="shared" si="165"/>
        <v>1</v>
      </c>
      <c r="DW82" s="32" t="b">
        <f t="shared" si="166"/>
        <v>0</v>
      </c>
      <c r="DX82" s="32" t="b">
        <f t="shared" si="167"/>
        <v>1</v>
      </c>
      <c r="DY82" s="32">
        <f t="shared" si="168"/>
        <v>8.9735600035729654E-2</v>
      </c>
      <c r="DZ82" s="32" t="e">
        <f t="shared" si="169"/>
        <v>#N/A</v>
      </c>
      <c r="EA82" s="32">
        <f t="shared" si="170"/>
        <v>8.9735600035729654E-2</v>
      </c>
      <c r="EB82" s="45" t="str">
        <f t="shared" si="171"/>
        <v/>
      </c>
      <c r="EG82" s="32">
        <f t="shared" si="172"/>
        <v>72</v>
      </c>
      <c r="EH82" s="32">
        <f t="shared" si="173"/>
        <v>73</v>
      </c>
      <c r="EI82" s="32">
        <f t="shared" si="174"/>
        <v>-1.3654514841206618</v>
      </c>
      <c r="EJ82" s="32">
        <f t="shared" si="175"/>
        <v>0.1570537130277106</v>
      </c>
      <c r="EK82" s="32" t="e">
        <f t="shared" si="176"/>
        <v>#N/A</v>
      </c>
      <c r="EL82" s="32" t="e">
        <f t="shared" si="177"/>
        <v>#N/A</v>
      </c>
      <c r="EM82" s="32" t="e">
        <f t="shared" si="178"/>
        <v>#N/A</v>
      </c>
      <c r="EN82" s="32" t="b">
        <f t="shared" si="179"/>
        <v>0</v>
      </c>
      <c r="EO82" s="32" t="b">
        <f t="shared" si="180"/>
        <v>1</v>
      </c>
      <c r="EP82" s="32" t="b">
        <f t="shared" si="181"/>
        <v>0</v>
      </c>
      <c r="EQ82" s="32" t="b">
        <f t="shared" si="182"/>
        <v>1</v>
      </c>
      <c r="ER82" s="32">
        <f t="shared" si="183"/>
        <v>0.1570537130277106</v>
      </c>
      <c r="ES82" s="32" t="e">
        <f t="shared" si="184"/>
        <v>#N/A</v>
      </c>
      <c r="ET82" s="32">
        <f t="shared" si="185"/>
        <v>0.1570537130277106</v>
      </c>
      <c r="EU82" s="45" t="str">
        <f t="shared" si="186"/>
        <v/>
      </c>
      <c r="EV8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2" s="32" t="e" cm="1">
        <f t="array" ref="EY82">IF($CR$3,INDEX(Eu_tabel_a[[#This Row],[Styrke venstre]:[Styrke tosidet]],EY$7),NA())</f>
        <v>#N/A</v>
      </c>
      <c r="EZ82" s="32" t="e">
        <f>IF(EY$3,IF(CHOOSE(EY$7,Eu_tabel_a[[#This Row],[x base]]&gt;0,Eu_tabel_a[[#This Row],[x base]]&lt;0,Eu_tabel_a[[#This Row],[x base]]=0),1,NA()),NA())</f>
        <v>#N/A</v>
      </c>
      <c r="FA82" s="32" t="e">
        <f>IF(CHOOSE(EY$7,Eu_tabel_a[[#This Row],[x base]]&gt;0,Eu_tabel_a[[#This Row],[x base]]&lt;0,Eu_tabel_a[[#This Row],[x base]]=0),Eu_tabel_a[[#This Row],[Styrke, aktiv]],NA())</f>
        <v>#N/A</v>
      </c>
      <c r="FB82" s="32" t="e">
        <f>IFERROR(IF($EY$3,Eu_tabel_a[[#This Row],[Styrke, aktiv]],NA()),NA())</f>
        <v>#N/A</v>
      </c>
      <c r="FC82" s="32" t="e">
        <f>IF(ISNA(Eu_tabel_a[[#This Row],[Sand negativ
Nulhypotese afvises
Korrekt]]),NA(),IF(EY$3,1,NA()))</f>
        <v>#N/A</v>
      </c>
      <c r="FD82" s="33" t="str" cm="1">
        <f t="array" ref="FD82">IFERROR(_xlfn.SWITCH(Eu_tabel_a[[#This Row],[Indeks]],_xlfn.IFNA(FB$2,-99),FB$5,_xlfn.IFNA(FB$3,-99),FB$6,_xlfn.IFNA(FB$4,-99),FB$7,""),"")</f>
        <v/>
      </c>
      <c r="FE82" s="32">
        <f>Eu_tabel_a[[#This Row],[x base]]*SQRT(Eu_a_h0_x*(1-Eu_a_h0_x)/Eu_a_n_x)+Eu_a_h0_x</f>
        <v>0</v>
      </c>
      <c r="FJ82" s="74" t="e">
        <f t="shared" si="130"/>
        <v>#N/A</v>
      </c>
      <c r="FK82" s="82" t="e">
        <f t="shared" si="113"/>
        <v>#DIV/0!</v>
      </c>
      <c r="FL82" s="7" t="e">
        <f t="shared" si="124"/>
        <v>#DIV/0!</v>
      </c>
      <c r="FM82" t="e">
        <f t="shared" si="114"/>
        <v>#DIV/0!</v>
      </c>
      <c r="FN82" s="8" t="e">
        <f t="shared" si="115"/>
        <v>#DIV/0!</v>
      </c>
      <c r="FO82" s="8" t="e">
        <f t="shared" si="116"/>
        <v>#DIV/0!</v>
      </c>
      <c r="FP82" s="81" t="e">
        <f t="shared" si="117"/>
        <v>#DIV/0!</v>
      </c>
      <c r="FQ82" s="74" t="e">
        <f t="shared" ca="1" si="125"/>
        <v>#N/A</v>
      </c>
      <c r="FR82" s="82" t="e" vm="3">
        <f t="shared" ca="1" si="131"/>
        <v>#VALUE!</v>
      </c>
      <c r="FS82" s="7" t="e" vm="3">
        <f t="shared" ca="1" si="126"/>
        <v>#VALUE!</v>
      </c>
      <c r="FT82" t="e" vm="3">
        <f t="shared" ca="1" si="120"/>
        <v>#VALUE!</v>
      </c>
      <c r="FU82" s="8" t="e" vm="3">
        <f t="shared" ca="1" si="121"/>
        <v>#VALUE!</v>
      </c>
      <c r="FV82" s="8" t="e" vm="3">
        <f t="shared" ca="1" si="122"/>
        <v>#VALUE!</v>
      </c>
      <c r="FW82" s="81" t="e" vm="3">
        <f t="shared" ca="1" si="123"/>
        <v>#VALUE!</v>
      </c>
      <c r="FX82" s="74" t="e">
        <f t="shared" si="127"/>
        <v>#N/A</v>
      </c>
      <c r="FY82" s="82" t="e">
        <f t="shared" si="132"/>
        <v>#N/A</v>
      </c>
      <c r="FZ82" s="7" t="e">
        <f t="shared" si="128"/>
        <v>#N/A</v>
      </c>
      <c r="GA82" t="e">
        <f t="shared" si="133"/>
        <v>#N/A</v>
      </c>
      <c r="GB82" s="8" t="e">
        <f t="shared" si="134"/>
        <v>#N/A</v>
      </c>
      <c r="GC82" s="8" t="e">
        <f t="shared" si="135"/>
        <v>#N/A</v>
      </c>
      <c r="GD82" s="81" t="e">
        <f t="shared" si="136"/>
        <v>#N/A</v>
      </c>
      <c r="GE82" s="74" t="e">
        <f t="shared" si="137"/>
        <v>#N/A</v>
      </c>
      <c r="GF82" s="82" t="e">
        <f t="shared" si="138"/>
        <v>#N/A</v>
      </c>
      <c r="GG82" s="7" t="e">
        <f t="shared" si="129"/>
        <v>#N/A</v>
      </c>
      <c r="GH82" t="e">
        <f t="shared" si="139"/>
        <v>#N/A</v>
      </c>
      <c r="GI82" s="8" t="e">
        <f t="shared" si="140"/>
        <v>#N/A</v>
      </c>
      <c r="GJ82" s="8" t="e">
        <f t="shared" si="141"/>
        <v>#N/A</v>
      </c>
      <c r="GK82" s="81" t="e">
        <f t="shared" si="142"/>
        <v>#N/A</v>
      </c>
      <c r="GL82" s="81"/>
      <c r="GM82" s="81"/>
      <c r="GP82" s="32">
        <f t="shared" si="187"/>
        <v>72</v>
      </c>
      <c r="GQ82" s="32">
        <f t="shared" si="188"/>
        <v>73</v>
      </c>
      <c r="GR82" s="32">
        <f t="shared" si="189"/>
        <v>-1.3654514841206618</v>
      </c>
      <c r="GS82" s="32">
        <f t="shared" si="190"/>
        <v>0.1570537130277106</v>
      </c>
      <c r="GT82" s="32" t="e">
        <f t="shared" si="191"/>
        <v>#N/A</v>
      </c>
      <c r="GU82" s="32" t="e">
        <f t="shared" si="192"/>
        <v>#N/A</v>
      </c>
      <c r="GV82" s="32" t="e">
        <f t="shared" si="193"/>
        <v>#N/A</v>
      </c>
      <c r="GW82" s="32" t="b">
        <f t="shared" si="194"/>
        <v>0</v>
      </c>
      <c r="GX82" s="32" t="b">
        <f t="shared" si="195"/>
        <v>1</v>
      </c>
      <c r="GY82" s="32" t="b">
        <f t="shared" si="196"/>
        <v>0</v>
      </c>
      <c r="GZ82" s="32" t="b">
        <f t="shared" si="197"/>
        <v>1</v>
      </c>
      <c r="HA82" s="32">
        <f t="shared" si="198"/>
        <v>0.1570537130277106</v>
      </c>
      <c r="HB82" s="32" t="e">
        <f t="shared" si="199"/>
        <v>#N/A</v>
      </c>
      <c r="HC82" s="32">
        <f t="shared" si="200"/>
        <v>0.1570537130277106</v>
      </c>
      <c r="HD82" s="45" t="str">
        <f t="shared" si="201"/>
        <v/>
      </c>
      <c r="HJ82" s="32">
        <f t="shared" si="202"/>
        <v>72</v>
      </c>
      <c r="HK82" s="32">
        <f t="shared" si="203"/>
        <v>73</v>
      </c>
      <c r="HL82" s="32">
        <f t="shared" si="204"/>
        <v>-2.11443030102624</v>
      </c>
      <c r="HM82" s="32" t="e">
        <f t="shared" si="205"/>
        <v>#N/A</v>
      </c>
      <c r="HN82" s="32">
        <f t="shared" si="206"/>
        <v>5.3390755704805393E-2</v>
      </c>
      <c r="HO82" s="32" t="e">
        <f t="shared" si="207"/>
        <v>#N/A</v>
      </c>
      <c r="HP82" s="32" t="e">
        <f t="shared" si="208"/>
        <v>#N/A</v>
      </c>
      <c r="HQ82" s="32" t="b">
        <f t="shared" si="209"/>
        <v>1</v>
      </c>
      <c r="HR82" s="32" t="b">
        <f t="shared" si="210"/>
        <v>0</v>
      </c>
      <c r="HS82" s="32" t="b">
        <f t="shared" si="211"/>
        <v>1</v>
      </c>
      <c r="HT82" s="32" t="b">
        <f t="shared" si="212"/>
        <v>0</v>
      </c>
      <c r="HU82" s="32">
        <f t="shared" si="213"/>
        <v>5.3390755704805393E-2</v>
      </c>
      <c r="HV82" s="32">
        <f t="shared" si="214"/>
        <v>5.3390755704805393E-2</v>
      </c>
      <c r="HW82" s="32" t="e">
        <f t="shared" si="215"/>
        <v>#N/A</v>
      </c>
      <c r="HX82" s="45" t="str">
        <f t="shared" si="216"/>
        <v/>
      </c>
    </row>
    <row r="83" spans="78:232" x14ac:dyDescent="0.2">
      <c r="BZ83" s="32">
        <f t="shared" si="143"/>
        <v>73</v>
      </c>
      <c r="CA83" s="32">
        <f>Eu_tabel_g[[#This Row],[Indeks]]+1</f>
        <v>74</v>
      </c>
      <c r="CB83" s="32">
        <f t="shared" si="144"/>
        <v>-1.3414961949255624</v>
      </c>
      <c r="CC83" s="32">
        <f t="shared" si="145"/>
        <v>0.16222929330418059</v>
      </c>
      <c r="CD83" s="32" t="e">
        <f t="shared" si="146"/>
        <v>#N/A</v>
      </c>
      <c r="CE83" s="32" t="e">
        <f t="shared" si="147"/>
        <v>#N/A</v>
      </c>
      <c r="CF83" s="32" t="e">
        <f t="shared" si="148"/>
        <v>#N/A</v>
      </c>
      <c r="CG83" s="32" t="b">
        <f t="shared" si="149"/>
        <v>0</v>
      </c>
      <c r="CH83" s="32" t="b">
        <f t="shared" si="150"/>
        <v>1</v>
      </c>
      <c r="CI83" s="32" t="b">
        <f t="shared" si="151"/>
        <v>0</v>
      </c>
      <c r="CJ83" s="32" t="b">
        <f t="shared" si="152"/>
        <v>1</v>
      </c>
      <c r="CK83" s="32">
        <f t="shared" si="119"/>
        <v>0.16222929330418059</v>
      </c>
      <c r="CL83" s="32" t="e">
        <f t="shared" si="153"/>
        <v>#N/A</v>
      </c>
      <c r="CM83" s="32">
        <f t="shared" si="154"/>
        <v>0.16222929330418059</v>
      </c>
      <c r="CN83" s="45" t="str">
        <f t="shared" si="155"/>
        <v/>
      </c>
      <c r="CO83" s="32">
        <f>_xlfn.NORM.DIST(_xlfn.NORM.INV(1-Eu_g_konfidensniveau,0,1)-Eu_tabel_g[[#This Row],[x base]],0,1,TRUE)</f>
        <v>0.38080874120305858</v>
      </c>
      <c r="CP83" s="32">
        <f>1-_xlfn.NORM.DIST(_xlfn.NORM.INV(Eu_g_konfidensniveau,0,1)-Eu_tabel_g[[#This Row],[x base]],0,1,TRUE)</f>
        <v>1.4116473590257694E-3</v>
      </c>
      <c r="CQ83" s="32">
        <f>_xlfn.NORM.DIST(_xlfn.NORM.INV((1-Eu_g_konfidensniveau)/2,0,1)-Eu_tabel_g[[#This Row],[x base]],0,1,TRUE)+1-_xlfn.NORM.DIST(_xlfn.NORM.INV(1-(1-Eu_g_konfidensniveau)/2,0,1)-Eu_tabel_g[[#This Row],[x base]],0,1,TRUE)</f>
        <v>0.26861442693718107</v>
      </c>
      <c r="CR83" s="32" t="e" cm="1">
        <f t="array" ref="CR83">IF($CR$3,INDEX(Eu_tabel_g[[#This Row],[Styrke venstre]:[Styrke tosidet]],CR$7),NA())</f>
        <v>#N/A</v>
      </c>
      <c r="CS83" s="52" t="e">
        <f>Eu_tabel_g[[#This Row],[Falsk positiv
Nulhypotese accepteres
Fejltype 1]]</f>
        <v>#N/A</v>
      </c>
      <c r="CT83" s="52" t="e">
        <f>IF(CHOOSE(CR$7,Eu_tabel_g[[#This Row],[x base]]&gt;0,Eu_tabel_g[[#This Row],[x base]]&lt;0,Eu_tabel_g[[#This Row],[x base]]=0),Eu_tabel_g[[#This Row],[Styrke, aktiv]],NA())</f>
        <v>#N/A</v>
      </c>
      <c r="CU83" s="52" t="e">
        <f>IFERROR(IF($CR$3,Eu_tabel_g[[#This Row],[Styrke, aktiv]],NA()),NA())</f>
        <v>#N/A</v>
      </c>
      <c r="CV83" s="52" t="e">
        <f>IF(ISNA(Eu_tabel_g[[#This Row],[Sand negativ
Nulhypotese afvises
Korrekt]]),NA(),IF($CR$3,1,NA()))</f>
        <v>#N/A</v>
      </c>
      <c r="CW83" s="34" t="str" cm="1">
        <f t="array" ref="CW83">_xlfn.SWITCH(BZ83,_xlfn.IFNA(CU$2,-99),CU$5,_xlfn.IFNA(CU$3,-99),CU$6,_xlfn.IFNA(CU$4,-99),CU$7,"")</f>
        <v/>
      </c>
      <c r="DA83" s="7">
        <f t="shared" si="156"/>
        <v>0.8</v>
      </c>
      <c r="DB83">
        <f>IF(ROW(Styrkeberegning_G[[#This Row],[X base venstre]])=ROW(Styrkeberegning_G[[#Headers],[X base venstre]])+1,DB$7/(DA$7/$B$67),DB82/(DA82/$B$67))</f>
        <v>-2.8015817870135784</v>
      </c>
      <c r="DC83">
        <f>Styrkeberegning_G[[#This Row],[X base venstre]]*-1</f>
        <v>2.8015817870135784</v>
      </c>
      <c r="DN83" s="32">
        <f t="shared" si="157"/>
        <v>73</v>
      </c>
      <c r="DO83" s="32">
        <f t="shared" si="158"/>
        <v>74</v>
      </c>
      <c r="DP83" s="32">
        <f t="shared" si="159"/>
        <v>10.161025183094763</v>
      </c>
      <c r="DQ83" s="32" t="e">
        <f t="shared" si="160"/>
        <v>#N/A</v>
      </c>
      <c r="DR83" s="32" t="e">
        <f t="shared" si="161"/>
        <v>#N/A</v>
      </c>
      <c r="DS83" s="32">
        <f t="shared" si="162"/>
        <v>8.9178168406266661E-2</v>
      </c>
      <c r="DT83" s="32" t="e">
        <f t="shared" si="163"/>
        <v>#N/A</v>
      </c>
      <c r="DU83" s="32" t="b">
        <f t="shared" si="164"/>
        <v>0</v>
      </c>
      <c r="DV83" s="32" t="b">
        <f t="shared" si="165"/>
        <v>1</v>
      </c>
      <c r="DW83" s="32" t="b">
        <f t="shared" si="166"/>
        <v>0</v>
      </c>
      <c r="DX83" s="32" t="b">
        <f t="shared" si="167"/>
        <v>1</v>
      </c>
      <c r="DY83" s="32">
        <f t="shared" si="168"/>
        <v>8.9178168406266661E-2</v>
      </c>
      <c r="DZ83" s="32" t="e">
        <f t="shared" si="169"/>
        <v>#N/A</v>
      </c>
      <c r="EA83" s="32">
        <f t="shared" si="170"/>
        <v>8.9178168406266661E-2</v>
      </c>
      <c r="EB83" s="45" t="str">
        <f t="shared" si="171"/>
        <v/>
      </c>
      <c r="EG83" s="32">
        <f t="shared" si="172"/>
        <v>73</v>
      </c>
      <c r="EH83" s="32">
        <f t="shared" si="173"/>
        <v>74</v>
      </c>
      <c r="EI83" s="32">
        <f t="shared" si="174"/>
        <v>-1.3414961949255624</v>
      </c>
      <c r="EJ83" s="32">
        <f t="shared" si="175"/>
        <v>0.16222929330418059</v>
      </c>
      <c r="EK83" s="32" t="e">
        <f t="shared" si="176"/>
        <v>#N/A</v>
      </c>
      <c r="EL83" s="32" t="e">
        <f t="shared" si="177"/>
        <v>#N/A</v>
      </c>
      <c r="EM83" s="32" t="e">
        <f t="shared" si="178"/>
        <v>#N/A</v>
      </c>
      <c r="EN83" s="32" t="b">
        <f t="shared" si="179"/>
        <v>0</v>
      </c>
      <c r="EO83" s="32" t="b">
        <f t="shared" si="180"/>
        <v>1</v>
      </c>
      <c r="EP83" s="32" t="b">
        <f t="shared" si="181"/>
        <v>0</v>
      </c>
      <c r="EQ83" s="32" t="b">
        <f t="shared" si="182"/>
        <v>1</v>
      </c>
      <c r="ER83" s="32">
        <f t="shared" si="183"/>
        <v>0.16222929330418059</v>
      </c>
      <c r="ES83" s="32" t="e">
        <f t="shared" si="184"/>
        <v>#N/A</v>
      </c>
      <c r="ET83" s="32">
        <f t="shared" si="185"/>
        <v>0.16222929330418059</v>
      </c>
      <c r="EU83" s="45" t="str">
        <f t="shared" si="186"/>
        <v/>
      </c>
      <c r="EV8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3" s="32" t="e" cm="1">
        <f t="array" ref="EY83">IF($CR$3,INDEX(Eu_tabel_a[[#This Row],[Styrke venstre]:[Styrke tosidet]],EY$7),NA())</f>
        <v>#N/A</v>
      </c>
      <c r="EZ83" s="32" t="e">
        <f>IF(EY$3,IF(CHOOSE(EY$7,Eu_tabel_a[[#This Row],[x base]]&gt;0,Eu_tabel_a[[#This Row],[x base]]&lt;0,Eu_tabel_a[[#This Row],[x base]]=0),1,NA()),NA())</f>
        <v>#N/A</v>
      </c>
      <c r="FA83" s="32" t="e">
        <f>IF(CHOOSE(EY$7,Eu_tabel_a[[#This Row],[x base]]&gt;0,Eu_tabel_a[[#This Row],[x base]]&lt;0,Eu_tabel_a[[#This Row],[x base]]=0),Eu_tabel_a[[#This Row],[Styrke, aktiv]],NA())</f>
        <v>#N/A</v>
      </c>
      <c r="FB83" s="32" t="e">
        <f>IFERROR(IF($EY$3,Eu_tabel_a[[#This Row],[Styrke, aktiv]],NA()),NA())</f>
        <v>#N/A</v>
      </c>
      <c r="FC83" s="32" t="e">
        <f>IF(ISNA(Eu_tabel_a[[#This Row],[Sand negativ
Nulhypotese afvises
Korrekt]]),NA(),IF(EY$3,1,NA()))</f>
        <v>#N/A</v>
      </c>
      <c r="FD83" s="33" t="str" cm="1">
        <f t="array" ref="FD83">IFERROR(_xlfn.SWITCH(Eu_tabel_a[[#This Row],[Indeks]],_xlfn.IFNA(FB$2,-99),FB$5,_xlfn.IFNA(FB$3,-99),FB$6,_xlfn.IFNA(FB$4,-99),FB$7,""),"")</f>
        <v/>
      </c>
      <c r="FE83" s="32">
        <f>Eu_tabel_a[[#This Row],[x base]]*SQRT(Eu_a_h0_x*(1-Eu_a_h0_x)/Eu_a_n_x)+Eu_a_h0_x</f>
        <v>0</v>
      </c>
      <c r="FJ83" s="74" t="e">
        <f t="shared" si="130"/>
        <v>#N/A</v>
      </c>
      <c r="FK83" s="82" t="e">
        <f t="shared" si="113"/>
        <v>#DIV/0!</v>
      </c>
      <c r="FL83" s="7" t="e">
        <f t="shared" si="124"/>
        <v>#DIV/0!</v>
      </c>
      <c r="FM83" t="e">
        <f t="shared" si="114"/>
        <v>#DIV/0!</v>
      </c>
      <c r="FN83" s="8" t="e">
        <f t="shared" si="115"/>
        <v>#DIV/0!</v>
      </c>
      <c r="FO83" s="8" t="e">
        <f t="shared" si="116"/>
        <v>#DIV/0!</v>
      </c>
      <c r="FP83" s="81" t="e">
        <f t="shared" si="117"/>
        <v>#DIV/0!</v>
      </c>
      <c r="FQ83" s="74" t="e">
        <f t="shared" ca="1" si="125"/>
        <v>#N/A</v>
      </c>
      <c r="FR83" s="82" t="e" vm="3">
        <f t="shared" ca="1" si="131"/>
        <v>#VALUE!</v>
      </c>
      <c r="FS83" s="7" t="e" vm="3">
        <f t="shared" ca="1" si="126"/>
        <v>#VALUE!</v>
      </c>
      <c r="FT83" t="e" vm="3">
        <f t="shared" ca="1" si="120"/>
        <v>#VALUE!</v>
      </c>
      <c r="FU83" s="8" t="e" vm="3">
        <f t="shared" ca="1" si="121"/>
        <v>#VALUE!</v>
      </c>
      <c r="FV83" s="8" t="e" vm="3">
        <f t="shared" ca="1" si="122"/>
        <v>#VALUE!</v>
      </c>
      <c r="FW83" s="81" t="e" vm="3">
        <f t="shared" ca="1" si="123"/>
        <v>#VALUE!</v>
      </c>
      <c r="FX83" s="74" t="e">
        <f t="shared" si="127"/>
        <v>#N/A</v>
      </c>
      <c r="FY83" s="82" t="e">
        <f t="shared" si="132"/>
        <v>#N/A</v>
      </c>
      <c r="FZ83" s="7" t="e">
        <f t="shared" si="128"/>
        <v>#N/A</v>
      </c>
      <c r="GA83" t="e">
        <f t="shared" si="133"/>
        <v>#N/A</v>
      </c>
      <c r="GB83" s="8" t="e">
        <f t="shared" si="134"/>
        <v>#N/A</v>
      </c>
      <c r="GC83" s="8" t="e">
        <f t="shared" si="135"/>
        <v>#N/A</v>
      </c>
      <c r="GD83" s="81" t="e">
        <f t="shared" si="136"/>
        <v>#N/A</v>
      </c>
      <c r="GE83" s="74" t="e">
        <f t="shared" si="137"/>
        <v>#N/A</v>
      </c>
      <c r="GF83" s="82" t="e">
        <f t="shared" si="138"/>
        <v>#N/A</v>
      </c>
      <c r="GG83" s="7" t="e">
        <f t="shared" si="129"/>
        <v>#N/A</v>
      </c>
      <c r="GH83" t="e">
        <f t="shared" si="139"/>
        <v>#N/A</v>
      </c>
      <c r="GI83" s="8" t="e">
        <f t="shared" si="140"/>
        <v>#N/A</v>
      </c>
      <c r="GJ83" s="8" t="e">
        <f t="shared" si="141"/>
        <v>#N/A</v>
      </c>
      <c r="GK83" s="81" t="e">
        <f t="shared" si="142"/>
        <v>#N/A</v>
      </c>
      <c r="GL83" s="81"/>
      <c r="GM83" s="81"/>
      <c r="GP83" s="32">
        <f t="shared" si="187"/>
        <v>73</v>
      </c>
      <c r="GQ83" s="32">
        <f t="shared" si="188"/>
        <v>74</v>
      </c>
      <c r="GR83" s="32">
        <f t="shared" si="189"/>
        <v>-1.3414961949255624</v>
      </c>
      <c r="GS83" s="32">
        <f t="shared" si="190"/>
        <v>0.16222929330418059</v>
      </c>
      <c r="GT83" s="32" t="e">
        <f t="shared" si="191"/>
        <v>#N/A</v>
      </c>
      <c r="GU83" s="32" t="e">
        <f t="shared" si="192"/>
        <v>#N/A</v>
      </c>
      <c r="GV83" s="32" t="e">
        <f t="shared" si="193"/>
        <v>#N/A</v>
      </c>
      <c r="GW83" s="32" t="b">
        <f t="shared" si="194"/>
        <v>0</v>
      </c>
      <c r="GX83" s="32" t="b">
        <f t="shared" si="195"/>
        <v>1</v>
      </c>
      <c r="GY83" s="32" t="b">
        <f t="shared" si="196"/>
        <v>0</v>
      </c>
      <c r="GZ83" s="32" t="b">
        <f t="shared" si="197"/>
        <v>1</v>
      </c>
      <c r="HA83" s="32">
        <f t="shared" si="198"/>
        <v>0.16222929330418059</v>
      </c>
      <c r="HB83" s="32" t="e">
        <f t="shared" si="199"/>
        <v>#N/A</v>
      </c>
      <c r="HC83" s="32">
        <f t="shared" si="200"/>
        <v>0.16222929330418059</v>
      </c>
      <c r="HD83" s="45" t="str">
        <f t="shared" si="201"/>
        <v/>
      </c>
      <c r="HJ83" s="32">
        <f t="shared" si="202"/>
        <v>73</v>
      </c>
      <c r="HK83" s="32">
        <f t="shared" si="203"/>
        <v>74</v>
      </c>
      <c r="HL83" s="32">
        <f t="shared" si="204"/>
        <v>-2.0773350325871833</v>
      </c>
      <c r="HM83" s="32" t="e">
        <f t="shared" si="205"/>
        <v>#N/A</v>
      </c>
      <c r="HN83" s="32">
        <f t="shared" si="206"/>
        <v>5.6386580151706368E-2</v>
      </c>
      <c r="HO83" s="32" t="e">
        <f t="shared" si="207"/>
        <v>#N/A</v>
      </c>
      <c r="HP83" s="32" t="e">
        <f t="shared" si="208"/>
        <v>#N/A</v>
      </c>
      <c r="HQ83" s="32" t="b">
        <f t="shared" si="209"/>
        <v>1</v>
      </c>
      <c r="HR83" s="32" t="b">
        <f t="shared" si="210"/>
        <v>0</v>
      </c>
      <c r="HS83" s="32" t="b">
        <f t="shared" si="211"/>
        <v>1</v>
      </c>
      <c r="HT83" s="32" t="b">
        <f t="shared" si="212"/>
        <v>0</v>
      </c>
      <c r="HU83" s="32">
        <f t="shared" si="213"/>
        <v>5.6386580151706368E-2</v>
      </c>
      <c r="HV83" s="32">
        <f t="shared" si="214"/>
        <v>5.6386580151706368E-2</v>
      </c>
      <c r="HW83" s="32" t="e">
        <f t="shared" si="215"/>
        <v>#N/A</v>
      </c>
      <c r="HX83" s="45" t="str">
        <f t="shared" si="216"/>
        <v/>
      </c>
    </row>
    <row r="84" spans="78:232" x14ac:dyDescent="0.2">
      <c r="BZ84" s="32">
        <f t="shared" si="143"/>
        <v>74</v>
      </c>
      <c r="CA84" s="32">
        <f>Eu_tabel_g[[#This Row],[Indeks]]+1</f>
        <v>75</v>
      </c>
      <c r="CB84" s="32">
        <f t="shared" si="144"/>
        <v>-1.317540905730463</v>
      </c>
      <c r="CC84" s="32">
        <f t="shared" si="145"/>
        <v>0.16747929415535215</v>
      </c>
      <c r="CD84" s="32" t="e">
        <f t="shared" si="146"/>
        <v>#N/A</v>
      </c>
      <c r="CE84" s="32" t="e">
        <f t="shared" si="147"/>
        <v>#N/A</v>
      </c>
      <c r="CF84" s="32" t="e">
        <f t="shared" si="148"/>
        <v>#N/A</v>
      </c>
      <c r="CG84" s="32" t="b">
        <f t="shared" si="149"/>
        <v>0</v>
      </c>
      <c r="CH84" s="32" t="b">
        <f t="shared" si="150"/>
        <v>1</v>
      </c>
      <c r="CI84" s="32" t="b">
        <f t="shared" si="151"/>
        <v>0</v>
      </c>
      <c r="CJ84" s="32" t="b">
        <f t="shared" si="152"/>
        <v>1</v>
      </c>
      <c r="CK84" s="32">
        <f t="shared" si="119"/>
        <v>0.16747929415535215</v>
      </c>
      <c r="CL84" s="32" t="e">
        <f t="shared" si="153"/>
        <v>#N/A</v>
      </c>
      <c r="CM84" s="32">
        <f t="shared" si="154"/>
        <v>0.16747929415535215</v>
      </c>
      <c r="CN84" s="45" t="str">
        <f t="shared" si="155"/>
        <v/>
      </c>
      <c r="CO84" s="32">
        <f>_xlfn.NORM.DIST(_xlfn.NORM.INV(1-Eu_g_konfidensniveau,0,1)-Eu_tabel_g[[#This Row],[x base]],0,1,TRUE)</f>
        <v>0.37171568587583337</v>
      </c>
      <c r="CP84" s="32">
        <f>1-_xlfn.NORM.DIST(_xlfn.NORM.INV(Eu_g_konfidensniveau,0,1)-Eu_tabel_g[[#This Row],[x base]],0,1,TRUE)</f>
        <v>1.526281832596954E-3</v>
      </c>
      <c r="CQ84" s="32">
        <f>_xlfn.NORM.DIST(_xlfn.NORM.INV((1-Eu_g_konfidensniveau)/2,0,1)-Eu_tabel_g[[#This Row],[x base]],0,1,TRUE)+1-_xlfn.NORM.DIST(_xlfn.NORM.INV(1-(1-Eu_g_konfidensniveau)/2,0,1)-Eu_tabel_g[[#This Row],[x base]],0,1,TRUE)</f>
        <v>0.26082290397850771</v>
      </c>
      <c r="CR84" s="32" t="e" cm="1">
        <f t="array" ref="CR84">IF($CR$3,INDEX(Eu_tabel_g[[#This Row],[Styrke venstre]:[Styrke tosidet]],CR$7),NA())</f>
        <v>#N/A</v>
      </c>
      <c r="CS84" s="52" t="e">
        <f>Eu_tabel_g[[#This Row],[Falsk positiv
Nulhypotese accepteres
Fejltype 1]]</f>
        <v>#N/A</v>
      </c>
      <c r="CT84" s="52" t="e">
        <f>IF(CHOOSE(CR$7,Eu_tabel_g[[#This Row],[x base]]&gt;0,Eu_tabel_g[[#This Row],[x base]]&lt;0,Eu_tabel_g[[#This Row],[x base]]=0),Eu_tabel_g[[#This Row],[Styrke, aktiv]],NA())</f>
        <v>#N/A</v>
      </c>
      <c r="CU84" s="52" t="e">
        <f>IFERROR(IF($CR$3,Eu_tabel_g[[#This Row],[Styrke, aktiv]],NA()),NA())</f>
        <v>#N/A</v>
      </c>
      <c r="CV84" s="52" t="e">
        <f>IF(ISNA(Eu_tabel_g[[#This Row],[Sand negativ
Nulhypotese afvises
Korrekt]]),NA(),IF($CR$3,1,NA()))</f>
        <v>#N/A</v>
      </c>
      <c r="CW84" s="34" t="str" cm="1">
        <f t="array" ref="CW84">_xlfn.SWITCH(BZ84,_xlfn.IFNA(CU$2,-99),CU$5,_xlfn.IFNA(CU$3,-99),CU$6,_xlfn.IFNA(CU$4,-99),CU$7,"")</f>
        <v/>
      </c>
      <c r="DA84" s="7">
        <f t="shared" si="156"/>
        <v>0.8</v>
      </c>
      <c r="DB84">
        <f>IF(ROW(Styrkeberegning_G[[#This Row],[X base venstre]])=ROW(Styrkeberegning_G[[#Headers],[X base venstre]])+1,DB$7/(DA$7/$B$67),DB83/(DA83/$B$67))</f>
        <v>-2.8015817870135784</v>
      </c>
      <c r="DC84">
        <f>Styrkeberegning_G[[#This Row],[X base venstre]]*-1</f>
        <v>2.8015817870135784</v>
      </c>
      <c r="DN84" s="32">
        <f t="shared" si="157"/>
        <v>74</v>
      </c>
      <c r="DO84" s="32">
        <f t="shared" si="158"/>
        <v>75</v>
      </c>
      <c r="DP84" s="32">
        <f t="shared" si="159"/>
        <v>10.275096039511764</v>
      </c>
      <c r="DQ84" s="32" t="e">
        <f t="shared" si="160"/>
        <v>#N/A</v>
      </c>
      <c r="DR84" s="32" t="e">
        <f t="shared" si="161"/>
        <v>#N/A</v>
      </c>
      <c r="DS84" s="32">
        <f t="shared" si="162"/>
        <v>8.857394865643009E-2</v>
      </c>
      <c r="DT84" s="32" t="e">
        <f t="shared" si="163"/>
        <v>#N/A</v>
      </c>
      <c r="DU84" s="32" t="b">
        <f t="shared" si="164"/>
        <v>0</v>
      </c>
      <c r="DV84" s="32" t="b">
        <f t="shared" si="165"/>
        <v>1</v>
      </c>
      <c r="DW84" s="32" t="b">
        <f t="shared" si="166"/>
        <v>0</v>
      </c>
      <c r="DX84" s="32" t="b">
        <f t="shared" si="167"/>
        <v>1</v>
      </c>
      <c r="DY84" s="32">
        <f t="shared" si="168"/>
        <v>8.857394865643009E-2</v>
      </c>
      <c r="DZ84" s="32" t="e">
        <f t="shared" si="169"/>
        <v>#N/A</v>
      </c>
      <c r="EA84" s="32">
        <f t="shared" si="170"/>
        <v>8.857394865643009E-2</v>
      </c>
      <c r="EB84" s="45" t="str">
        <f t="shared" si="171"/>
        <v/>
      </c>
      <c r="EG84" s="32">
        <f t="shared" si="172"/>
        <v>74</v>
      </c>
      <c r="EH84" s="32">
        <f t="shared" si="173"/>
        <v>75</v>
      </c>
      <c r="EI84" s="32">
        <f t="shared" si="174"/>
        <v>-1.317540905730463</v>
      </c>
      <c r="EJ84" s="32">
        <f t="shared" si="175"/>
        <v>0.16747929415535215</v>
      </c>
      <c r="EK84" s="32" t="e">
        <f t="shared" si="176"/>
        <v>#N/A</v>
      </c>
      <c r="EL84" s="32" t="e">
        <f t="shared" si="177"/>
        <v>#N/A</v>
      </c>
      <c r="EM84" s="32" t="e">
        <f t="shared" si="178"/>
        <v>#N/A</v>
      </c>
      <c r="EN84" s="32" t="b">
        <f t="shared" si="179"/>
        <v>0</v>
      </c>
      <c r="EO84" s="32" t="b">
        <f t="shared" si="180"/>
        <v>1</v>
      </c>
      <c r="EP84" s="32" t="b">
        <f t="shared" si="181"/>
        <v>0</v>
      </c>
      <c r="EQ84" s="32" t="b">
        <f t="shared" si="182"/>
        <v>1</v>
      </c>
      <c r="ER84" s="32">
        <f t="shared" si="183"/>
        <v>0.16747929415535215</v>
      </c>
      <c r="ES84" s="32" t="e">
        <f t="shared" si="184"/>
        <v>#N/A</v>
      </c>
      <c r="ET84" s="32">
        <f t="shared" si="185"/>
        <v>0.16747929415535215</v>
      </c>
      <c r="EU84" s="45" t="str">
        <f t="shared" si="186"/>
        <v/>
      </c>
      <c r="EV8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4" s="32" t="e" cm="1">
        <f t="array" ref="EY84">IF($CR$3,INDEX(Eu_tabel_a[[#This Row],[Styrke venstre]:[Styrke tosidet]],EY$7),NA())</f>
        <v>#N/A</v>
      </c>
      <c r="EZ84" s="32" t="e">
        <f>IF(EY$3,IF(CHOOSE(EY$7,Eu_tabel_a[[#This Row],[x base]]&gt;0,Eu_tabel_a[[#This Row],[x base]]&lt;0,Eu_tabel_a[[#This Row],[x base]]=0),1,NA()),NA())</f>
        <v>#N/A</v>
      </c>
      <c r="FA84" s="32" t="e">
        <f>IF(CHOOSE(EY$7,Eu_tabel_a[[#This Row],[x base]]&gt;0,Eu_tabel_a[[#This Row],[x base]]&lt;0,Eu_tabel_a[[#This Row],[x base]]=0),Eu_tabel_a[[#This Row],[Styrke, aktiv]],NA())</f>
        <v>#N/A</v>
      </c>
      <c r="FB84" s="32" t="e">
        <f>IFERROR(IF($EY$3,Eu_tabel_a[[#This Row],[Styrke, aktiv]],NA()),NA())</f>
        <v>#N/A</v>
      </c>
      <c r="FC84" s="32" t="e">
        <f>IF(ISNA(Eu_tabel_a[[#This Row],[Sand negativ
Nulhypotese afvises
Korrekt]]),NA(),IF(EY$3,1,NA()))</f>
        <v>#N/A</v>
      </c>
      <c r="FD84" s="33" t="str" cm="1">
        <f t="array" ref="FD84">IFERROR(_xlfn.SWITCH(Eu_tabel_a[[#This Row],[Indeks]],_xlfn.IFNA(FB$2,-99),FB$5,_xlfn.IFNA(FB$3,-99),FB$6,_xlfn.IFNA(FB$4,-99),FB$7,""),"")</f>
        <v/>
      </c>
      <c r="FE84" s="32">
        <f>Eu_tabel_a[[#This Row],[x base]]*SQRT(Eu_a_h0_x*(1-Eu_a_h0_x)/Eu_a_n_x)+Eu_a_h0_x</f>
        <v>0</v>
      </c>
      <c r="FJ84" s="74" t="e">
        <f t="shared" si="130"/>
        <v>#N/A</v>
      </c>
      <c r="FK84" s="82" t="e">
        <f t="shared" si="113"/>
        <v>#DIV/0!</v>
      </c>
      <c r="FL84" s="7" t="e">
        <f t="shared" si="124"/>
        <v>#DIV/0!</v>
      </c>
      <c r="FM84" t="e">
        <f t="shared" si="114"/>
        <v>#DIV/0!</v>
      </c>
      <c r="FN84" s="8" t="e">
        <f t="shared" si="115"/>
        <v>#DIV/0!</v>
      </c>
      <c r="FO84" s="8" t="e">
        <f t="shared" si="116"/>
        <v>#DIV/0!</v>
      </c>
      <c r="FP84" s="81" t="e">
        <f t="shared" si="117"/>
        <v>#DIV/0!</v>
      </c>
      <c r="FQ84" s="74" t="e">
        <f t="shared" ca="1" si="125"/>
        <v>#N/A</v>
      </c>
      <c r="FR84" s="82" t="e" vm="3">
        <f t="shared" ca="1" si="131"/>
        <v>#VALUE!</v>
      </c>
      <c r="FS84" s="7" t="e" vm="3">
        <f t="shared" ca="1" si="126"/>
        <v>#VALUE!</v>
      </c>
      <c r="FT84" t="e" vm="3">
        <f t="shared" ca="1" si="120"/>
        <v>#VALUE!</v>
      </c>
      <c r="FU84" s="8" t="e" vm="3">
        <f t="shared" ca="1" si="121"/>
        <v>#VALUE!</v>
      </c>
      <c r="FV84" s="8" t="e" vm="3">
        <f t="shared" ca="1" si="122"/>
        <v>#VALUE!</v>
      </c>
      <c r="FW84" s="81" t="e" vm="3">
        <f t="shared" ca="1" si="123"/>
        <v>#VALUE!</v>
      </c>
      <c r="FX84" s="74" t="e">
        <f t="shared" si="127"/>
        <v>#N/A</v>
      </c>
      <c r="FY84" s="82" t="e">
        <f t="shared" si="132"/>
        <v>#N/A</v>
      </c>
      <c r="FZ84" s="7" t="e">
        <f t="shared" si="128"/>
        <v>#N/A</v>
      </c>
      <c r="GA84" t="e">
        <f t="shared" si="133"/>
        <v>#N/A</v>
      </c>
      <c r="GB84" s="8" t="e">
        <f t="shared" si="134"/>
        <v>#N/A</v>
      </c>
      <c r="GC84" s="8" t="e">
        <f t="shared" si="135"/>
        <v>#N/A</v>
      </c>
      <c r="GD84" s="81" t="e">
        <f t="shared" si="136"/>
        <v>#N/A</v>
      </c>
      <c r="GE84" s="74" t="e">
        <f t="shared" si="137"/>
        <v>#N/A</v>
      </c>
      <c r="GF84" s="82" t="e">
        <f t="shared" si="138"/>
        <v>#N/A</v>
      </c>
      <c r="GG84" s="7" t="e">
        <f t="shared" si="129"/>
        <v>#N/A</v>
      </c>
      <c r="GH84" t="e">
        <f t="shared" si="139"/>
        <v>#N/A</v>
      </c>
      <c r="GI84" s="8" t="e">
        <f t="shared" si="140"/>
        <v>#N/A</v>
      </c>
      <c r="GJ84" s="8" t="e">
        <f t="shared" si="141"/>
        <v>#N/A</v>
      </c>
      <c r="GK84" s="81" t="e">
        <f t="shared" si="142"/>
        <v>#N/A</v>
      </c>
      <c r="GL84" s="81"/>
      <c r="GM84" s="81"/>
      <c r="GP84" s="32">
        <f t="shared" si="187"/>
        <v>74</v>
      </c>
      <c r="GQ84" s="32">
        <f t="shared" si="188"/>
        <v>75</v>
      </c>
      <c r="GR84" s="32">
        <f t="shared" si="189"/>
        <v>-1.317540905730463</v>
      </c>
      <c r="GS84" s="32">
        <f t="shared" si="190"/>
        <v>0.16747929415535215</v>
      </c>
      <c r="GT84" s="32" t="e">
        <f t="shared" si="191"/>
        <v>#N/A</v>
      </c>
      <c r="GU84" s="32" t="e">
        <f t="shared" si="192"/>
        <v>#N/A</v>
      </c>
      <c r="GV84" s="32" t="e">
        <f t="shared" si="193"/>
        <v>#N/A</v>
      </c>
      <c r="GW84" s="32" t="b">
        <f t="shared" si="194"/>
        <v>0</v>
      </c>
      <c r="GX84" s="32" t="b">
        <f t="shared" si="195"/>
        <v>1</v>
      </c>
      <c r="GY84" s="32" t="b">
        <f t="shared" si="196"/>
        <v>0</v>
      </c>
      <c r="GZ84" s="32" t="b">
        <f t="shared" si="197"/>
        <v>1</v>
      </c>
      <c r="HA84" s="32">
        <f t="shared" si="198"/>
        <v>0.16747929415535215</v>
      </c>
      <c r="HB84" s="32" t="e">
        <f t="shared" si="199"/>
        <v>#N/A</v>
      </c>
      <c r="HC84" s="32">
        <f t="shared" si="200"/>
        <v>0.16747929415535215</v>
      </c>
      <c r="HD84" s="45" t="str">
        <f t="shared" si="201"/>
        <v/>
      </c>
      <c r="HJ84" s="32">
        <f t="shared" si="202"/>
        <v>74</v>
      </c>
      <c r="HK84" s="32">
        <f t="shared" si="203"/>
        <v>75</v>
      </c>
      <c r="HL84" s="32">
        <f t="shared" si="204"/>
        <v>-2.0402397641481262</v>
      </c>
      <c r="HM84" s="32" t="e">
        <f t="shared" si="205"/>
        <v>#N/A</v>
      </c>
      <c r="HN84" s="32">
        <f t="shared" si="206"/>
        <v>5.9536756814595811E-2</v>
      </c>
      <c r="HO84" s="32" t="e">
        <f t="shared" si="207"/>
        <v>#N/A</v>
      </c>
      <c r="HP84" s="32" t="e">
        <f t="shared" si="208"/>
        <v>#N/A</v>
      </c>
      <c r="HQ84" s="32" t="b">
        <f t="shared" si="209"/>
        <v>1</v>
      </c>
      <c r="HR84" s="32" t="b">
        <f t="shared" si="210"/>
        <v>0</v>
      </c>
      <c r="HS84" s="32" t="b">
        <f t="shared" si="211"/>
        <v>1</v>
      </c>
      <c r="HT84" s="32" t="b">
        <f t="shared" si="212"/>
        <v>0</v>
      </c>
      <c r="HU84" s="32">
        <f t="shared" si="213"/>
        <v>5.9536756814595811E-2</v>
      </c>
      <c r="HV84" s="32">
        <f t="shared" si="214"/>
        <v>5.9536756814595811E-2</v>
      </c>
      <c r="HW84" s="32" t="e">
        <f t="shared" si="215"/>
        <v>#N/A</v>
      </c>
      <c r="HX84" s="45" t="str">
        <f t="shared" si="216"/>
        <v/>
      </c>
    </row>
    <row r="85" spans="78:232" x14ac:dyDescent="0.2">
      <c r="BZ85" s="32">
        <f t="shared" si="143"/>
        <v>75</v>
      </c>
      <c r="CA85" s="32">
        <f>Eu_tabel_g[[#This Row],[Indeks]]+1</f>
        <v>76</v>
      </c>
      <c r="CB85" s="32">
        <f t="shared" si="144"/>
        <v>-1.2935856165353636</v>
      </c>
      <c r="CC85" s="32">
        <f t="shared" si="145"/>
        <v>0.17280000272227752</v>
      </c>
      <c r="CD85" s="32" t="e">
        <f t="shared" si="146"/>
        <v>#N/A</v>
      </c>
      <c r="CE85" s="32" t="e">
        <f t="shared" si="147"/>
        <v>#N/A</v>
      </c>
      <c r="CF85" s="32" t="e">
        <f t="shared" si="148"/>
        <v>#N/A</v>
      </c>
      <c r="CG85" s="32" t="b">
        <f t="shared" si="149"/>
        <v>0</v>
      </c>
      <c r="CH85" s="32" t="b">
        <f t="shared" si="150"/>
        <v>1</v>
      </c>
      <c r="CI85" s="32" t="b">
        <f t="shared" si="151"/>
        <v>0</v>
      </c>
      <c r="CJ85" s="32" t="b">
        <f t="shared" si="152"/>
        <v>1</v>
      </c>
      <c r="CK85" s="32">
        <f t="shared" si="119"/>
        <v>0.17280000272227752</v>
      </c>
      <c r="CL85" s="32" t="e">
        <f t="shared" si="153"/>
        <v>#N/A</v>
      </c>
      <c r="CM85" s="32">
        <f t="shared" si="154"/>
        <v>0.17280000272227752</v>
      </c>
      <c r="CN85" s="45" t="str">
        <f t="shared" si="155"/>
        <v/>
      </c>
      <c r="CO85" s="32">
        <f>_xlfn.NORM.DIST(_xlfn.NORM.INV(1-Eu_g_konfidensniveau,0,1)-Eu_tabel_g[[#This Row],[x base]],0,1,TRUE)</f>
        <v>0.36269364585060193</v>
      </c>
      <c r="CP85" s="32">
        <f>1-_xlfn.NORM.DIST(_xlfn.NORM.INV(Eu_g_konfidensniveau,0,1)-Eu_tabel_g[[#This Row],[x base]],0,1,TRUE)</f>
        <v>1.6493465284941333E-3</v>
      </c>
      <c r="CQ85" s="32">
        <f>_xlfn.NORM.DIST(_xlfn.NORM.INV((1-Eu_g_konfidensniveau)/2,0,1)-Eu_tabel_g[[#This Row],[x base]],0,1,TRUE)+1-_xlfn.NORM.DIST(_xlfn.NORM.INV(1-(1-Eu_g_konfidensniveau)/2,0,1)-Eu_tabel_g[[#This Row],[x base]],0,1,TRUE)</f>
        <v>0.25315450695979325</v>
      </c>
      <c r="CR85" s="32" t="e" cm="1">
        <f t="array" ref="CR85">IF($CR$3,INDEX(Eu_tabel_g[[#This Row],[Styrke venstre]:[Styrke tosidet]],CR$7),NA())</f>
        <v>#N/A</v>
      </c>
      <c r="CS85" s="52" t="e">
        <f>Eu_tabel_g[[#This Row],[Falsk positiv
Nulhypotese accepteres
Fejltype 1]]</f>
        <v>#N/A</v>
      </c>
      <c r="CT85" s="52" t="e">
        <f>IF(CHOOSE(CR$7,Eu_tabel_g[[#This Row],[x base]]&gt;0,Eu_tabel_g[[#This Row],[x base]]&lt;0,Eu_tabel_g[[#This Row],[x base]]=0),Eu_tabel_g[[#This Row],[Styrke, aktiv]],NA())</f>
        <v>#N/A</v>
      </c>
      <c r="CU85" s="52" t="e">
        <f>IFERROR(IF($CR$3,Eu_tabel_g[[#This Row],[Styrke, aktiv]],NA()),NA())</f>
        <v>#N/A</v>
      </c>
      <c r="CV85" s="52" t="e">
        <f>IF(ISNA(Eu_tabel_g[[#This Row],[Sand negativ
Nulhypotese afvises
Korrekt]]),NA(),IF($CR$3,1,NA()))</f>
        <v>#N/A</v>
      </c>
      <c r="CW85" s="34" t="str" cm="1">
        <f t="array" ref="CW85">_xlfn.SWITCH(BZ85,_xlfn.IFNA(CU$2,-99),CU$5,_xlfn.IFNA(CU$3,-99),CU$6,_xlfn.IFNA(CU$4,-99),CU$7,"")</f>
        <v/>
      </c>
      <c r="DA85" s="7">
        <f t="shared" si="156"/>
        <v>0.8</v>
      </c>
      <c r="DB85">
        <f>IF(ROW(Styrkeberegning_G[[#This Row],[X base venstre]])=ROW(Styrkeberegning_G[[#Headers],[X base venstre]])+1,DB$7/(DA$7/$B$67),DB84/(DA84/$B$67))</f>
        <v>-2.8015817870135784</v>
      </c>
      <c r="DC85">
        <f>Styrkeberegning_G[[#This Row],[X base venstre]]*-1</f>
        <v>2.8015817870135784</v>
      </c>
      <c r="DN85" s="32">
        <f t="shared" si="157"/>
        <v>75</v>
      </c>
      <c r="DO85" s="32">
        <f t="shared" si="158"/>
        <v>76</v>
      </c>
      <c r="DP85" s="32">
        <f t="shared" si="159"/>
        <v>10.389166895928765</v>
      </c>
      <c r="DQ85" s="32" t="e">
        <f t="shared" si="160"/>
        <v>#N/A</v>
      </c>
      <c r="DR85" s="32" t="e">
        <f t="shared" si="161"/>
        <v>#N/A</v>
      </c>
      <c r="DS85" s="32">
        <f t="shared" si="162"/>
        <v>8.7925041836716789E-2</v>
      </c>
      <c r="DT85" s="32" t="e">
        <f t="shared" si="163"/>
        <v>#N/A</v>
      </c>
      <c r="DU85" s="32" t="b">
        <f t="shared" si="164"/>
        <v>0</v>
      </c>
      <c r="DV85" s="32" t="b">
        <f t="shared" si="165"/>
        <v>1</v>
      </c>
      <c r="DW85" s="32" t="b">
        <f t="shared" si="166"/>
        <v>0</v>
      </c>
      <c r="DX85" s="32" t="b">
        <f t="shared" si="167"/>
        <v>1</v>
      </c>
      <c r="DY85" s="32">
        <f t="shared" si="168"/>
        <v>8.7925041836716789E-2</v>
      </c>
      <c r="DZ85" s="32" t="e">
        <f t="shared" si="169"/>
        <v>#N/A</v>
      </c>
      <c r="EA85" s="32">
        <f t="shared" si="170"/>
        <v>8.7925041836716789E-2</v>
      </c>
      <c r="EB85" s="45">
        <f t="shared" si="171"/>
        <v>4.3070000000000004</v>
      </c>
      <c r="EG85" s="32">
        <f t="shared" si="172"/>
        <v>75</v>
      </c>
      <c r="EH85" s="32">
        <f t="shared" si="173"/>
        <v>76</v>
      </c>
      <c r="EI85" s="32">
        <f t="shared" si="174"/>
        <v>-1.2935856165353636</v>
      </c>
      <c r="EJ85" s="32">
        <f t="shared" si="175"/>
        <v>0.17280000272227752</v>
      </c>
      <c r="EK85" s="32" t="e">
        <f t="shared" si="176"/>
        <v>#N/A</v>
      </c>
      <c r="EL85" s="32" t="e">
        <f t="shared" si="177"/>
        <v>#N/A</v>
      </c>
      <c r="EM85" s="32" t="e">
        <f t="shared" si="178"/>
        <v>#N/A</v>
      </c>
      <c r="EN85" s="32" t="b">
        <f t="shared" si="179"/>
        <v>0</v>
      </c>
      <c r="EO85" s="32" t="b">
        <f t="shared" si="180"/>
        <v>1</v>
      </c>
      <c r="EP85" s="32" t="b">
        <f t="shared" si="181"/>
        <v>0</v>
      </c>
      <c r="EQ85" s="32" t="b">
        <f t="shared" si="182"/>
        <v>1</v>
      </c>
      <c r="ER85" s="32">
        <f t="shared" si="183"/>
        <v>0.17280000272227752</v>
      </c>
      <c r="ES85" s="32" t="e">
        <f t="shared" si="184"/>
        <v>#N/A</v>
      </c>
      <c r="ET85" s="32">
        <f t="shared" si="185"/>
        <v>0.17280000272227752</v>
      </c>
      <c r="EU85" s="45" t="str">
        <f t="shared" si="186"/>
        <v/>
      </c>
      <c r="EV8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5" s="32" t="e" cm="1">
        <f t="array" ref="EY85">IF($CR$3,INDEX(Eu_tabel_a[[#This Row],[Styrke venstre]:[Styrke tosidet]],EY$7),NA())</f>
        <v>#N/A</v>
      </c>
      <c r="EZ85" s="32" t="e">
        <f>IF(EY$3,IF(CHOOSE(EY$7,Eu_tabel_a[[#This Row],[x base]]&gt;0,Eu_tabel_a[[#This Row],[x base]]&lt;0,Eu_tabel_a[[#This Row],[x base]]=0),1,NA()),NA())</f>
        <v>#N/A</v>
      </c>
      <c r="FA85" s="32" t="e">
        <f>IF(CHOOSE(EY$7,Eu_tabel_a[[#This Row],[x base]]&gt;0,Eu_tabel_a[[#This Row],[x base]]&lt;0,Eu_tabel_a[[#This Row],[x base]]=0),Eu_tabel_a[[#This Row],[Styrke, aktiv]],NA())</f>
        <v>#N/A</v>
      </c>
      <c r="FB85" s="32" t="e">
        <f>IFERROR(IF($EY$3,Eu_tabel_a[[#This Row],[Styrke, aktiv]],NA()),NA())</f>
        <v>#N/A</v>
      </c>
      <c r="FC85" s="32" t="e">
        <f>IF(ISNA(Eu_tabel_a[[#This Row],[Sand negativ
Nulhypotese afvises
Korrekt]]),NA(),IF(EY$3,1,NA()))</f>
        <v>#N/A</v>
      </c>
      <c r="FD85" s="33" t="str" cm="1">
        <f t="array" ref="FD85">IFERROR(_xlfn.SWITCH(Eu_tabel_a[[#This Row],[Indeks]],_xlfn.IFNA(FB$2,-99),FB$5,_xlfn.IFNA(FB$3,-99),FB$6,_xlfn.IFNA(FB$4,-99),FB$7,""),"")</f>
        <v/>
      </c>
      <c r="FE85" s="32">
        <f>Eu_tabel_a[[#This Row],[x base]]*SQRT(Eu_a_h0_x*(1-Eu_a_h0_x)/Eu_a_n_x)+Eu_a_h0_x</f>
        <v>0</v>
      </c>
      <c r="FJ85" s="74" t="e">
        <f t="shared" si="130"/>
        <v>#N/A</v>
      </c>
      <c r="FK85" s="82" t="e">
        <f t="shared" si="113"/>
        <v>#DIV/0!</v>
      </c>
      <c r="FL85" s="7" t="e">
        <f t="shared" si="124"/>
        <v>#DIV/0!</v>
      </c>
      <c r="FM85" t="e">
        <f t="shared" si="114"/>
        <v>#DIV/0!</v>
      </c>
      <c r="FN85" s="8" t="e">
        <f t="shared" si="115"/>
        <v>#DIV/0!</v>
      </c>
      <c r="FO85" s="8" t="e">
        <f t="shared" si="116"/>
        <v>#DIV/0!</v>
      </c>
      <c r="FP85" s="81" t="e">
        <f t="shared" si="117"/>
        <v>#DIV/0!</v>
      </c>
      <c r="FQ85" s="74" t="e">
        <f t="shared" ca="1" si="125"/>
        <v>#N/A</v>
      </c>
      <c r="FR85" s="82" t="e" vm="3">
        <f t="shared" ca="1" si="131"/>
        <v>#VALUE!</v>
      </c>
      <c r="FS85" s="7" t="e" vm="3">
        <f t="shared" ca="1" si="126"/>
        <v>#VALUE!</v>
      </c>
      <c r="FT85" t="e" vm="3">
        <f t="shared" ca="1" si="120"/>
        <v>#VALUE!</v>
      </c>
      <c r="FU85" s="8" t="e" vm="3">
        <f t="shared" ca="1" si="121"/>
        <v>#VALUE!</v>
      </c>
      <c r="FV85" s="8" t="e" vm="3">
        <f t="shared" ca="1" si="122"/>
        <v>#VALUE!</v>
      </c>
      <c r="FW85" s="81" t="e" vm="3">
        <f t="shared" ca="1" si="123"/>
        <v>#VALUE!</v>
      </c>
      <c r="FX85" s="74" t="e">
        <f t="shared" si="127"/>
        <v>#N/A</v>
      </c>
      <c r="FY85" s="82" t="e">
        <f t="shared" si="132"/>
        <v>#N/A</v>
      </c>
      <c r="FZ85" s="7" t="e">
        <f t="shared" si="128"/>
        <v>#N/A</v>
      </c>
      <c r="GA85" t="e">
        <f t="shared" si="133"/>
        <v>#N/A</v>
      </c>
      <c r="GB85" s="8" t="e">
        <f t="shared" si="134"/>
        <v>#N/A</v>
      </c>
      <c r="GC85" s="8" t="e">
        <f t="shared" si="135"/>
        <v>#N/A</v>
      </c>
      <c r="GD85" s="81" t="e">
        <f t="shared" si="136"/>
        <v>#N/A</v>
      </c>
      <c r="GE85" s="74" t="e">
        <f t="shared" si="137"/>
        <v>#N/A</v>
      </c>
      <c r="GF85" s="82" t="e">
        <f t="shared" si="138"/>
        <v>#N/A</v>
      </c>
      <c r="GG85" s="7" t="e">
        <f t="shared" si="129"/>
        <v>#N/A</v>
      </c>
      <c r="GH85" t="e">
        <f t="shared" si="139"/>
        <v>#N/A</v>
      </c>
      <c r="GI85" s="8" t="e">
        <f t="shared" si="140"/>
        <v>#N/A</v>
      </c>
      <c r="GJ85" s="8" t="e">
        <f t="shared" si="141"/>
        <v>#N/A</v>
      </c>
      <c r="GK85" s="81" t="e">
        <f t="shared" si="142"/>
        <v>#N/A</v>
      </c>
      <c r="GL85" s="81"/>
      <c r="GM85" s="81"/>
      <c r="GP85" s="32">
        <f t="shared" si="187"/>
        <v>75</v>
      </c>
      <c r="GQ85" s="32">
        <f t="shared" si="188"/>
        <v>76</v>
      </c>
      <c r="GR85" s="32">
        <f t="shared" si="189"/>
        <v>-1.2935856165353636</v>
      </c>
      <c r="GS85" s="32">
        <f t="shared" si="190"/>
        <v>0.17280000272227752</v>
      </c>
      <c r="GT85" s="32" t="e">
        <f t="shared" si="191"/>
        <v>#N/A</v>
      </c>
      <c r="GU85" s="32" t="e">
        <f t="shared" si="192"/>
        <v>#N/A</v>
      </c>
      <c r="GV85" s="32" t="e">
        <f t="shared" si="193"/>
        <v>#N/A</v>
      </c>
      <c r="GW85" s="32" t="b">
        <f t="shared" si="194"/>
        <v>0</v>
      </c>
      <c r="GX85" s="32" t="b">
        <f t="shared" si="195"/>
        <v>1</v>
      </c>
      <c r="GY85" s="32" t="b">
        <f t="shared" si="196"/>
        <v>0</v>
      </c>
      <c r="GZ85" s="32" t="b">
        <f t="shared" si="197"/>
        <v>1</v>
      </c>
      <c r="HA85" s="32">
        <f t="shared" si="198"/>
        <v>0.17280000272227752</v>
      </c>
      <c r="HB85" s="32" t="e">
        <f t="shared" si="199"/>
        <v>#N/A</v>
      </c>
      <c r="HC85" s="32">
        <f t="shared" si="200"/>
        <v>0.17280000272227752</v>
      </c>
      <c r="HD85" s="45" t="str">
        <f t="shared" si="201"/>
        <v/>
      </c>
      <c r="HJ85" s="32">
        <f t="shared" si="202"/>
        <v>75</v>
      </c>
      <c r="HK85" s="32">
        <f t="shared" si="203"/>
        <v>76</v>
      </c>
      <c r="HL85" s="32">
        <f t="shared" si="204"/>
        <v>-2.0031444957090696</v>
      </c>
      <c r="HM85" s="32" t="e">
        <f t="shared" si="205"/>
        <v>#N/A</v>
      </c>
      <c r="HN85" s="32">
        <f t="shared" si="206"/>
        <v>6.2847166029487478E-2</v>
      </c>
      <c r="HO85" s="32" t="e">
        <f t="shared" si="207"/>
        <v>#N/A</v>
      </c>
      <c r="HP85" s="32" t="e">
        <f t="shared" si="208"/>
        <v>#N/A</v>
      </c>
      <c r="HQ85" s="32" t="b">
        <f t="shared" si="209"/>
        <v>1</v>
      </c>
      <c r="HR85" s="32" t="b">
        <f t="shared" si="210"/>
        <v>0</v>
      </c>
      <c r="HS85" s="32" t="b">
        <f t="shared" si="211"/>
        <v>1</v>
      </c>
      <c r="HT85" s="32" t="b">
        <f t="shared" si="212"/>
        <v>0</v>
      </c>
      <c r="HU85" s="32">
        <f t="shared" si="213"/>
        <v>6.2847166029487478E-2</v>
      </c>
      <c r="HV85" s="32">
        <f t="shared" si="214"/>
        <v>6.2847166029487478E-2</v>
      </c>
      <c r="HW85" s="32" t="e">
        <f t="shared" si="215"/>
        <v>#N/A</v>
      </c>
      <c r="HX85" s="45" t="str">
        <f t="shared" si="216"/>
        <v/>
      </c>
    </row>
    <row r="86" spans="78:232" x14ac:dyDescent="0.2">
      <c r="BZ86" s="32">
        <f t="shared" si="143"/>
        <v>76</v>
      </c>
      <c r="CA86" s="32">
        <f>Eu_tabel_g[[#This Row],[Indeks]]+1</f>
        <v>77</v>
      </c>
      <c r="CB86" s="32">
        <f t="shared" si="144"/>
        <v>-1.2696303273402643</v>
      </c>
      <c r="CC86" s="32">
        <f t="shared" si="145"/>
        <v>0.17818746348109932</v>
      </c>
      <c r="CD86" s="32" t="e">
        <f t="shared" si="146"/>
        <v>#N/A</v>
      </c>
      <c r="CE86" s="32" t="e">
        <f t="shared" si="147"/>
        <v>#N/A</v>
      </c>
      <c r="CF86" s="32" t="e">
        <f t="shared" si="148"/>
        <v>#N/A</v>
      </c>
      <c r="CG86" s="32" t="b">
        <f t="shared" si="149"/>
        <v>0</v>
      </c>
      <c r="CH86" s="32" t="b">
        <f t="shared" si="150"/>
        <v>1</v>
      </c>
      <c r="CI86" s="32" t="b">
        <f t="shared" si="151"/>
        <v>0</v>
      </c>
      <c r="CJ86" s="32" t="b">
        <f t="shared" si="152"/>
        <v>1</v>
      </c>
      <c r="CK86" s="32">
        <f t="shared" si="119"/>
        <v>0.17818746348109932</v>
      </c>
      <c r="CL86" s="32" t="e">
        <f t="shared" si="153"/>
        <v>#N/A</v>
      </c>
      <c r="CM86" s="32">
        <f t="shared" si="154"/>
        <v>0.17818746348109932</v>
      </c>
      <c r="CN86" s="45" t="str">
        <f t="shared" si="155"/>
        <v/>
      </c>
      <c r="CO86" s="32">
        <f>_xlfn.NORM.DIST(_xlfn.NORM.INV(1-Eu_g_konfidensniveau,0,1)-Eu_tabel_g[[#This Row],[x base]],0,1,TRUE)</f>
        <v>0.35374720170655227</v>
      </c>
      <c r="CP86" s="32">
        <f>1-_xlfn.NORM.DIST(_xlfn.NORM.INV(Eu_g_konfidensniveau,0,1)-Eu_tabel_g[[#This Row],[x base]],0,1,TRUE)</f>
        <v>1.7813856159707431E-3</v>
      </c>
      <c r="CQ86" s="32">
        <f>_xlfn.NORM.DIST(_xlfn.NORM.INV((1-Eu_g_konfidensniveau)/2,0,1)-Eu_tabel_g[[#This Row],[x base]],0,1,TRUE)+1-_xlfn.NORM.DIST(_xlfn.NORM.INV(1-(1-Eu_g_konfidensniveau)/2,0,1)-Eu_tabel_g[[#This Row],[x base]],0,1,TRUE)</f>
        <v>0.24561202329949883</v>
      </c>
      <c r="CR86" s="32" t="e" cm="1">
        <f t="array" ref="CR86">IF($CR$3,INDEX(Eu_tabel_g[[#This Row],[Styrke venstre]:[Styrke tosidet]],CR$7),NA())</f>
        <v>#N/A</v>
      </c>
      <c r="CS86" s="52" t="e">
        <f>Eu_tabel_g[[#This Row],[Falsk positiv
Nulhypotese accepteres
Fejltype 1]]</f>
        <v>#N/A</v>
      </c>
      <c r="CT86" s="52" t="e">
        <f>IF(CHOOSE(CR$7,Eu_tabel_g[[#This Row],[x base]]&gt;0,Eu_tabel_g[[#This Row],[x base]]&lt;0,Eu_tabel_g[[#This Row],[x base]]=0),Eu_tabel_g[[#This Row],[Styrke, aktiv]],NA())</f>
        <v>#N/A</v>
      </c>
      <c r="CU86" s="52" t="e">
        <f>IFERROR(IF($CR$3,Eu_tabel_g[[#This Row],[Styrke, aktiv]],NA()),NA())</f>
        <v>#N/A</v>
      </c>
      <c r="CV86" s="52" t="e">
        <f>IF(ISNA(Eu_tabel_g[[#This Row],[Sand negativ
Nulhypotese afvises
Korrekt]]),NA(),IF($CR$3,1,NA()))</f>
        <v>#N/A</v>
      </c>
      <c r="CW86" s="34" t="str" cm="1">
        <f t="array" ref="CW86">_xlfn.SWITCH(BZ86,_xlfn.IFNA(CU$2,-99),CU$5,_xlfn.IFNA(CU$3,-99),CU$6,_xlfn.IFNA(CU$4,-99),CU$7,"")</f>
        <v/>
      </c>
      <c r="DA86" s="7">
        <f t="shared" si="156"/>
        <v>0.8</v>
      </c>
      <c r="DB86">
        <f>IF(ROW(Styrkeberegning_G[[#This Row],[X base venstre]])=ROW(Styrkeberegning_G[[#Headers],[X base venstre]])+1,DB$7/(DA$7/$B$67),DB85/(DA85/$B$67))</f>
        <v>-2.8015817870135784</v>
      </c>
      <c r="DC86">
        <f>Styrkeberegning_G[[#This Row],[X base venstre]]*-1</f>
        <v>2.8015817870135784</v>
      </c>
      <c r="DN86" s="32">
        <f t="shared" si="157"/>
        <v>76</v>
      </c>
      <c r="DO86" s="32">
        <f t="shared" si="158"/>
        <v>77</v>
      </c>
      <c r="DP86" s="32">
        <f t="shared" si="159"/>
        <v>10.503237752345767</v>
      </c>
      <c r="DQ86" s="32" t="e">
        <f t="shared" si="160"/>
        <v>#N/A</v>
      </c>
      <c r="DR86" s="32" t="e">
        <f t="shared" si="161"/>
        <v>#N/A</v>
      </c>
      <c r="DS86" s="32">
        <f t="shared" si="162"/>
        <v>8.7233549038172459E-2</v>
      </c>
      <c r="DT86" s="32" t="e">
        <f t="shared" si="163"/>
        <v>#N/A</v>
      </c>
      <c r="DU86" s="32" t="b">
        <f t="shared" si="164"/>
        <v>0</v>
      </c>
      <c r="DV86" s="32" t="b">
        <f t="shared" si="165"/>
        <v>1</v>
      </c>
      <c r="DW86" s="32" t="b">
        <f t="shared" si="166"/>
        <v>0</v>
      </c>
      <c r="DX86" s="32" t="b">
        <f t="shared" si="167"/>
        <v>1</v>
      </c>
      <c r="DY86" s="32">
        <f t="shared" si="168"/>
        <v>8.7233549038172459E-2</v>
      </c>
      <c r="DZ86" s="32" t="e">
        <f t="shared" si="169"/>
        <v>#N/A</v>
      </c>
      <c r="EA86" s="32">
        <f t="shared" si="170"/>
        <v>8.7233549038172459E-2</v>
      </c>
      <c r="EB86" s="45" t="str">
        <f t="shared" si="171"/>
        <v/>
      </c>
      <c r="EG86" s="32">
        <f t="shared" si="172"/>
        <v>76</v>
      </c>
      <c r="EH86" s="32">
        <f t="shared" si="173"/>
        <v>77</v>
      </c>
      <c r="EI86" s="32">
        <f t="shared" si="174"/>
        <v>-1.2696303273402643</v>
      </c>
      <c r="EJ86" s="32">
        <f t="shared" si="175"/>
        <v>0.17818746348109932</v>
      </c>
      <c r="EK86" s="32" t="e">
        <f t="shared" si="176"/>
        <v>#N/A</v>
      </c>
      <c r="EL86" s="32" t="e">
        <f t="shared" si="177"/>
        <v>#N/A</v>
      </c>
      <c r="EM86" s="32" t="e">
        <f t="shared" si="178"/>
        <v>#N/A</v>
      </c>
      <c r="EN86" s="32" t="b">
        <f t="shared" si="179"/>
        <v>0</v>
      </c>
      <c r="EO86" s="32" t="b">
        <f t="shared" si="180"/>
        <v>1</v>
      </c>
      <c r="EP86" s="32" t="b">
        <f t="shared" si="181"/>
        <v>0</v>
      </c>
      <c r="EQ86" s="32" t="b">
        <f t="shared" si="182"/>
        <v>1</v>
      </c>
      <c r="ER86" s="32">
        <f t="shared" si="183"/>
        <v>0.17818746348109932</v>
      </c>
      <c r="ES86" s="32" t="e">
        <f t="shared" si="184"/>
        <v>#N/A</v>
      </c>
      <c r="ET86" s="32">
        <f t="shared" si="185"/>
        <v>0.17818746348109932</v>
      </c>
      <c r="EU86" s="45" t="str">
        <f t="shared" si="186"/>
        <v/>
      </c>
      <c r="EV8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6" s="32" t="e" cm="1">
        <f t="array" ref="EY86">IF($CR$3,INDEX(Eu_tabel_a[[#This Row],[Styrke venstre]:[Styrke tosidet]],EY$7),NA())</f>
        <v>#N/A</v>
      </c>
      <c r="EZ86" s="32" t="e">
        <f>IF(EY$3,IF(CHOOSE(EY$7,Eu_tabel_a[[#This Row],[x base]]&gt;0,Eu_tabel_a[[#This Row],[x base]]&lt;0,Eu_tabel_a[[#This Row],[x base]]=0),1,NA()),NA())</f>
        <v>#N/A</v>
      </c>
      <c r="FA86" s="32" t="e">
        <f>IF(CHOOSE(EY$7,Eu_tabel_a[[#This Row],[x base]]&gt;0,Eu_tabel_a[[#This Row],[x base]]&lt;0,Eu_tabel_a[[#This Row],[x base]]=0),Eu_tabel_a[[#This Row],[Styrke, aktiv]],NA())</f>
        <v>#N/A</v>
      </c>
      <c r="FB86" s="32" t="e">
        <f>IFERROR(IF($EY$3,Eu_tabel_a[[#This Row],[Styrke, aktiv]],NA()),NA())</f>
        <v>#N/A</v>
      </c>
      <c r="FC86" s="32" t="e">
        <f>IF(ISNA(Eu_tabel_a[[#This Row],[Sand negativ
Nulhypotese afvises
Korrekt]]),NA(),IF(EY$3,1,NA()))</f>
        <v>#N/A</v>
      </c>
      <c r="FD86" s="33" t="str" cm="1">
        <f t="array" ref="FD86">IFERROR(_xlfn.SWITCH(Eu_tabel_a[[#This Row],[Indeks]],_xlfn.IFNA(FB$2,-99),FB$5,_xlfn.IFNA(FB$3,-99),FB$6,_xlfn.IFNA(FB$4,-99),FB$7,""),"")</f>
        <v/>
      </c>
      <c r="FE86" s="32">
        <f>Eu_tabel_a[[#This Row],[x base]]*SQRT(Eu_a_h0_x*(1-Eu_a_h0_x)/Eu_a_n_x)+Eu_a_h0_x</f>
        <v>0</v>
      </c>
      <c r="FJ86" s="74" t="e">
        <f t="shared" si="130"/>
        <v>#N/A</v>
      </c>
      <c r="FK86" s="82" t="e">
        <f t="shared" si="113"/>
        <v>#DIV/0!</v>
      </c>
      <c r="FL86" s="7" t="e">
        <f t="shared" si="124"/>
        <v>#DIV/0!</v>
      </c>
      <c r="FM86" t="e">
        <f t="shared" si="114"/>
        <v>#DIV/0!</v>
      </c>
      <c r="FN86" s="8" t="e">
        <f t="shared" si="115"/>
        <v>#DIV/0!</v>
      </c>
      <c r="FO86" s="8" t="e">
        <f t="shared" si="116"/>
        <v>#DIV/0!</v>
      </c>
      <c r="FP86" s="81" t="e">
        <f t="shared" si="117"/>
        <v>#DIV/0!</v>
      </c>
      <c r="FQ86" s="74" t="e">
        <f t="shared" ca="1" si="125"/>
        <v>#N/A</v>
      </c>
      <c r="FR86" s="82" t="e" vm="3">
        <f t="shared" ca="1" si="131"/>
        <v>#VALUE!</v>
      </c>
      <c r="FS86" s="7" t="e" vm="3">
        <f t="shared" ca="1" si="126"/>
        <v>#VALUE!</v>
      </c>
      <c r="FT86" t="e" vm="3">
        <f t="shared" ca="1" si="120"/>
        <v>#VALUE!</v>
      </c>
      <c r="FU86" s="8" t="e" vm="3">
        <f t="shared" ca="1" si="121"/>
        <v>#VALUE!</v>
      </c>
      <c r="FV86" s="8" t="e" vm="3">
        <f t="shared" ca="1" si="122"/>
        <v>#VALUE!</v>
      </c>
      <c r="FW86" s="81" t="e" vm="3">
        <f t="shared" ca="1" si="123"/>
        <v>#VALUE!</v>
      </c>
      <c r="FX86" s="74" t="e">
        <f t="shared" si="127"/>
        <v>#N/A</v>
      </c>
      <c r="FY86" s="82" t="e">
        <f t="shared" si="132"/>
        <v>#N/A</v>
      </c>
      <c r="FZ86" s="7" t="e">
        <f t="shared" si="128"/>
        <v>#N/A</v>
      </c>
      <c r="GA86" t="e">
        <f t="shared" si="133"/>
        <v>#N/A</v>
      </c>
      <c r="GB86" s="8" t="e">
        <f t="shared" si="134"/>
        <v>#N/A</v>
      </c>
      <c r="GC86" s="8" t="e">
        <f t="shared" si="135"/>
        <v>#N/A</v>
      </c>
      <c r="GD86" s="81" t="e">
        <f t="shared" si="136"/>
        <v>#N/A</v>
      </c>
      <c r="GE86" s="74" t="e">
        <f t="shared" si="137"/>
        <v>#N/A</v>
      </c>
      <c r="GF86" s="82" t="e">
        <f t="shared" si="138"/>
        <v>#N/A</v>
      </c>
      <c r="GG86" s="7" t="e">
        <f t="shared" si="129"/>
        <v>#N/A</v>
      </c>
      <c r="GH86" t="e">
        <f t="shared" si="139"/>
        <v>#N/A</v>
      </c>
      <c r="GI86" s="8" t="e">
        <f t="shared" si="140"/>
        <v>#N/A</v>
      </c>
      <c r="GJ86" s="8" t="e">
        <f t="shared" si="141"/>
        <v>#N/A</v>
      </c>
      <c r="GK86" s="81" t="e">
        <f t="shared" si="142"/>
        <v>#N/A</v>
      </c>
      <c r="GL86" s="81"/>
      <c r="GM86" s="81"/>
      <c r="GP86" s="32">
        <f t="shared" si="187"/>
        <v>76</v>
      </c>
      <c r="GQ86" s="32">
        <f t="shared" si="188"/>
        <v>77</v>
      </c>
      <c r="GR86" s="32">
        <f t="shared" si="189"/>
        <v>-1.2696303273402643</v>
      </c>
      <c r="GS86" s="32">
        <f t="shared" si="190"/>
        <v>0.17818746348109932</v>
      </c>
      <c r="GT86" s="32" t="e">
        <f t="shared" si="191"/>
        <v>#N/A</v>
      </c>
      <c r="GU86" s="32" t="e">
        <f t="shared" si="192"/>
        <v>#N/A</v>
      </c>
      <c r="GV86" s="32" t="e">
        <f t="shared" si="193"/>
        <v>#N/A</v>
      </c>
      <c r="GW86" s="32" t="b">
        <f t="shared" si="194"/>
        <v>0</v>
      </c>
      <c r="GX86" s="32" t="b">
        <f t="shared" si="195"/>
        <v>1</v>
      </c>
      <c r="GY86" s="32" t="b">
        <f t="shared" si="196"/>
        <v>0</v>
      </c>
      <c r="GZ86" s="32" t="b">
        <f t="shared" si="197"/>
        <v>1</v>
      </c>
      <c r="HA86" s="32">
        <f t="shared" si="198"/>
        <v>0.17818746348109932</v>
      </c>
      <c r="HB86" s="32" t="e">
        <f t="shared" si="199"/>
        <v>#N/A</v>
      </c>
      <c r="HC86" s="32">
        <f t="shared" si="200"/>
        <v>0.17818746348109932</v>
      </c>
      <c r="HD86" s="45" t="str">
        <f t="shared" si="201"/>
        <v/>
      </c>
      <c r="HJ86" s="32">
        <f t="shared" si="202"/>
        <v>76</v>
      </c>
      <c r="HK86" s="32">
        <f t="shared" si="203"/>
        <v>77</v>
      </c>
      <c r="HL86" s="32">
        <f t="shared" si="204"/>
        <v>-1.9660492272700125</v>
      </c>
      <c r="HM86" s="32" t="e">
        <f t="shared" si="205"/>
        <v>#N/A</v>
      </c>
      <c r="HN86" s="32">
        <f t="shared" si="206"/>
        <v>6.6323652171868364E-2</v>
      </c>
      <c r="HO86" s="32" t="e">
        <f t="shared" si="207"/>
        <v>#N/A</v>
      </c>
      <c r="HP86" s="32" t="e">
        <f t="shared" si="208"/>
        <v>#N/A</v>
      </c>
      <c r="HQ86" s="32" t="b">
        <f t="shared" si="209"/>
        <v>1</v>
      </c>
      <c r="HR86" s="32" t="b">
        <f t="shared" si="210"/>
        <v>0</v>
      </c>
      <c r="HS86" s="32" t="b">
        <f t="shared" si="211"/>
        <v>1</v>
      </c>
      <c r="HT86" s="32" t="b">
        <f t="shared" si="212"/>
        <v>0</v>
      </c>
      <c r="HU86" s="32">
        <f t="shared" si="213"/>
        <v>6.6323652171868364E-2</v>
      </c>
      <c r="HV86" s="32">
        <f t="shared" si="214"/>
        <v>6.6323652171868364E-2</v>
      </c>
      <c r="HW86" s="32" t="e">
        <f t="shared" si="215"/>
        <v>#N/A</v>
      </c>
      <c r="HX86" s="45" t="str">
        <f t="shared" si="216"/>
        <v/>
      </c>
    </row>
    <row r="87" spans="78:232" x14ac:dyDescent="0.2">
      <c r="BZ87" s="32">
        <f t="shared" si="143"/>
        <v>77</v>
      </c>
      <c r="CA87" s="32">
        <f>Eu_tabel_g[[#This Row],[Indeks]]+1</f>
        <v>78</v>
      </c>
      <c r="CB87" s="32">
        <f t="shared" si="144"/>
        <v>-1.2456750381451651</v>
      </c>
      <c r="CC87" s="32">
        <f t="shared" si="145"/>
        <v>0.18363747975432293</v>
      </c>
      <c r="CD87" s="32" t="e">
        <f t="shared" si="146"/>
        <v>#N/A</v>
      </c>
      <c r="CE87" s="32" t="e">
        <f t="shared" si="147"/>
        <v>#N/A</v>
      </c>
      <c r="CF87" s="32" t="e">
        <f t="shared" si="148"/>
        <v>#N/A</v>
      </c>
      <c r="CG87" s="32" t="b">
        <f t="shared" si="149"/>
        <v>0</v>
      </c>
      <c r="CH87" s="32" t="b">
        <f t="shared" si="150"/>
        <v>1</v>
      </c>
      <c r="CI87" s="32" t="b">
        <f t="shared" si="151"/>
        <v>0</v>
      </c>
      <c r="CJ87" s="32" t="b">
        <f t="shared" si="152"/>
        <v>1</v>
      </c>
      <c r="CK87" s="32">
        <f t="shared" si="119"/>
        <v>0.18363747975432293</v>
      </c>
      <c r="CL87" s="32" t="e">
        <f t="shared" si="153"/>
        <v>#N/A</v>
      </c>
      <c r="CM87" s="32">
        <f t="shared" si="154"/>
        <v>0.18363747975432293</v>
      </c>
      <c r="CN87" s="45" t="str">
        <f t="shared" si="155"/>
        <v/>
      </c>
      <c r="CO87" s="32">
        <f>_xlfn.NORM.DIST(_xlfn.NORM.INV(1-Eu_g_konfidensniveau,0,1)-Eu_tabel_g[[#This Row],[x base]],0,1,TRUE)</f>
        <v>0.34488080927221865</v>
      </c>
      <c r="CP87" s="32">
        <f>1-_xlfn.NORM.DIST(_xlfn.NORM.INV(Eu_g_konfidensniveau,0,1)-Eu_tabel_g[[#This Row],[x base]],0,1,TRUE)</f>
        <v>1.9229722753726364E-3</v>
      </c>
      <c r="CQ87" s="32">
        <f>_xlfn.NORM.DIST(_xlfn.NORM.INV((1-Eu_g_konfidensniveau)/2,0,1)-Eu_tabel_g[[#This Row],[x base]],0,1,TRUE)+1-_xlfn.NORM.DIST(_xlfn.NORM.INV(1-(1-Eu_g_konfidensniveau)/2,0,1)-Eu_tabel_g[[#This Row],[x base]],0,1,TRUE)</f>
        <v>0.23819807758479328</v>
      </c>
      <c r="CR87" s="32" t="e" cm="1">
        <f t="array" ref="CR87">IF($CR$3,INDEX(Eu_tabel_g[[#This Row],[Styrke venstre]:[Styrke tosidet]],CR$7),NA())</f>
        <v>#N/A</v>
      </c>
      <c r="CS87" s="52" t="e">
        <f>Eu_tabel_g[[#This Row],[Falsk positiv
Nulhypotese accepteres
Fejltype 1]]</f>
        <v>#N/A</v>
      </c>
      <c r="CT87" s="52" t="e">
        <f>IF(CHOOSE(CR$7,Eu_tabel_g[[#This Row],[x base]]&gt;0,Eu_tabel_g[[#This Row],[x base]]&lt;0,Eu_tabel_g[[#This Row],[x base]]=0),Eu_tabel_g[[#This Row],[Styrke, aktiv]],NA())</f>
        <v>#N/A</v>
      </c>
      <c r="CU87" s="52" t="e">
        <f>IFERROR(IF($CR$3,Eu_tabel_g[[#This Row],[Styrke, aktiv]],NA()),NA())</f>
        <v>#N/A</v>
      </c>
      <c r="CV87" s="52" t="e">
        <f>IF(ISNA(Eu_tabel_g[[#This Row],[Sand negativ
Nulhypotese afvises
Korrekt]]),NA(),IF($CR$3,1,NA()))</f>
        <v>#N/A</v>
      </c>
      <c r="CW87" s="34" t="str" cm="1">
        <f t="array" ref="CW87">_xlfn.SWITCH(BZ87,_xlfn.IFNA(CU$2,-99),CU$5,_xlfn.IFNA(CU$3,-99),CU$6,_xlfn.IFNA(CU$4,-99),CU$7,"")</f>
        <v/>
      </c>
      <c r="DA87" s="7">
        <f t="shared" si="156"/>
        <v>0.8</v>
      </c>
      <c r="DB87">
        <f>IF(ROW(Styrkeberegning_G[[#This Row],[X base venstre]])=ROW(Styrkeberegning_G[[#Headers],[X base venstre]])+1,DB$7/(DA$7/$B$67),DB86/(DA86/$B$67))</f>
        <v>-2.8015817870135784</v>
      </c>
      <c r="DC87">
        <f>Styrkeberegning_G[[#This Row],[X base venstre]]*-1</f>
        <v>2.8015817870135784</v>
      </c>
      <c r="DN87" s="32">
        <f t="shared" si="157"/>
        <v>77</v>
      </c>
      <c r="DO87" s="32">
        <f t="shared" si="158"/>
        <v>78</v>
      </c>
      <c r="DP87" s="32">
        <f t="shared" si="159"/>
        <v>10.617308608762768</v>
      </c>
      <c r="DQ87" s="32" t="e">
        <f t="shared" si="160"/>
        <v>#N/A</v>
      </c>
      <c r="DR87" s="32" t="e">
        <f t="shared" si="161"/>
        <v>#N/A</v>
      </c>
      <c r="DS87" s="32">
        <f t="shared" si="162"/>
        <v>8.6501566233345414E-2</v>
      </c>
      <c r="DT87" s="32" t="e">
        <f t="shared" si="163"/>
        <v>#N/A</v>
      </c>
      <c r="DU87" s="32" t="b">
        <f t="shared" si="164"/>
        <v>0</v>
      </c>
      <c r="DV87" s="32" t="b">
        <f t="shared" si="165"/>
        <v>1</v>
      </c>
      <c r="DW87" s="32" t="b">
        <f t="shared" si="166"/>
        <v>0</v>
      </c>
      <c r="DX87" s="32" t="b">
        <f t="shared" si="167"/>
        <v>1</v>
      </c>
      <c r="DY87" s="32">
        <f t="shared" si="168"/>
        <v>8.6501566233345414E-2</v>
      </c>
      <c r="DZ87" s="32" t="e">
        <f t="shared" si="169"/>
        <v>#N/A</v>
      </c>
      <c r="EA87" s="32">
        <f t="shared" si="170"/>
        <v>8.6501566233345414E-2</v>
      </c>
      <c r="EB87" s="45" t="str">
        <f t="shared" si="171"/>
        <v/>
      </c>
      <c r="EG87" s="32">
        <f t="shared" si="172"/>
        <v>77</v>
      </c>
      <c r="EH87" s="32">
        <f t="shared" si="173"/>
        <v>78</v>
      </c>
      <c r="EI87" s="32">
        <f t="shared" si="174"/>
        <v>-1.2456750381451651</v>
      </c>
      <c r="EJ87" s="32">
        <f t="shared" si="175"/>
        <v>0.18363747975432293</v>
      </c>
      <c r="EK87" s="32" t="e">
        <f t="shared" si="176"/>
        <v>#N/A</v>
      </c>
      <c r="EL87" s="32" t="e">
        <f t="shared" si="177"/>
        <v>#N/A</v>
      </c>
      <c r="EM87" s="32" t="e">
        <f t="shared" si="178"/>
        <v>#N/A</v>
      </c>
      <c r="EN87" s="32" t="b">
        <f t="shared" si="179"/>
        <v>0</v>
      </c>
      <c r="EO87" s="32" t="b">
        <f t="shared" si="180"/>
        <v>1</v>
      </c>
      <c r="EP87" s="32" t="b">
        <f t="shared" si="181"/>
        <v>0</v>
      </c>
      <c r="EQ87" s="32" t="b">
        <f t="shared" si="182"/>
        <v>1</v>
      </c>
      <c r="ER87" s="32">
        <f t="shared" si="183"/>
        <v>0.18363747975432293</v>
      </c>
      <c r="ES87" s="32" t="e">
        <f t="shared" si="184"/>
        <v>#N/A</v>
      </c>
      <c r="ET87" s="32">
        <f t="shared" si="185"/>
        <v>0.18363747975432293</v>
      </c>
      <c r="EU87" s="45" t="str">
        <f t="shared" si="186"/>
        <v/>
      </c>
      <c r="EV8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7" s="32" t="e" cm="1">
        <f t="array" ref="EY87">IF($CR$3,INDEX(Eu_tabel_a[[#This Row],[Styrke venstre]:[Styrke tosidet]],EY$7),NA())</f>
        <v>#N/A</v>
      </c>
      <c r="EZ87" s="32" t="e">
        <f>IF(EY$3,IF(CHOOSE(EY$7,Eu_tabel_a[[#This Row],[x base]]&gt;0,Eu_tabel_a[[#This Row],[x base]]&lt;0,Eu_tabel_a[[#This Row],[x base]]=0),1,NA()),NA())</f>
        <v>#N/A</v>
      </c>
      <c r="FA87" s="32" t="e">
        <f>IF(CHOOSE(EY$7,Eu_tabel_a[[#This Row],[x base]]&gt;0,Eu_tabel_a[[#This Row],[x base]]&lt;0,Eu_tabel_a[[#This Row],[x base]]=0),Eu_tabel_a[[#This Row],[Styrke, aktiv]],NA())</f>
        <v>#N/A</v>
      </c>
      <c r="FB87" s="32" t="e">
        <f>IFERROR(IF($EY$3,Eu_tabel_a[[#This Row],[Styrke, aktiv]],NA()),NA())</f>
        <v>#N/A</v>
      </c>
      <c r="FC87" s="32" t="e">
        <f>IF(ISNA(Eu_tabel_a[[#This Row],[Sand negativ
Nulhypotese afvises
Korrekt]]),NA(),IF(EY$3,1,NA()))</f>
        <v>#N/A</v>
      </c>
      <c r="FD87" s="33" t="str" cm="1">
        <f t="array" ref="FD87">IFERROR(_xlfn.SWITCH(Eu_tabel_a[[#This Row],[Indeks]],_xlfn.IFNA(FB$2,-99),FB$5,_xlfn.IFNA(FB$3,-99),FB$6,_xlfn.IFNA(FB$4,-99),FB$7,""),"")</f>
        <v/>
      </c>
      <c r="FE87" s="32">
        <f>Eu_tabel_a[[#This Row],[x base]]*SQRT(Eu_a_h0_x*(1-Eu_a_h0_x)/Eu_a_n_x)+Eu_a_h0_x</f>
        <v>0</v>
      </c>
      <c r="FJ87" s="74" t="e">
        <f t="shared" si="130"/>
        <v>#N/A</v>
      </c>
      <c r="FK87" s="82" t="e">
        <f t="shared" si="113"/>
        <v>#DIV/0!</v>
      </c>
      <c r="FL87" s="7" t="e">
        <f t="shared" si="124"/>
        <v>#DIV/0!</v>
      </c>
      <c r="FM87" t="e">
        <f t="shared" si="114"/>
        <v>#DIV/0!</v>
      </c>
      <c r="FN87" s="8" t="e">
        <f t="shared" si="115"/>
        <v>#DIV/0!</v>
      </c>
      <c r="FO87" s="8" t="e">
        <f t="shared" si="116"/>
        <v>#DIV/0!</v>
      </c>
      <c r="FP87" s="81" t="e">
        <f t="shared" si="117"/>
        <v>#DIV/0!</v>
      </c>
      <c r="FQ87" s="74" t="e">
        <f t="shared" ca="1" si="125"/>
        <v>#N/A</v>
      </c>
      <c r="FR87" s="82" t="e" vm="3">
        <f t="shared" ca="1" si="131"/>
        <v>#VALUE!</v>
      </c>
      <c r="FS87" s="7" t="e" vm="3">
        <f t="shared" ca="1" si="126"/>
        <v>#VALUE!</v>
      </c>
      <c r="FT87" t="e" vm="3">
        <f t="shared" ca="1" si="120"/>
        <v>#VALUE!</v>
      </c>
      <c r="FU87" s="8" t="e" vm="3">
        <f t="shared" ca="1" si="121"/>
        <v>#VALUE!</v>
      </c>
      <c r="FV87" s="8" t="e" vm="3">
        <f t="shared" ca="1" si="122"/>
        <v>#VALUE!</v>
      </c>
      <c r="FW87" s="81" t="e" vm="3">
        <f t="shared" ca="1" si="123"/>
        <v>#VALUE!</v>
      </c>
      <c r="FX87" s="74" t="e">
        <f t="shared" si="127"/>
        <v>#N/A</v>
      </c>
      <c r="FY87" s="82" t="e">
        <f t="shared" si="132"/>
        <v>#N/A</v>
      </c>
      <c r="FZ87" s="7" t="e">
        <f t="shared" si="128"/>
        <v>#N/A</v>
      </c>
      <c r="GA87" t="e">
        <f t="shared" si="133"/>
        <v>#N/A</v>
      </c>
      <c r="GB87" s="8" t="e">
        <f t="shared" si="134"/>
        <v>#N/A</v>
      </c>
      <c r="GC87" s="8" t="e">
        <f t="shared" si="135"/>
        <v>#N/A</v>
      </c>
      <c r="GD87" s="81" t="e">
        <f t="shared" si="136"/>
        <v>#N/A</v>
      </c>
      <c r="GE87" s="74" t="e">
        <f t="shared" si="137"/>
        <v>#N/A</v>
      </c>
      <c r="GF87" s="82" t="e">
        <f t="shared" si="138"/>
        <v>#N/A</v>
      </c>
      <c r="GG87" s="7" t="e">
        <f t="shared" si="129"/>
        <v>#N/A</v>
      </c>
      <c r="GH87" t="e">
        <f t="shared" si="139"/>
        <v>#N/A</v>
      </c>
      <c r="GI87" s="8" t="e">
        <f t="shared" si="140"/>
        <v>#N/A</v>
      </c>
      <c r="GJ87" s="8" t="e">
        <f t="shared" si="141"/>
        <v>#N/A</v>
      </c>
      <c r="GK87" s="81" t="e">
        <f t="shared" si="142"/>
        <v>#N/A</v>
      </c>
      <c r="GL87" s="81"/>
      <c r="GM87" s="81"/>
      <c r="GP87" s="32">
        <f t="shared" si="187"/>
        <v>77</v>
      </c>
      <c r="GQ87" s="32">
        <f t="shared" si="188"/>
        <v>78</v>
      </c>
      <c r="GR87" s="32">
        <f t="shared" si="189"/>
        <v>-1.2456750381451651</v>
      </c>
      <c r="GS87" s="32">
        <f t="shared" si="190"/>
        <v>0.18363747975432293</v>
      </c>
      <c r="GT87" s="32" t="e">
        <f t="shared" si="191"/>
        <v>#N/A</v>
      </c>
      <c r="GU87" s="32" t="e">
        <f t="shared" si="192"/>
        <v>#N/A</v>
      </c>
      <c r="GV87" s="32" t="e">
        <f t="shared" si="193"/>
        <v>#N/A</v>
      </c>
      <c r="GW87" s="32" t="b">
        <f t="shared" si="194"/>
        <v>0</v>
      </c>
      <c r="GX87" s="32" t="b">
        <f t="shared" si="195"/>
        <v>1</v>
      </c>
      <c r="GY87" s="32" t="b">
        <f t="shared" si="196"/>
        <v>0</v>
      </c>
      <c r="GZ87" s="32" t="b">
        <f t="shared" si="197"/>
        <v>1</v>
      </c>
      <c r="HA87" s="32">
        <f t="shared" si="198"/>
        <v>0.18363747975432293</v>
      </c>
      <c r="HB87" s="32" t="e">
        <f t="shared" si="199"/>
        <v>#N/A</v>
      </c>
      <c r="HC87" s="32">
        <f t="shared" si="200"/>
        <v>0.18363747975432293</v>
      </c>
      <c r="HD87" s="45" t="str">
        <f t="shared" si="201"/>
        <v/>
      </c>
      <c r="HJ87" s="32">
        <f t="shared" si="202"/>
        <v>77</v>
      </c>
      <c r="HK87" s="32">
        <f t="shared" si="203"/>
        <v>78</v>
      </c>
      <c r="HL87" s="32">
        <f t="shared" si="204"/>
        <v>-1.9289539588309559</v>
      </c>
      <c r="HM87" s="32" t="e">
        <f t="shared" si="205"/>
        <v>#N/A</v>
      </c>
      <c r="HN87" s="32">
        <f t="shared" si="206"/>
        <v>6.9971985868934911E-2</v>
      </c>
      <c r="HO87" s="32" t="e">
        <f t="shared" si="207"/>
        <v>#N/A</v>
      </c>
      <c r="HP87" s="32" t="e">
        <f t="shared" si="208"/>
        <v>#N/A</v>
      </c>
      <c r="HQ87" s="32" t="b">
        <f t="shared" si="209"/>
        <v>1</v>
      </c>
      <c r="HR87" s="32" t="b">
        <f t="shared" si="210"/>
        <v>0</v>
      </c>
      <c r="HS87" s="32" t="b">
        <f t="shared" si="211"/>
        <v>1</v>
      </c>
      <c r="HT87" s="32" t="b">
        <f t="shared" si="212"/>
        <v>0</v>
      </c>
      <c r="HU87" s="32">
        <f t="shared" si="213"/>
        <v>6.9971985868934911E-2</v>
      </c>
      <c r="HV87" s="32">
        <f t="shared" si="214"/>
        <v>6.9971985868934911E-2</v>
      </c>
      <c r="HW87" s="32" t="e">
        <f t="shared" si="215"/>
        <v>#N/A</v>
      </c>
      <c r="HX87" s="45" t="str">
        <f t="shared" si="216"/>
        <v/>
      </c>
    </row>
    <row r="88" spans="78:232" x14ac:dyDescent="0.2">
      <c r="BZ88" s="32">
        <f t="shared" si="143"/>
        <v>78</v>
      </c>
      <c r="CA88" s="32">
        <f>Eu_tabel_g[[#This Row],[Indeks]]+1</f>
        <v>79</v>
      </c>
      <c r="CB88" s="32">
        <f t="shared" si="144"/>
        <v>-1.2217197489500657</v>
      </c>
      <c r="CC88" s="32">
        <f t="shared" si="145"/>
        <v>0.18914561597203963</v>
      </c>
      <c r="CD88" s="32" t="e">
        <f t="shared" si="146"/>
        <v>#N/A</v>
      </c>
      <c r="CE88" s="32" t="e">
        <f t="shared" si="147"/>
        <v>#N/A</v>
      </c>
      <c r="CF88" s="32" t="e">
        <f t="shared" si="148"/>
        <v>#N/A</v>
      </c>
      <c r="CG88" s="32" t="b">
        <f t="shared" si="149"/>
        <v>0</v>
      </c>
      <c r="CH88" s="32" t="b">
        <f t="shared" si="150"/>
        <v>1</v>
      </c>
      <c r="CI88" s="32" t="b">
        <f t="shared" si="151"/>
        <v>0</v>
      </c>
      <c r="CJ88" s="32" t="b">
        <f t="shared" si="152"/>
        <v>1</v>
      </c>
      <c r="CK88" s="32">
        <f t="shared" si="119"/>
        <v>0.18914561597203963</v>
      </c>
      <c r="CL88" s="32" t="e">
        <f t="shared" si="153"/>
        <v>#N/A</v>
      </c>
      <c r="CM88" s="32">
        <f t="shared" si="154"/>
        <v>0.18914561597203963</v>
      </c>
      <c r="CN88" s="45" t="str">
        <f t="shared" si="155"/>
        <v/>
      </c>
      <c r="CO88" s="32">
        <f>_xlfn.NORM.DIST(_xlfn.NORM.INV(1-Eu_g_konfidensniveau,0,1)-Eu_tabel_g[[#This Row],[x base]],0,1,TRUE)</f>
        <v>0.33609879307128609</v>
      </c>
      <c r="CP88" s="32">
        <f>1-_xlfn.NORM.DIST(_xlfn.NORM.INV(Eu_g_konfidensniveau,0,1)-Eu_tabel_g[[#This Row],[x base]],0,1,TRUE)</f>
        <v>2.0747097827240601E-3</v>
      </c>
      <c r="CQ88" s="32">
        <f>_xlfn.NORM.DIST(_xlfn.NORM.INV((1-Eu_g_konfidensniveau)/2,0,1)-Eu_tabel_g[[#This Row],[x base]],0,1,TRUE)+1-_xlfn.NORM.DIST(_xlfn.NORM.INV(1-(1-Eu_g_konfidensniveau)/2,0,1)-Eu_tabel_g[[#This Row],[x base]],0,1,TRUE)</f>
        <v>0.23091513127223462</v>
      </c>
      <c r="CR88" s="32" t="e" cm="1">
        <f t="array" ref="CR88">IF($CR$3,INDEX(Eu_tabel_g[[#This Row],[Styrke venstre]:[Styrke tosidet]],CR$7),NA())</f>
        <v>#N/A</v>
      </c>
      <c r="CS88" s="52" t="e">
        <f>Eu_tabel_g[[#This Row],[Falsk positiv
Nulhypotese accepteres
Fejltype 1]]</f>
        <v>#N/A</v>
      </c>
      <c r="CT88" s="52" t="e">
        <f>IF(CHOOSE(CR$7,Eu_tabel_g[[#This Row],[x base]]&gt;0,Eu_tabel_g[[#This Row],[x base]]&lt;0,Eu_tabel_g[[#This Row],[x base]]=0),Eu_tabel_g[[#This Row],[Styrke, aktiv]],NA())</f>
        <v>#N/A</v>
      </c>
      <c r="CU88" s="52" t="e">
        <f>IFERROR(IF($CR$3,Eu_tabel_g[[#This Row],[Styrke, aktiv]],NA()),NA())</f>
        <v>#N/A</v>
      </c>
      <c r="CV88" s="52" t="e">
        <f>IF(ISNA(Eu_tabel_g[[#This Row],[Sand negativ
Nulhypotese afvises
Korrekt]]),NA(),IF($CR$3,1,NA()))</f>
        <v>#N/A</v>
      </c>
      <c r="CW88" s="34" t="str" cm="1">
        <f t="array" ref="CW88">_xlfn.SWITCH(BZ88,_xlfn.IFNA(CU$2,-99),CU$5,_xlfn.IFNA(CU$3,-99),CU$6,_xlfn.IFNA(CU$4,-99),CU$7,"")</f>
        <v/>
      </c>
      <c r="DA88" s="7">
        <f t="shared" si="156"/>
        <v>0.8</v>
      </c>
      <c r="DB88">
        <f>IF(ROW(Styrkeberegning_G[[#This Row],[X base venstre]])=ROW(Styrkeberegning_G[[#Headers],[X base venstre]])+1,DB$7/(DA$7/$B$67),DB87/(DA87/$B$67))</f>
        <v>-2.8015817870135784</v>
      </c>
      <c r="DC88">
        <f>Styrkeberegning_G[[#This Row],[X base venstre]]*-1</f>
        <v>2.8015817870135784</v>
      </c>
      <c r="DN88" s="32">
        <f t="shared" si="157"/>
        <v>78</v>
      </c>
      <c r="DO88" s="32">
        <f t="shared" si="158"/>
        <v>79</v>
      </c>
      <c r="DP88" s="32">
        <f t="shared" si="159"/>
        <v>10.731379465179769</v>
      </c>
      <c r="DQ88" s="32" t="e">
        <f t="shared" si="160"/>
        <v>#N/A</v>
      </c>
      <c r="DR88" s="32" t="e">
        <f t="shared" si="161"/>
        <v>#N/A</v>
      </c>
      <c r="DS88" s="32">
        <f t="shared" si="162"/>
        <v>8.5731179445392575E-2</v>
      </c>
      <c r="DT88" s="32" t="e">
        <f t="shared" si="163"/>
        <v>#N/A</v>
      </c>
      <c r="DU88" s="32" t="b">
        <f t="shared" si="164"/>
        <v>0</v>
      </c>
      <c r="DV88" s="32" t="b">
        <f t="shared" si="165"/>
        <v>1</v>
      </c>
      <c r="DW88" s="32" t="b">
        <f t="shared" si="166"/>
        <v>0</v>
      </c>
      <c r="DX88" s="32" t="b">
        <f t="shared" si="167"/>
        <v>1</v>
      </c>
      <c r="DY88" s="32">
        <f t="shared" si="168"/>
        <v>8.5731179445392575E-2</v>
      </c>
      <c r="DZ88" s="32" t="e">
        <f t="shared" si="169"/>
        <v>#N/A</v>
      </c>
      <c r="EA88" s="32">
        <f t="shared" si="170"/>
        <v>8.5731179445392575E-2</v>
      </c>
      <c r="EB88" s="45" t="str">
        <f t="shared" si="171"/>
        <v/>
      </c>
      <c r="EG88" s="32">
        <f t="shared" si="172"/>
        <v>78</v>
      </c>
      <c r="EH88" s="32">
        <f t="shared" si="173"/>
        <v>79</v>
      </c>
      <c r="EI88" s="32">
        <f t="shared" si="174"/>
        <v>-1.2217197489500657</v>
      </c>
      <c r="EJ88" s="32">
        <f t="shared" si="175"/>
        <v>0.18914561597203963</v>
      </c>
      <c r="EK88" s="32" t="e">
        <f t="shared" si="176"/>
        <v>#N/A</v>
      </c>
      <c r="EL88" s="32" t="e">
        <f t="shared" si="177"/>
        <v>#N/A</v>
      </c>
      <c r="EM88" s="32" t="e">
        <f t="shared" si="178"/>
        <v>#N/A</v>
      </c>
      <c r="EN88" s="32" t="b">
        <f t="shared" si="179"/>
        <v>0</v>
      </c>
      <c r="EO88" s="32" t="b">
        <f t="shared" si="180"/>
        <v>1</v>
      </c>
      <c r="EP88" s="32" t="b">
        <f t="shared" si="181"/>
        <v>0</v>
      </c>
      <c r="EQ88" s="32" t="b">
        <f t="shared" si="182"/>
        <v>1</v>
      </c>
      <c r="ER88" s="32">
        <f t="shared" si="183"/>
        <v>0.18914561597203963</v>
      </c>
      <c r="ES88" s="32" t="e">
        <f t="shared" si="184"/>
        <v>#N/A</v>
      </c>
      <c r="ET88" s="32">
        <f t="shared" si="185"/>
        <v>0.18914561597203963</v>
      </c>
      <c r="EU88" s="45" t="str">
        <f t="shared" si="186"/>
        <v/>
      </c>
      <c r="EV8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8" s="32" t="e" cm="1">
        <f t="array" ref="EY88">IF($CR$3,INDEX(Eu_tabel_a[[#This Row],[Styrke venstre]:[Styrke tosidet]],EY$7),NA())</f>
        <v>#N/A</v>
      </c>
      <c r="EZ88" s="32" t="e">
        <f>IF(EY$3,IF(CHOOSE(EY$7,Eu_tabel_a[[#This Row],[x base]]&gt;0,Eu_tabel_a[[#This Row],[x base]]&lt;0,Eu_tabel_a[[#This Row],[x base]]=0),1,NA()),NA())</f>
        <v>#N/A</v>
      </c>
      <c r="FA88" s="32" t="e">
        <f>IF(CHOOSE(EY$7,Eu_tabel_a[[#This Row],[x base]]&gt;0,Eu_tabel_a[[#This Row],[x base]]&lt;0,Eu_tabel_a[[#This Row],[x base]]=0),Eu_tabel_a[[#This Row],[Styrke, aktiv]],NA())</f>
        <v>#N/A</v>
      </c>
      <c r="FB88" s="32" t="e">
        <f>IFERROR(IF($EY$3,Eu_tabel_a[[#This Row],[Styrke, aktiv]],NA()),NA())</f>
        <v>#N/A</v>
      </c>
      <c r="FC88" s="32" t="e">
        <f>IF(ISNA(Eu_tabel_a[[#This Row],[Sand negativ
Nulhypotese afvises
Korrekt]]),NA(),IF(EY$3,1,NA()))</f>
        <v>#N/A</v>
      </c>
      <c r="FD88" s="33" t="str" cm="1">
        <f t="array" ref="FD88">IFERROR(_xlfn.SWITCH(Eu_tabel_a[[#This Row],[Indeks]],_xlfn.IFNA(FB$2,-99),FB$5,_xlfn.IFNA(FB$3,-99),FB$6,_xlfn.IFNA(FB$4,-99),FB$7,""),"")</f>
        <v/>
      </c>
      <c r="FE88" s="32">
        <f>Eu_tabel_a[[#This Row],[x base]]*SQRT(Eu_a_h0_x*(1-Eu_a_h0_x)/Eu_a_n_x)+Eu_a_h0_x</f>
        <v>0</v>
      </c>
      <c r="FJ88" s="74" t="e">
        <f t="shared" si="130"/>
        <v>#N/A</v>
      </c>
      <c r="FK88" s="82" t="e">
        <f t="shared" si="113"/>
        <v>#DIV/0!</v>
      </c>
      <c r="FL88" s="7" t="e">
        <f t="shared" si="124"/>
        <v>#DIV/0!</v>
      </c>
      <c r="FM88" t="e">
        <f t="shared" si="114"/>
        <v>#DIV/0!</v>
      </c>
      <c r="FN88" s="8" t="e">
        <f t="shared" si="115"/>
        <v>#DIV/0!</v>
      </c>
      <c r="FO88" s="8" t="e">
        <f t="shared" si="116"/>
        <v>#DIV/0!</v>
      </c>
      <c r="FP88" s="81" t="e">
        <f t="shared" si="117"/>
        <v>#DIV/0!</v>
      </c>
      <c r="FQ88" s="74" t="e">
        <f t="shared" ca="1" si="125"/>
        <v>#N/A</v>
      </c>
      <c r="FR88" s="82" t="e" vm="3">
        <f t="shared" ca="1" si="131"/>
        <v>#VALUE!</v>
      </c>
      <c r="FS88" s="7" t="e" vm="3">
        <f t="shared" ca="1" si="126"/>
        <v>#VALUE!</v>
      </c>
      <c r="FT88" t="e" vm="3">
        <f t="shared" ca="1" si="120"/>
        <v>#VALUE!</v>
      </c>
      <c r="FU88" s="8" t="e" vm="3">
        <f t="shared" ca="1" si="121"/>
        <v>#VALUE!</v>
      </c>
      <c r="FV88" s="8" t="e" vm="3">
        <f t="shared" ca="1" si="122"/>
        <v>#VALUE!</v>
      </c>
      <c r="FW88" s="81" t="e" vm="3">
        <f t="shared" ca="1" si="123"/>
        <v>#VALUE!</v>
      </c>
      <c r="FX88" s="74" t="e">
        <f t="shared" si="127"/>
        <v>#N/A</v>
      </c>
      <c r="FY88" s="82" t="e">
        <f t="shared" si="132"/>
        <v>#N/A</v>
      </c>
      <c r="FZ88" s="7" t="e">
        <f t="shared" si="128"/>
        <v>#N/A</v>
      </c>
      <c r="GA88" t="e">
        <f t="shared" si="133"/>
        <v>#N/A</v>
      </c>
      <c r="GB88" s="8" t="e">
        <f t="shared" si="134"/>
        <v>#N/A</v>
      </c>
      <c r="GC88" s="8" t="e">
        <f t="shared" si="135"/>
        <v>#N/A</v>
      </c>
      <c r="GD88" s="81" t="e">
        <f t="shared" si="136"/>
        <v>#N/A</v>
      </c>
      <c r="GE88" s="74" t="e">
        <f t="shared" si="137"/>
        <v>#N/A</v>
      </c>
      <c r="GF88" s="82" t="e">
        <f t="shared" si="138"/>
        <v>#N/A</v>
      </c>
      <c r="GG88" s="7" t="e">
        <f t="shared" si="129"/>
        <v>#N/A</v>
      </c>
      <c r="GH88" t="e">
        <f t="shared" si="139"/>
        <v>#N/A</v>
      </c>
      <c r="GI88" s="8" t="e">
        <f t="shared" si="140"/>
        <v>#N/A</v>
      </c>
      <c r="GJ88" s="8" t="e">
        <f t="shared" si="141"/>
        <v>#N/A</v>
      </c>
      <c r="GK88" s="81" t="e">
        <f t="shared" si="142"/>
        <v>#N/A</v>
      </c>
      <c r="GL88" s="81"/>
      <c r="GM88" s="81"/>
      <c r="GP88" s="32">
        <f t="shared" si="187"/>
        <v>78</v>
      </c>
      <c r="GQ88" s="32">
        <f t="shared" si="188"/>
        <v>79</v>
      </c>
      <c r="GR88" s="32">
        <f t="shared" si="189"/>
        <v>-1.2217197489500657</v>
      </c>
      <c r="GS88" s="32">
        <f t="shared" si="190"/>
        <v>0.18914561597203963</v>
      </c>
      <c r="GT88" s="32" t="e">
        <f t="shared" si="191"/>
        <v>#N/A</v>
      </c>
      <c r="GU88" s="32" t="e">
        <f t="shared" si="192"/>
        <v>#N/A</v>
      </c>
      <c r="GV88" s="32" t="e">
        <f t="shared" si="193"/>
        <v>#N/A</v>
      </c>
      <c r="GW88" s="32" t="b">
        <f t="shared" si="194"/>
        <v>0</v>
      </c>
      <c r="GX88" s="32" t="b">
        <f t="shared" si="195"/>
        <v>1</v>
      </c>
      <c r="GY88" s="32" t="b">
        <f t="shared" si="196"/>
        <v>0</v>
      </c>
      <c r="GZ88" s="32" t="b">
        <f t="shared" si="197"/>
        <v>1</v>
      </c>
      <c r="HA88" s="32">
        <f t="shared" si="198"/>
        <v>0.18914561597203963</v>
      </c>
      <c r="HB88" s="32" t="e">
        <f t="shared" si="199"/>
        <v>#N/A</v>
      </c>
      <c r="HC88" s="32">
        <f t="shared" si="200"/>
        <v>0.18914561597203963</v>
      </c>
      <c r="HD88" s="45" t="str">
        <f t="shared" si="201"/>
        <v/>
      </c>
      <c r="HJ88" s="32">
        <f t="shared" si="202"/>
        <v>78</v>
      </c>
      <c r="HK88" s="32">
        <f t="shared" si="203"/>
        <v>79</v>
      </c>
      <c r="HL88" s="32">
        <f t="shared" si="204"/>
        <v>-1.8918586903918988</v>
      </c>
      <c r="HM88" s="32" t="e">
        <f t="shared" si="205"/>
        <v>#N/A</v>
      </c>
      <c r="HN88" s="32">
        <f t="shared" si="206"/>
        <v>7.3797821923210979E-2</v>
      </c>
      <c r="HO88" s="32" t="e">
        <f t="shared" si="207"/>
        <v>#N/A</v>
      </c>
      <c r="HP88" s="32" t="e">
        <f t="shared" si="208"/>
        <v>#N/A</v>
      </c>
      <c r="HQ88" s="32" t="b">
        <f t="shared" si="209"/>
        <v>1</v>
      </c>
      <c r="HR88" s="32" t="b">
        <f t="shared" si="210"/>
        <v>0</v>
      </c>
      <c r="HS88" s="32" t="b">
        <f t="shared" si="211"/>
        <v>1</v>
      </c>
      <c r="HT88" s="32" t="b">
        <f t="shared" si="212"/>
        <v>0</v>
      </c>
      <c r="HU88" s="32">
        <f t="shared" si="213"/>
        <v>7.3797821923210979E-2</v>
      </c>
      <c r="HV88" s="32">
        <f t="shared" si="214"/>
        <v>7.3797821923210979E-2</v>
      </c>
      <c r="HW88" s="32" t="e">
        <f t="shared" si="215"/>
        <v>#N/A</v>
      </c>
      <c r="HX88" s="45" t="str">
        <f t="shared" si="216"/>
        <v/>
      </c>
    </row>
    <row r="89" spans="78:232" x14ac:dyDescent="0.2">
      <c r="BZ89" s="32">
        <f t="shared" si="143"/>
        <v>79</v>
      </c>
      <c r="CA89" s="32">
        <f>Eu_tabel_g[[#This Row],[Indeks]]+1</f>
        <v>80</v>
      </c>
      <c r="CB89" s="32">
        <f t="shared" si="144"/>
        <v>-1.1977644597549664</v>
      </c>
      <c r="CC89" s="32">
        <f t="shared" si="145"/>
        <v>0.19470720069857361</v>
      </c>
      <c r="CD89" s="32" t="e">
        <f t="shared" si="146"/>
        <v>#N/A</v>
      </c>
      <c r="CE89" s="32" t="e">
        <f t="shared" si="147"/>
        <v>#N/A</v>
      </c>
      <c r="CF89" s="32" t="e">
        <f t="shared" si="148"/>
        <v>#N/A</v>
      </c>
      <c r="CG89" s="32" t="b">
        <f t="shared" si="149"/>
        <v>0</v>
      </c>
      <c r="CH89" s="32" t="b">
        <f t="shared" si="150"/>
        <v>1</v>
      </c>
      <c r="CI89" s="32" t="b">
        <f t="shared" si="151"/>
        <v>0</v>
      </c>
      <c r="CJ89" s="32" t="b">
        <f t="shared" si="152"/>
        <v>1</v>
      </c>
      <c r="CK89" s="32">
        <f t="shared" si="119"/>
        <v>0.19470720069857361</v>
      </c>
      <c r="CL89" s="32" t="e">
        <f t="shared" si="153"/>
        <v>#N/A</v>
      </c>
      <c r="CM89" s="32">
        <f t="shared" si="154"/>
        <v>0.19470720069857361</v>
      </c>
      <c r="CN89" s="45" t="str">
        <f t="shared" si="155"/>
        <v/>
      </c>
      <c r="CO89" s="32">
        <f>_xlfn.NORM.DIST(_xlfn.NORM.INV(1-Eu_g_konfidensniveau,0,1)-Eu_tabel_g[[#This Row],[x base]],0,1,TRUE)</f>
        <v>0.32740534012693789</v>
      </c>
      <c r="CP89" s="32">
        <f>1-_xlfn.NORM.DIST(_xlfn.NORM.INV(Eu_g_konfidensniveau,0,1)-Eu_tabel_g[[#This Row],[x base]],0,1,TRUE)</f>
        <v>2.2372326012062294E-3</v>
      </c>
      <c r="CQ89" s="32">
        <f>_xlfn.NORM.DIST(_xlfn.NORM.INV((1-Eu_g_konfidensniveau)/2,0,1)-Eu_tabel_g[[#This Row],[x base]],0,1,TRUE)+1-_xlfn.NORM.DIST(_xlfn.NORM.INV(1-(1-Eu_g_konfidensniveau)/2,0,1)-Eu_tabel_g[[#This Row],[x base]],0,1,TRUE)</f>
        <v>0.22376548284288711</v>
      </c>
      <c r="CR89" s="32" t="e" cm="1">
        <f t="array" ref="CR89">IF($CR$3,INDEX(Eu_tabel_g[[#This Row],[Styrke venstre]:[Styrke tosidet]],CR$7),NA())</f>
        <v>#N/A</v>
      </c>
      <c r="CS89" s="52" t="e">
        <f>Eu_tabel_g[[#This Row],[Falsk positiv
Nulhypotese accepteres
Fejltype 1]]</f>
        <v>#N/A</v>
      </c>
      <c r="CT89" s="52" t="e">
        <f>IF(CHOOSE(CR$7,Eu_tabel_g[[#This Row],[x base]]&gt;0,Eu_tabel_g[[#This Row],[x base]]&lt;0,Eu_tabel_g[[#This Row],[x base]]=0),Eu_tabel_g[[#This Row],[Styrke, aktiv]],NA())</f>
        <v>#N/A</v>
      </c>
      <c r="CU89" s="52" t="e">
        <f>IFERROR(IF($CR$3,Eu_tabel_g[[#This Row],[Styrke, aktiv]],NA()),NA())</f>
        <v>#N/A</v>
      </c>
      <c r="CV89" s="52" t="e">
        <f>IF(ISNA(Eu_tabel_g[[#This Row],[Sand negativ
Nulhypotese afvises
Korrekt]]),NA(),IF($CR$3,1,NA()))</f>
        <v>#N/A</v>
      </c>
      <c r="CW89" s="34" t="str" cm="1">
        <f t="array" ref="CW89">_xlfn.SWITCH(BZ89,_xlfn.IFNA(CU$2,-99),CU$5,_xlfn.IFNA(CU$3,-99),CU$6,_xlfn.IFNA(CU$4,-99),CU$7,"")</f>
        <v/>
      </c>
      <c r="DA89" s="7">
        <f t="shared" si="156"/>
        <v>0.8</v>
      </c>
      <c r="DB89">
        <f>IF(ROW(Styrkeberegning_G[[#This Row],[X base venstre]])=ROW(Styrkeberegning_G[[#Headers],[X base venstre]])+1,DB$7/(DA$7/$B$67),DB88/(DA88/$B$67))</f>
        <v>-2.8015817870135784</v>
      </c>
      <c r="DC89">
        <f>Styrkeberegning_G[[#This Row],[X base venstre]]*-1</f>
        <v>2.8015817870135784</v>
      </c>
      <c r="DN89" s="32">
        <f t="shared" si="157"/>
        <v>79</v>
      </c>
      <c r="DO89" s="32">
        <f t="shared" si="158"/>
        <v>80</v>
      </c>
      <c r="DP89" s="32">
        <f t="shared" si="159"/>
        <v>10.84545032159677</v>
      </c>
      <c r="DQ89" s="32" t="e">
        <f t="shared" si="160"/>
        <v>#N/A</v>
      </c>
      <c r="DR89" s="32" t="e">
        <f t="shared" si="161"/>
        <v>#N/A</v>
      </c>
      <c r="DS89" s="32">
        <f t="shared" si="162"/>
        <v>8.4924460239516705E-2</v>
      </c>
      <c r="DT89" s="32" t="e">
        <f t="shared" si="163"/>
        <v>#N/A</v>
      </c>
      <c r="DU89" s="32" t="b">
        <f t="shared" si="164"/>
        <v>0</v>
      </c>
      <c r="DV89" s="32" t="b">
        <f t="shared" si="165"/>
        <v>1</v>
      </c>
      <c r="DW89" s="32" t="b">
        <f t="shared" si="166"/>
        <v>0</v>
      </c>
      <c r="DX89" s="32" t="b">
        <f t="shared" si="167"/>
        <v>1</v>
      </c>
      <c r="DY89" s="32">
        <f t="shared" si="168"/>
        <v>8.4924460239516705E-2</v>
      </c>
      <c r="DZ89" s="32" t="e">
        <f t="shared" si="169"/>
        <v>#N/A</v>
      </c>
      <c r="EA89" s="32">
        <f t="shared" si="170"/>
        <v>8.4924460239516705E-2</v>
      </c>
      <c r="EB89" s="45" t="str">
        <f t="shared" si="171"/>
        <v/>
      </c>
      <c r="EG89" s="32">
        <f t="shared" si="172"/>
        <v>79</v>
      </c>
      <c r="EH89" s="32">
        <f t="shared" si="173"/>
        <v>80</v>
      </c>
      <c r="EI89" s="32">
        <f t="shared" si="174"/>
        <v>-1.1977644597549664</v>
      </c>
      <c r="EJ89" s="32">
        <f t="shared" si="175"/>
        <v>0.19470720069857361</v>
      </c>
      <c r="EK89" s="32" t="e">
        <f t="shared" si="176"/>
        <v>#N/A</v>
      </c>
      <c r="EL89" s="32" t="e">
        <f t="shared" si="177"/>
        <v>#N/A</v>
      </c>
      <c r="EM89" s="32" t="e">
        <f t="shared" si="178"/>
        <v>#N/A</v>
      </c>
      <c r="EN89" s="32" t="b">
        <f t="shared" si="179"/>
        <v>0</v>
      </c>
      <c r="EO89" s="32" t="b">
        <f t="shared" si="180"/>
        <v>1</v>
      </c>
      <c r="EP89" s="32" t="b">
        <f t="shared" si="181"/>
        <v>0</v>
      </c>
      <c r="EQ89" s="32" t="b">
        <f t="shared" si="182"/>
        <v>1</v>
      </c>
      <c r="ER89" s="32">
        <f t="shared" si="183"/>
        <v>0.19470720069857361</v>
      </c>
      <c r="ES89" s="32" t="e">
        <f t="shared" si="184"/>
        <v>#N/A</v>
      </c>
      <c r="ET89" s="32">
        <f t="shared" si="185"/>
        <v>0.19470720069857361</v>
      </c>
      <c r="EU89" s="45" t="str">
        <f t="shared" si="186"/>
        <v/>
      </c>
      <c r="EV8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9" s="32" t="e" cm="1">
        <f t="array" ref="EY89">IF($CR$3,INDEX(Eu_tabel_a[[#This Row],[Styrke venstre]:[Styrke tosidet]],EY$7),NA())</f>
        <v>#N/A</v>
      </c>
      <c r="EZ89" s="32" t="e">
        <f>IF(EY$3,IF(CHOOSE(EY$7,Eu_tabel_a[[#This Row],[x base]]&gt;0,Eu_tabel_a[[#This Row],[x base]]&lt;0,Eu_tabel_a[[#This Row],[x base]]=0),1,NA()),NA())</f>
        <v>#N/A</v>
      </c>
      <c r="FA89" s="32" t="e">
        <f>IF(CHOOSE(EY$7,Eu_tabel_a[[#This Row],[x base]]&gt;0,Eu_tabel_a[[#This Row],[x base]]&lt;0,Eu_tabel_a[[#This Row],[x base]]=0),Eu_tabel_a[[#This Row],[Styrke, aktiv]],NA())</f>
        <v>#N/A</v>
      </c>
      <c r="FB89" s="32" t="e">
        <f>IFERROR(IF($EY$3,Eu_tabel_a[[#This Row],[Styrke, aktiv]],NA()),NA())</f>
        <v>#N/A</v>
      </c>
      <c r="FC89" s="32" t="e">
        <f>IF(ISNA(Eu_tabel_a[[#This Row],[Sand negativ
Nulhypotese afvises
Korrekt]]),NA(),IF(EY$3,1,NA()))</f>
        <v>#N/A</v>
      </c>
      <c r="FD89" s="33" t="str" cm="1">
        <f t="array" ref="FD89">IFERROR(_xlfn.SWITCH(Eu_tabel_a[[#This Row],[Indeks]],_xlfn.IFNA(FB$2,-99),FB$5,_xlfn.IFNA(FB$3,-99),FB$6,_xlfn.IFNA(FB$4,-99),FB$7,""),"")</f>
        <v/>
      </c>
      <c r="FE89" s="32">
        <f>Eu_tabel_a[[#This Row],[x base]]*SQRT(Eu_a_h0_x*(1-Eu_a_h0_x)/Eu_a_n_x)+Eu_a_h0_x</f>
        <v>0</v>
      </c>
      <c r="FJ89" s="74" t="e">
        <f t="shared" si="130"/>
        <v>#N/A</v>
      </c>
      <c r="FK89" s="82" t="e">
        <f t="shared" si="113"/>
        <v>#DIV/0!</v>
      </c>
      <c r="FL89" s="7" t="e">
        <f t="shared" si="124"/>
        <v>#DIV/0!</v>
      </c>
      <c r="FM89" t="e">
        <f t="shared" si="114"/>
        <v>#DIV/0!</v>
      </c>
      <c r="FN89" s="8" t="e">
        <f t="shared" si="115"/>
        <v>#DIV/0!</v>
      </c>
      <c r="FO89" s="8" t="e">
        <f t="shared" si="116"/>
        <v>#DIV/0!</v>
      </c>
      <c r="FP89" s="81" t="e">
        <f t="shared" si="117"/>
        <v>#DIV/0!</v>
      </c>
      <c r="FQ89" s="74" t="e">
        <f t="shared" ca="1" si="125"/>
        <v>#N/A</v>
      </c>
      <c r="FR89" s="82" t="e" vm="3">
        <f t="shared" ca="1" si="131"/>
        <v>#VALUE!</v>
      </c>
      <c r="FS89" s="7" t="e" vm="3">
        <f t="shared" ca="1" si="126"/>
        <v>#VALUE!</v>
      </c>
      <c r="FT89" t="e" vm="3">
        <f t="shared" ca="1" si="120"/>
        <v>#VALUE!</v>
      </c>
      <c r="FU89" s="8" t="e" vm="3">
        <f t="shared" ca="1" si="121"/>
        <v>#VALUE!</v>
      </c>
      <c r="FV89" s="8" t="e" vm="3">
        <f t="shared" ca="1" si="122"/>
        <v>#VALUE!</v>
      </c>
      <c r="FW89" s="81" t="e" vm="3">
        <f t="shared" ca="1" si="123"/>
        <v>#VALUE!</v>
      </c>
      <c r="FX89" s="74" t="e">
        <f t="shared" si="127"/>
        <v>#N/A</v>
      </c>
      <c r="FY89" s="82" t="e">
        <f t="shared" si="132"/>
        <v>#N/A</v>
      </c>
      <c r="FZ89" s="7" t="e">
        <f t="shared" si="128"/>
        <v>#N/A</v>
      </c>
      <c r="GA89" t="e">
        <f t="shared" si="133"/>
        <v>#N/A</v>
      </c>
      <c r="GB89" s="8" t="e">
        <f t="shared" si="134"/>
        <v>#N/A</v>
      </c>
      <c r="GC89" s="8" t="e">
        <f t="shared" si="135"/>
        <v>#N/A</v>
      </c>
      <c r="GD89" s="81" t="e">
        <f t="shared" si="136"/>
        <v>#N/A</v>
      </c>
      <c r="GE89" s="74" t="e">
        <f t="shared" si="137"/>
        <v>#N/A</v>
      </c>
      <c r="GF89" s="82" t="e">
        <f t="shared" si="138"/>
        <v>#N/A</v>
      </c>
      <c r="GG89" s="7" t="e">
        <f t="shared" si="129"/>
        <v>#N/A</v>
      </c>
      <c r="GH89" t="e">
        <f t="shared" si="139"/>
        <v>#N/A</v>
      </c>
      <c r="GI89" s="8" t="e">
        <f t="shared" si="140"/>
        <v>#N/A</v>
      </c>
      <c r="GJ89" s="8" t="e">
        <f t="shared" si="141"/>
        <v>#N/A</v>
      </c>
      <c r="GK89" s="81" t="e">
        <f t="shared" si="142"/>
        <v>#N/A</v>
      </c>
      <c r="GL89" s="81"/>
      <c r="GM89" s="81"/>
      <c r="GP89" s="32">
        <f t="shared" si="187"/>
        <v>79</v>
      </c>
      <c r="GQ89" s="32">
        <f t="shared" si="188"/>
        <v>80</v>
      </c>
      <c r="GR89" s="32">
        <f t="shared" si="189"/>
        <v>-1.1977644597549664</v>
      </c>
      <c r="GS89" s="32">
        <f t="shared" si="190"/>
        <v>0.19470720069857361</v>
      </c>
      <c r="GT89" s="32" t="e">
        <f t="shared" si="191"/>
        <v>#N/A</v>
      </c>
      <c r="GU89" s="32" t="e">
        <f t="shared" si="192"/>
        <v>#N/A</v>
      </c>
      <c r="GV89" s="32" t="e">
        <f t="shared" si="193"/>
        <v>#N/A</v>
      </c>
      <c r="GW89" s="32" t="b">
        <f t="shared" si="194"/>
        <v>0</v>
      </c>
      <c r="GX89" s="32" t="b">
        <f t="shared" si="195"/>
        <v>1</v>
      </c>
      <c r="GY89" s="32" t="b">
        <f t="shared" si="196"/>
        <v>0</v>
      </c>
      <c r="GZ89" s="32" t="b">
        <f t="shared" si="197"/>
        <v>1</v>
      </c>
      <c r="HA89" s="32">
        <f t="shared" si="198"/>
        <v>0.19470720069857361</v>
      </c>
      <c r="HB89" s="32" t="e">
        <f t="shared" si="199"/>
        <v>#N/A</v>
      </c>
      <c r="HC89" s="32">
        <f t="shared" si="200"/>
        <v>0.19470720069857361</v>
      </c>
      <c r="HD89" s="45" t="str">
        <f t="shared" si="201"/>
        <v/>
      </c>
      <c r="HJ89" s="32">
        <f t="shared" si="202"/>
        <v>79</v>
      </c>
      <c r="HK89" s="32">
        <f t="shared" si="203"/>
        <v>80</v>
      </c>
      <c r="HL89" s="32">
        <f t="shared" si="204"/>
        <v>-1.8547634219528422</v>
      </c>
      <c r="HM89" s="32" t="e">
        <f t="shared" si="205"/>
        <v>#N/A</v>
      </c>
      <c r="HN89" s="32">
        <f t="shared" si="206"/>
        <v>7.7806652771627821E-2</v>
      </c>
      <c r="HO89" s="32" t="e">
        <f t="shared" si="207"/>
        <v>#N/A</v>
      </c>
      <c r="HP89" s="32" t="e">
        <f t="shared" si="208"/>
        <v>#N/A</v>
      </c>
      <c r="HQ89" s="32" t="b">
        <f t="shared" si="209"/>
        <v>1</v>
      </c>
      <c r="HR89" s="32" t="b">
        <f t="shared" si="210"/>
        <v>0</v>
      </c>
      <c r="HS89" s="32" t="b">
        <f t="shared" si="211"/>
        <v>1</v>
      </c>
      <c r="HT89" s="32" t="b">
        <f t="shared" si="212"/>
        <v>0</v>
      </c>
      <c r="HU89" s="32">
        <f t="shared" si="213"/>
        <v>7.7806652771627821E-2</v>
      </c>
      <c r="HV89" s="32">
        <f t="shared" si="214"/>
        <v>7.7806652771627821E-2</v>
      </c>
      <c r="HW89" s="32" t="e">
        <f t="shared" si="215"/>
        <v>#N/A</v>
      </c>
      <c r="HX89" s="45" t="str">
        <f t="shared" si="216"/>
        <v/>
      </c>
    </row>
    <row r="90" spans="78:232" x14ac:dyDescent="0.2">
      <c r="BZ90" s="32">
        <f t="shared" si="143"/>
        <v>80</v>
      </c>
      <c r="CA90" s="32">
        <f>Eu_tabel_g[[#This Row],[Indeks]]+1</f>
        <v>81</v>
      </c>
      <c r="CB90" s="32">
        <f t="shared" si="144"/>
        <v>-1.173809170559867</v>
      </c>
      <c r="CC90" s="32">
        <f t="shared" si="145"/>
        <v>0.20031733043738451</v>
      </c>
      <c r="CD90" s="32" t="e">
        <f t="shared" si="146"/>
        <v>#N/A</v>
      </c>
      <c r="CE90" s="32" t="e">
        <f t="shared" si="147"/>
        <v>#N/A</v>
      </c>
      <c r="CF90" s="32" t="e">
        <f t="shared" si="148"/>
        <v>#N/A</v>
      </c>
      <c r="CG90" s="32" t="b">
        <f t="shared" si="149"/>
        <v>0</v>
      </c>
      <c r="CH90" s="32" t="b">
        <f t="shared" si="150"/>
        <v>1</v>
      </c>
      <c r="CI90" s="32" t="b">
        <f t="shared" si="151"/>
        <v>0</v>
      </c>
      <c r="CJ90" s="32" t="b">
        <f t="shared" si="152"/>
        <v>1</v>
      </c>
      <c r="CK90" s="32">
        <f t="shared" si="119"/>
        <v>0.20031733043738451</v>
      </c>
      <c r="CL90" s="32" t="e">
        <f t="shared" si="153"/>
        <v>#N/A</v>
      </c>
      <c r="CM90" s="32">
        <f t="shared" si="154"/>
        <v>0.20031733043738451</v>
      </c>
      <c r="CN90" s="45" t="str">
        <f t="shared" si="155"/>
        <v/>
      </c>
      <c r="CO90" s="32">
        <f>_xlfn.NORM.DIST(_xlfn.NORM.INV(1-Eu_g_konfidensniveau,0,1)-Eu_tabel_g[[#This Row],[x base]],0,1,TRUE)</f>
        <v>0.31880449413911849</v>
      </c>
      <c r="CP90" s="32">
        <f>1-_xlfn.NORM.DIST(_xlfn.NORM.INV(Eu_g_konfidensniveau,0,1)-Eu_tabel_g[[#This Row],[x base]],0,1,TRUE)</f>
        <v>2.4112074767851377E-3</v>
      </c>
      <c r="CQ90" s="32">
        <f>_xlfn.NORM.DIST(_xlfn.NORM.INV((1-Eu_g_konfidensniveau)/2,0,1)-Eu_tabel_g[[#This Row],[x base]],0,1,TRUE)+1-_xlfn.NORM.DIST(_xlfn.NORM.INV(1-(1-Eu_g_konfidensniveau)/2,0,1)-Eu_tabel_g[[#This Row],[x base]],0,1,TRUE)</f>
        <v>0.21675126840622105</v>
      </c>
      <c r="CR90" s="32" t="e" cm="1">
        <f t="array" ref="CR90">IF($CR$3,INDEX(Eu_tabel_g[[#This Row],[Styrke venstre]:[Styrke tosidet]],CR$7),NA())</f>
        <v>#N/A</v>
      </c>
      <c r="CS90" s="52" t="e">
        <f>Eu_tabel_g[[#This Row],[Falsk positiv
Nulhypotese accepteres
Fejltype 1]]</f>
        <v>#N/A</v>
      </c>
      <c r="CT90" s="52" t="e">
        <f>IF(CHOOSE(CR$7,Eu_tabel_g[[#This Row],[x base]]&gt;0,Eu_tabel_g[[#This Row],[x base]]&lt;0,Eu_tabel_g[[#This Row],[x base]]=0),Eu_tabel_g[[#This Row],[Styrke, aktiv]],NA())</f>
        <v>#N/A</v>
      </c>
      <c r="CU90" s="52" t="e">
        <f>IFERROR(IF($CR$3,Eu_tabel_g[[#This Row],[Styrke, aktiv]],NA()),NA())</f>
        <v>#N/A</v>
      </c>
      <c r="CV90" s="52" t="e">
        <f>IF(ISNA(Eu_tabel_g[[#This Row],[Sand negativ
Nulhypotese afvises
Korrekt]]),NA(),IF($CR$3,1,NA()))</f>
        <v>#N/A</v>
      </c>
      <c r="CW90" s="34" t="str" cm="1">
        <f t="array" ref="CW90">_xlfn.SWITCH(BZ90,_xlfn.IFNA(CU$2,-99),CU$5,_xlfn.IFNA(CU$3,-99),CU$6,_xlfn.IFNA(CU$4,-99),CU$7,"")</f>
        <v/>
      </c>
      <c r="DA90" s="7">
        <f t="shared" si="156"/>
        <v>0.8</v>
      </c>
      <c r="DB90">
        <f>IF(ROW(Styrkeberegning_G[[#This Row],[X base venstre]])=ROW(Styrkeberegning_G[[#Headers],[X base venstre]])+1,DB$7/(DA$7/$B$67),DB89/(DA89/$B$67))</f>
        <v>-2.8015817870135784</v>
      </c>
      <c r="DC90">
        <f>Styrkeberegning_G[[#This Row],[X base venstre]]*-1</f>
        <v>2.8015817870135784</v>
      </c>
      <c r="DN90" s="32">
        <f t="shared" si="157"/>
        <v>80</v>
      </c>
      <c r="DO90" s="32">
        <f t="shared" si="158"/>
        <v>81</v>
      </c>
      <c r="DP90" s="32">
        <f t="shared" si="159"/>
        <v>10.959521178013771</v>
      </c>
      <c r="DQ90" s="32" t="e">
        <f t="shared" si="160"/>
        <v>#N/A</v>
      </c>
      <c r="DR90" s="32" t="e">
        <f t="shared" si="161"/>
        <v>#N/A</v>
      </c>
      <c r="DS90" s="32">
        <f t="shared" si="162"/>
        <v>8.4083461530043563E-2</v>
      </c>
      <c r="DT90" s="32" t="e">
        <f t="shared" si="163"/>
        <v>#N/A</v>
      </c>
      <c r="DU90" s="32" t="b">
        <f t="shared" si="164"/>
        <v>0</v>
      </c>
      <c r="DV90" s="32" t="b">
        <f t="shared" si="165"/>
        <v>1</v>
      </c>
      <c r="DW90" s="32" t="b">
        <f t="shared" si="166"/>
        <v>0</v>
      </c>
      <c r="DX90" s="32" t="b">
        <f t="shared" si="167"/>
        <v>1</v>
      </c>
      <c r="DY90" s="32">
        <f t="shared" si="168"/>
        <v>8.4083461530043563E-2</v>
      </c>
      <c r="DZ90" s="32" t="e">
        <f t="shared" si="169"/>
        <v>#N/A</v>
      </c>
      <c r="EA90" s="32">
        <f t="shared" si="170"/>
        <v>8.4083461530043563E-2</v>
      </c>
      <c r="EB90" s="45" t="str">
        <f t="shared" si="171"/>
        <v/>
      </c>
      <c r="EG90" s="32">
        <f t="shared" si="172"/>
        <v>80</v>
      </c>
      <c r="EH90" s="32">
        <f t="shared" si="173"/>
        <v>81</v>
      </c>
      <c r="EI90" s="32">
        <f t="shared" si="174"/>
        <v>-1.173809170559867</v>
      </c>
      <c r="EJ90" s="32">
        <f t="shared" si="175"/>
        <v>0.20031733043738451</v>
      </c>
      <c r="EK90" s="32" t="e">
        <f t="shared" si="176"/>
        <v>#N/A</v>
      </c>
      <c r="EL90" s="32" t="e">
        <f t="shared" si="177"/>
        <v>#N/A</v>
      </c>
      <c r="EM90" s="32" t="e">
        <f t="shared" si="178"/>
        <v>#N/A</v>
      </c>
      <c r="EN90" s="32" t="b">
        <f t="shared" si="179"/>
        <v>0</v>
      </c>
      <c r="EO90" s="32" t="b">
        <f t="shared" si="180"/>
        <v>1</v>
      </c>
      <c r="EP90" s="32" t="b">
        <f t="shared" si="181"/>
        <v>0</v>
      </c>
      <c r="EQ90" s="32" t="b">
        <f t="shared" si="182"/>
        <v>1</v>
      </c>
      <c r="ER90" s="32">
        <f t="shared" si="183"/>
        <v>0.20031733043738451</v>
      </c>
      <c r="ES90" s="32" t="e">
        <f t="shared" si="184"/>
        <v>#N/A</v>
      </c>
      <c r="ET90" s="32">
        <f t="shared" si="185"/>
        <v>0.20031733043738451</v>
      </c>
      <c r="EU90" s="45" t="str">
        <f t="shared" si="186"/>
        <v/>
      </c>
      <c r="EV9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0" s="32" t="e" cm="1">
        <f t="array" ref="EY90">IF($CR$3,INDEX(Eu_tabel_a[[#This Row],[Styrke venstre]:[Styrke tosidet]],EY$7),NA())</f>
        <v>#N/A</v>
      </c>
      <c r="EZ90" s="32" t="e">
        <f>IF(EY$3,IF(CHOOSE(EY$7,Eu_tabel_a[[#This Row],[x base]]&gt;0,Eu_tabel_a[[#This Row],[x base]]&lt;0,Eu_tabel_a[[#This Row],[x base]]=0),1,NA()),NA())</f>
        <v>#N/A</v>
      </c>
      <c r="FA90" s="32" t="e">
        <f>IF(CHOOSE(EY$7,Eu_tabel_a[[#This Row],[x base]]&gt;0,Eu_tabel_a[[#This Row],[x base]]&lt;0,Eu_tabel_a[[#This Row],[x base]]=0),Eu_tabel_a[[#This Row],[Styrke, aktiv]],NA())</f>
        <v>#N/A</v>
      </c>
      <c r="FB90" s="32" t="e">
        <f>IFERROR(IF($EY$3,Eu_tabel_a[[#This Row],[Styrke, aktiv]],NA()),NA())</f>
        <v>#N/A</v>
      </c>
      <c r="FC90" s="32" t="e">
        <f>IF(ISNA(Eu_tabel_a[[#This Row],[Sand negativ
Nulhypotese afvises
Korrekt]]),NA(),IF(EY$3,1,NA()))</f>
        <v>#N/A</v>
      </c>
      <c r="FD90" s="33" t="str" cm="1">
        <f t="array" ref="FD90">IFERROR(_xlfn.SWITCH(Eu_tabel_a[[#This Row],[Indeks]],_xlfn.IFNA(FB$2,-99),FB$5,_xlfn.IFNA(FB$3,-99),FB$6,_xlfn.IFNA(FB$4,-99),FB$7,""),"")</f>
        <v/>
      </c>
      <c r="FE90" s="32">
        <f>Eu_tabel_a[[#This Row],[x base]]*SQRT(Eu_a_h0_x*(1-Eu_a_h0_x)/Eu_a_n_x)+Eu_a_h0_x</f>
        <v>0</v>
      </c>
      <c r="FJ90" s="74" t="e">
        <f t="shared" si="130"/>
        <v>#N/A</v>
      </c>
      <c r="FK90" s="82" t="e">
        <f t="shared" si="113"/>
        <v>#DIV/0!</v>
      </c>
      <c r="FL90" s="7" t="e">
        <f t="shared" si="124"/>
        <v>#DIV/0!</v>
      </c>
      <c r="FM90" t="e">
        <f t="shared" si="114"/>
        <v>#DIV/0!</v>
      </c>
      <c r="FN90" s="8" t="e">
        <f t="shared" si="115"/>
        <v>#DIV/0!</v>
      </c>
      <c r="FO90" s="8" t="e">
        <f t="shared" si="116"/>
        <v>#DIV/0!</v>
      </c>
      <c r="FP90" s="81" t="e">
        <f t="shared" si="117"/>
        <v>#DIV/0!</v>
      </c>
      <c r="FQ90" s="74" t="e">
        <f t="shared" ca="1" si="125"/>
        <v>#N/A</v>
      </c>
      <c r="FR90" s="82" t="e" vm="3">
        <f t="shared" ca="1" si="131"/>
        <v>#VALUE!</v>
      </c>
      <c r="FS90" s="7" t="e" vm="3">
        <f t="shared" ca="1" si="126"/>
        <v>#VALUE!</v>
      </c>
      <c r="FT90" t="e" vm="3">
        <f t="shared" ca="1" si="120"/>
        <v>#VALUE!</v>
      </c>
      <c r="FU90" s="8" t="e" vm="3">
        <f t="shared" ca="1" si="121"/>
        <v>#VALUE!</v>
      </c>
      <c r="FV90" s="8" t="e" vm="3">
        <f t="shared" ca="1" si="122"/>
        <v>#VALUE!</v>
      </c>
      <c r="FW90" s="81" t="e" vm="3">
        <f t="shared" ca="1" si="123"/>
        <v>#VALUE!</v>
      </c>
      <c r="FX90" s="74" t="e">
        <f t="shared" si="127"/>
        <v>#N/A</v>
      </c>
      <c r="FY90" s="82" t="e">
        <f t="shared" si="132"/>
        <v>#N/A</v>
      </c>
      <c r="FZ90" s="7" t="e">
        <f t="shared" si="128"/>
        <v>#N/A</v>
      </c>
      <c r="GA90" t="e">
        <f t="shared" si="133"/>
        <v>#N/A</v>
      </c>
      <c r="GB90" s="8" t="e">
        <f t="shared" si="134"/>
        <v>#N/A</v>
      </c>
      <c r="GC90" s="8" t="e">
        <f t="shared" si="135"/>
        <v>#N/A</v>
      </c>
      <c r="GD90" s="81" t="e">
        <f t="shared" si="136"/>
        <v>#N/A</v>
      </c>
      <c r="GE90" s="74" t="e">
        <f t="shared" si="137"/>
        <v>#N/A</v>
      </c>
      <c r="GF90" s="82" t="e">
        <f t="shared" si="138"/>
        <v>#N/A</v>
      </c>
      <c r="GG90" s="7" t="e">
        <f t="shared" si="129"/>
        <v>#N/A</v>
      </c>
      <c r="GH90" t="e">
        <f t="shared" si="139"/>
        <v>#N/A</v>
      </c>
      <c r="GI90" s="8" t="e">
        <f t="shared" si="140"/>
        <v>#N/A</v>
      </c>
      <c r="GJ90" s="8" t="e">
        <f t="shared" si="141"/>
        <v>#N/A</v>
      </c>
      <c r="GK90" s="81" t="e">
        <f t="shared" si="142"/>
        <v>#N/A</v>
      </c>
      <c r="GL90" s="81"/>
      <c r="GM90" s="81"/>
      <c r="GP90" s="32">
        <f t="shared" si="187"/>
        <v>80</v>
      </c>
      <c r="GQ90" s="32">
        <f t="shared" si="188"/>
        <v>81</v>
      </c>
      <c r="GR90" s="32">
        <f t="shared" si="189"/>
        <v>-1.173809170559867</v>
      </c>
      <c r="GS90" s="32">
        <f t="shared" si="190"/>
        <v>0.20031733043738451</v>
      </c>
      <c r="GT90" s="32" t="e">
        <f t="shared" si="191"/>
        <v>#N/A</v>
      </c>
      <c r="GU90" s="32" t="e">
        <f t="shared" si="192"/>
        <v>#N/A</v>
      </c>
      <c r="GV90" s="32" t="e">
        <f t="shared" si="193"/>
        <v>#N/A</v>
      </c>
      <c r="GW90" s="32" t="b">
        <f t="shared" si="194"/>
        <v>0</v>
      </c>
      <c r="GX90" s="32" t="b">
        <f t="shared" si="195"/>
        <v>1</v>
      </c>
      <c r="GY90" s="32" t="b">
        <f t="shared" si="196"/>
        <v>0</v>
      </c>
      <c r="GZ90" s="32" t="b">
        <f t="shared" si="197"/>
        <v>1</v>
      </c>
      <c r="HA90" s="32">
        <f t="shared" si="198"/>
        <v>0.20031733043738451</v>
      </c>
      <c r="HB90" s="32" t="e">
        <f t="shared" si="199"/>
        <v>#N/A</v>
      </c>
      <c r="HC90" s="32">
        <f t="shared" si="200"/>
        <v>0.20031733043738451</v>
      </c>
      <c r="HD90" s="45" t="str">
        <f t="shared" si="201"/>
        <v/>
      </c>
      <c r="HJ90" s="32">
        <f t="shared" si="202"/>
        <v>80</v>
      </c>
      <c r="HK90" s="32">
        <f t="shared" si="203"/>
        <v>81</v>
      </c>
      <c r="HL90" s="32">
        <f t="shared" si="204"/>
        <v>-1.8176681535137851</v>
      </c>
      <c r="HM90" s="32" t="e">
        <f t="shared" si="205"/>
        <v>#N/A</v>
      </c>
      <c r="HN90" s="32">
        <f t="shared" si="206"/>
        <v>8.2003757335797206E-2</v>
      </c>
      <c r="HO90" s="32" t="e">
        <f t="shared" si="207"/>
        <v>#N/A</v>
      </c>
      <c r="HP90" s="32" t="e">
        <f t="shared" si="208"/>
        <v>#N/A</v>
      </c>
      <c r="HQ90" s="32" t="b">
        <f t="shared" si="209"/>
        <v>1</v>
      </c>
      <c r="HR90" s="32" t="b">
        <f t="shared" si="210"/>
        <v>0</v>
      </c>
      <c r="HS90" s="32" t="b">
        <f t="shared" si="211"/>
        <v>1</v>
      </c>
      <c r="HT90" s="32" t="b">
        <f t="shared" si="212"/>
        <v>0</v>
      </c>
      <c r="HU90" s="32">
        <f t="shared" si="213"/>
        <v>8.2003757335797206E-2</v>
      </c>
      <c r="HV90" s="32">
        <f t="shared" si="214"/>
        <v>8.2003757335797206E-2</v>
      </c>
      <c r="HW90" s="32" t="e">
        <f t="shared" si="215"/>
        <v>#N/A</v>
      </c>
      <c r="HX90" s="45" t="str">
        <f t="shared" si="216"/>
        <v/>
      </c>
    </row>
    <row r="91" spans="78:232" x14ac:dyDescent="0.2">
      <c r="BZ91" s="32">
        <f t="shared" si="143"/>
        <v>81</v>
      </c>
      <c r="CA91" s="32">
        <f>Eu_tabel_g[[#This Row],[Indeks]]+1</f>
        <v>82</v>
      </c>
      <c r="CB91" s="32">
        <f t="shared" si="144"/>
        <v>-1.1498538813647676</v>
      </c>
      <c r="CC91" s="32">
        <f t="shared" si="145"/>
        <v>0.2059708742242739</v>
      </c>
      <c r="CD91" s="32" t="e">
        <f t="shared" si="146"/>
        <v>#N/A</v>
      </c>
      <c r="CE91" s="32" t="e">
        <f t="shared" si="147"/>
        <v>#N/A</v>
      </c>
      <c r="CF91" s="32" t="e">
        <f t="shared" si="148"/>
        <v>#N/A</v>
      </c>
      <c r="CG91" s="32" t="b">
        <f t="shared" si="149"/>
        <v>0</v>
      </c>
      <c r="CH91" s="32" t="b">
        <f t="shared" si="150"/>
        <v>1</v>
      </c>
      <c r="CI91" s="32" t="b">
        <f t="shared" si="151"/>
        <v>0</v>
      </c>
      <c r="CJ91" s="32" t="b">
        <f t="shared" si="152"/>
        <v>1</v>
      </c>
      <c r="CK91" s="32">
        <f t="shared" si="119"/>
        <v>0.2059708742242739</v>
      </c>
      <c r="CL91" s="32" t="e">
        <f t="shared" si="153"/>
        <v>#N/A</v>
      </c>
      <c r="CM91" s="32">
        <f t="shared" si="154"/>
        <v>0.2059708742242739</v>
      </c>
      <c r="CN91" s="45" t="str">
        <f t="shared" si="155"/>
        <v/>
      </c>
      <c r="CO91" s="32">
        <f>_xlfn.NORM.DIST(_xlfn.NORM.INV(1-Eu_g_konfidensniveau,0,1)-Eu_tabel_g[[#This Row],[x base]],0,1,TRUE)</f>
        <v>0.31030015004767664</v>
      </c>
      <c r="CP91" s="32">
        <f>1-_xlfn.NORM.DIST(_xlfn.NORM.INV(Eu_g_konfidensniveau,0,1)-Eu_tabel_g[[#This Row],[x base]],0,1,TRUE)</f>
        <v>2.5973345350299715E-3</v>
      </c>
      <c r="CQ91" s="32">
        <f>_xlfn.NORM.DIST(_xlfn.NORM.INV((1-Eu_g_konfidensniveau)/2,0,1)-Eu_tabel_g[[#This Row],[x base]],0,1,TRUE)+1-_xlfn.NORM.DIST(_xlfn.NORM.INV(1-(1-Eu_g_konfidensniveau)/2,0,1)-Eu_tabel_g[[#This Row],[x base]],0,1,TRUE)</f>
        <v>0.20987446274566912</v>
      </c>
      <c r="CR91" s="32" t="e" cm="1">
        <f t="array" ref="CR91">IF($CR$3,INDEX(Eu_tabel_g[[#This Row],[Styrke venstre]:[Styrke tosidet]],CR$7),NA())</f>
        <v>#N/A</v>
      </c>
      <c r="CS91" s="52" t="e">
        <f>Eu_tabel_g[[#This Row],[Falsk positiv
Nulhypotese accepteres
Fejltype 1]]</f>
        <v>#N/A</v>
      </c>
      <c r="CT91" s="52" t="e">
        <f>IF(CHOOSE(CR$7,Eu_tabel_g[[#This Row],[x base]]&gt;0,Eu_tabel_g[[#This Row],[x base]]&lt;0,Eu_tabel_g[[#This Row],[x base]]=0),Eu_tabel_g[[#This Row],[Styrke, aktiv]],NA())</f>
        <v>#N/A</v>
      </c>
      <c r="CU91" s="52" t="e">
        <f>IFERROR(IF($CR$3,Eu_tabel_g[[#This Row],[Styrke, aktiv]],NA()),NA())</f>
        <v>#N/A</v>
      </c>
      <c r="CV91" s="52" t="e">
        <f>IF(ISNA(Eu_tabel_g[[#This Row],[Sand negativ
Nulhypotese afvises
Korrekt]]),NA(),IF($CR$3,1,NA()))</f>
        <v>#N/A</v>
      </c>
      <c r="CW91" s="34" t="str" cm="1">
        <f t="array" ref="CW91">_xlfn.SWITCH(BZ91,_xlfn.IFNA(CU$2,-99),CU$5,_xlfn.IFNA(CU$3,-99),CU$6,_xlfn.IFNA(CU$4,-99),CU$7,"")</f>
        <v/>
      </c>
      <c r="DA91" s="7">
        <f t="shared" si="156"/>
        <v>0.8</v>
      </c>
      <c r="DB91">
        <f>IF(ROW(Styrkeberegning_G[[#This Row],[X base venstre]])=ROW(Styrkeberegning_G[[#Headers],[X base venstre]])+1,DB$7/(DA$7/$B$67),DB90/(DA90/$B$67))</f>
        <v>-2.8015817870135784</v>
      </c>
      <c r="DC91">
        <f>Styrkeberegning_G[[#This Row],[X base venstre]]*-1</f>
        <v>2.8015817870135784</v>
      </c>
      <c r="DN91" s="32">
        <f t="shared" si="157"/>
        <v>81</v>
      </c>
      <c r="DO91" s="32">
        <f t="shared" si="158"/>
        <v>82</v>
      </c>
      <c r="DP91" s="32">
        <f t="shared" si="159"/>
        <v>11.073592034430773</v>
      </c>
      <c r="DQ91" s="32" t="e">
        <f t="shared" si="160"/>
        <v>#N/A</v>
      </c>
      <c r="DR91" s="32" t="e">
        <f t="shared" si="161"/>
        <v>#N/A</v>
      </c>
      <c r="DS91" s="32">
        <f t="shared" si="162"/>
        <v>8.3210213695687846E-2</v>
      </c>
      <c r="DT91" s="32" t="e">
        <f t="shared" si="163"/>
        <v>#N/A</v>
      </c>
      <c r="DU91" s="32" t="b">
        <f t="shared" si="164"/>
        <v>0</v>
      </c>
      <c r="DV91" s="32" t="b">
        <f t="shared" si="165"/>
        <v>1</v>
      </c>
      <c r="DW91" s="32" t="b">
        <f t="shared" si="166"/>
        <v>0</v>
      </c>
      <c r="DX91" s="32" t="b">
        <f t="shared" si="167"/>
        <v>1</v>
      </c>
      <c r="DY91" s="32">
        <f t="shared" si="168"/>
        <v>8.3210213695687846E-2</v>
      </c>
      <c r="DZ91" s="32" t="e">
        <f t="shared" si="169"/>
        <v>#N/A</v>
      </c>
      <c r="EA91" s="32">
        <f t="shared" si="170"/>
        <v>8.3210213695687846E-2</v>
      </c>
      <c r="EB91" s="45" t="str">
        <f t="shared" si="171"/>
        <v/>
      </c>
      <c r="EG91" s="32">
        <f t="shared" si="172"/>
        <v>81</v>
      </c>
      <c r="EH91" s="32">
        <f t="shared" si="173"/>
        <v>82</v>
      </c>
      <c r="EI91" s="32">
        <f t="shared" si="174"/>
        <v>-1.1498538813647676</v>
      </c>
      <c r="EJ91" s="32">
        <f t="shared" si="175"/>
        <v>0.2059708742242739</v>
      </c>
      <c r="EK91" s="32" t="e">
        <f t="shared" si="176"/>
        <v>#N/A</v>
      </c>
      <c r="EL91" s="32" t="e">
        <f t="shared" si="177"/>
        <v>#N/A</v>
      </c>
      <c r="EM91" s="32" t="e">
        <f t="shared" si="178"/>
        <v>#N/A</v>
      </c>
      <c r="EN91" s="32" t="b">
        <f t="shared" si="179"/>
        <v>0</v>
      </c>
      <c r="EO91" s="32" t="b">
        <f t="shared" si="180"/>
        <v>1</v>
      </c>
      <c r="EP91" s="32" t="b">
        <f t="shared" si="181"/>
        <v>0</v>
      </c>
      <c r="EQ91" s="32" t="b">
        <f t="shared" si="182"/>
        <v>1</v>
      </c>
      <c r="ER91" s="32">
        <f t="shared" si="183"/>
        <v>0.2059708742242739</v>
      </c>
      <c r="ES91" s="32" t="e">
        <f t="shared" si="184"/>
        <v>#N/A</v>
      </c>
      <c r="ET91" s="32">
        <f t="shared" si="185"/>
        <v>0.2059708742242739</v>
      </c>
      <c r="EU91" s="45" t="str">
        <f t="shared" si="186"/>
        <v/>
      </c>
      <c r="EV9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1" s="32" t="e" cm="1">
        <f t="array" ref="EY91">IF($CR$3,INDEX(Eu_tabel_a[[#This Row],[Styrke venstre]:[Styrke tosidet]],EY$7),NA())</f>
        <v>#N/A</v>
      </c>
      <c r="EZ91" s="32" t="e">
        <f>IF(EY$3,IF(CHOOSE(EY$7,Eu_tabel_a[[#This Row],[x base]]&gt;0,Eu_tabel_a[[#This Row],[x base]]&lt;0,Eu_tabel_a[[#This Row],[x base]]=0),1,NA()),NA())</f>
        <v>#N/A</v>
      </c>
      <c r="FA91" s="32" t="e">
        <f>IF(CHOOSE(EY$7,Eu_tabel_a[[#This Row],[x base]]&gt;0,Eu_tabel_a[[#This Row],[x base]]&lt;0,Eu_tabel_a[[#This Row],[x base]]=0),Eu_tabel_a[[#This Row],[Styrke, aktiv]],NA())</f>
        <v>#N/A</v>
      </c>
      <c r="FB91" s="32" t="e">
        <f>IFERROR(IF($EY$3,Eu_tabel_a[[#This Row],[Styrke, aktiv]],NA()),NA())</f>
        <v>#N/A</v>
      </c>
      <c r="FC91" s="32" t="e">
        <f>IF(ISNA(Eu_tabel_a[[#This Row],[Sand negativ
Nulhypotese afvises
Korrekt]]),NA(),IF(EY$3,1,NA()))</f>
        <v>#N/A</v>
      </c>
      <c r="FD91" s="33" t="str" cm="1">
        <f t="array" ref="FD91">IFERROR(_xlfn.SWITCH(Eu_tabel_a[[#This Row],[Indeks]],_xlfn.IFNA(FB$2,-99),FB$5,_xlfn.IFNA(FB$3,-99),FB$6,_xlfn.IFNA(FB$4,-99),FB$7,""),"")</f>
        <v/>
      </c>
      <c r="FE91" s="32">
        <f>Eu_tabel_a[[#This Row],[x base]]*SQRT(Eu_a_h0_x*(1-Eu_a_h0_x)/Eu_a_n_x)+Eu_a_h0_x</f>
        <v>0</v>
      </c>
      <c r="FJ91" s="74" t="e">
        <f t="shared" si="130"/>
        <v>#N/A</v>
      </c>
      <c r="FK91" s="82" t="e">
        <f t="shared" si="113"/>
        <v>#DIV/0!</v>
      </c>
      <c r="FL91" s="7" t="e">
        <f t="shared" si="124"/>
        <v>#DIV/0!</v>
      </c>
      <c r="FM91" t="e">
        <f t="shared" si="114"/>
        <v>#DIV/0!</v>
      </c>
      <c r="FN91" s="8" t="e">
        <f t="shared" si="115"/>
        <v>#DIV/0!</v>
      </c>
      <c r="FO91" s="8" t="e">
        <f t="shared" si="116"/>
        <v>#DIV/0!</v>
      </c>
      <c r="FP91" s="81" t="e">
        <f t="shared" si="117"/>
        <v>#DIV/0!</v>
      </c>
      <c r="FQ91" s="74" t="e">
        <f t="shared" ca="1" si="125"/>
        <v>#N/A</v>
      </c>
      <c r="FR91" s="82" t="e" vm="3">
        <f t="shared" ca="1" si="131"/>
        <v>#VALUE!</v>
      </c>
      <c r="FS91" s="7" t="e" vm="3">
        <f t="shared" ca="1" si="126"/>
        <v>#VALUE!</v>
      </c>
      <c r="FT91" t="e" vm="3">
        <f t="shared" ca="1" si="120"/>
        <v>#VALUE!</v>
      </c>
      <c r="FU91" s="8" t="e" vm="3">
        <f t="shared" ca="1" si="121"/>
        <v>#VALUE!</v>
      </c>
      <c r="FV91" s="8" t="e" vm="3">
        <f t="shared" ca="1" si="122"/>
        <v>#VALUE!</v>
      </c>
      <c r="FW91" s="81" t="e" vm="3">
        <f t="shared" ca="1" si="123"/>
        <v>#VALUE!</v>
      </c>
      <c r="FX91" s="74" t="e">
        <f t="shared" si="127"/>
        <v>#N/A</v>
      </c>
      <c r="FY91" s="82" t="e">
        <f t="shared" si="132"/>
        <v>#N/A</v>
      </c>
      <c r="FZ91" s="7" t="e">
        <f t="shared" si="128"/>
        <v>#N/A</v>
      </c>
      <c r="GA91" t="e">
        <f t="shared" si="133"/>
        <v>#N/A</v>
      </c>
      <c r="GB91" s="8" t="e">
        <f t="shared" si="134"/>
        <v>#N/A</v>
      </c>
      <c r="GC91" s="8" t="e">
        <f t="shared" si="135"/>
        <v>#N/A</v>
      </c>
      <c r="GD91" s="81" t="e">
        <f t="shared" si="136"/>
        <v>#N/A</v>
      </c>
      <c r="GE91" s="74" t="e">
        <f t="shared" si="137"/>
        <v>#N/A</v>
      </c>
      <c r="GF91" s="82" t="e">
        <f t="shared" si="138"/>
        <v>#N/A</v>
      </c>
      <c r="GG91" s="7" t="e">
        <f t="shared" si="129"/>
        <v>#N/A</v>
      </c>
      <c r="GH91" t="e">
        <f t="shared" si="139"/>
        <v>#N/A</v>
      </c>
      <c r="GI91" s="8" t="e">
        <f t="shared" si="140"/>
        <v>#N/A</v>
      </c>
      <c r="GJ91" s="8" t="e">
        <f t="shared" si="141"/>
        <v>#N/A</v>
      </c>
      <c r="GK91" s="81" t="e">
        <f t="shared" si="142"/>
        <v>#N/A</v>
      </c>
      <c r="GL91" s="81"/>
      <c r="GM91" s="81"/>
      <c r="GP91" s="32">
        <f t="shared" si="187"/>
        <v>81</v>
      </c>
      <c r="GQ91" s="32">
        <f t="shared" si="188"/>
        <v>82</v>
      </c>
      <c r="GR91" s="32">
        <f t="shared" si="189"/>
        <v>-1.1498538813647676</v>
      </c>
      <c r="GS91" s="32">
        <f t="shared" si="190"/>
        <v>0.2059708742242739</v>
      </c>
      <c r="GT91" s="32" t="e">
        <f t="shared" si="191"/>
        <v>#N/A</v>
      </c>
      <c r="GU91" s="32" t="e">
        <f t="shared" si="192"/>
        <v>#N/A</v>
      </c>
      <c r="GV91" s="32" t="e">
        <f t="shared" si="193"/>
        <v>#N/A</v>
      </c>
      <c r="GW91" s="32" t="b">
        <f t="shared" si="194"/>
        <v>0</v>
      </c>
      <c r="GX91" s="32" t="b">
        <f t="shared" si="195"/>
        <v>1</v>
      </c>
      <c r="GY91" s="32" t="b">
        <f t="shared" si="196"/>
        <v>0</v>
      </c>
      <c r="GZ91" s="32" t="b">
        <f t="shared" si="197"/>
        <v>1</v>
      </c>
      <c r="HA91" s="32">
        <f t="shared" si="198"/>
        <v>0.2059708742242739</v>
      </c>
      <c r="HB91" s="32" t="e">
        <f t="shared" si="199"/>
        <v>#N/A</v>
      </c>
      <c r="HC91" s="32">
        <f t="shared" si="200"/>
        <v>0.2059708742242739</v>
      </c>
      <c r="HD91" s="45" t="str">
        <f t="shared" si="201"/>
        <v/>
      </c>
      <c r="HJ91" s="32">
        <f t="shared" si="202"/>
        <v>81</v>
      </c>
      <c r="HK91" s="32">
        <f t="shared" si="203"/>
        <v>82</v>
      </c>
      <c r="HL91" s="32">
        <f t="shared" si="204"/>
        <v>-1.7805728850747284</v>
      </c>
      <c r="HM91" s="32" t="e">
        <f t="shared" si="205"/>
        <v>#N/A</v>
      </c>
      <c r="HN91" s="32">
        <f t="shared" si="206"/>
        <v>8.6394145158752933E-2</v>
      </c>
      <c r="HO91" s="32" t="e">
        <f t="shared" si="207"/>
        <v>#N/A</v>
      </c>
      <c r="HP91" s="32" t="e">
        <f t="shared" si="208"/>
        <v>#N/A</v>
      </c>
      <c r="HQ91" s="32" t="b">
        <f t="shared" si="209"/>
        <v>1</v>
      </c>
      <c r="HR91" s="32" t="b">
        <f t="shared" si="210"/>
        <v>0</v>
      </c>
      <c r="HS91" s="32" t="b">
        <f t="shared" si="211"/>
        <v>1</v>
      </c>
      <c r="HT91" s="32" t="b">
        <f t="shared" si="212"/>
        <v>0</v>
      </c>
      <c r="HU91" s="32">
        <f t="shared" si="213"/>
        <v>8.6394145158752933E-2</v>
      </c>
      <c r="HV91" s="32">
        <f t="shared" si="214"/>
        <v>8.6394145158752933E-2</v>
      </c>
      <c r="HW91" s="32" t="e">
        <f t="shared" si="215"/>
        <v>#N/A</v>
      </c>
      <c r="HX91" s="45" t="str">
        <f t="shared" si="216"/>
        <v/>
      </c>
    </row>
    <row r="92" spans="78:232" x14ac:dyDescent="0.2">
      <c r="BZ92" s="32">
        <f t="shared" si="143"/>
        <v>82</v>
      </c>
      <c r="CA92" s="32">
        <f>Eu_tabel_g[[#This Row],[Indeks]]+1</f>
        <v>83</v>
      </c>
      <c r="CB92" s="32">
        <f t="shared" si="144"/>
        <v>-1.1258985921696685</v>
      </c>
      <c r="CC92" s="32">
        <f t="shared" si="145"/>
        <v>0.21166247901603158</v>
      </c>
      <c r="CD92" s="32" t="e">
        <f t="shared" si="146"/>
        <v>#N/A</v>
      </c>
      <c r="CE92" s="32" t="e">
        <f t="shared" si="147"/>
        <v>#N/A</v>
      </c>
      <c r="CF92" s="32" t="e">
        <f t="shared" si="148"/>
        <v>#N/A</v>
      </c>
      <c r="CG92" s="32" t="b">
        <f t="shared" si="149"/>
        <v>0</v>
      </c>
      <c r="CH92" s="32" t="b">
        <f t="shared" si="150"/>
        <v>1</v>
      </c>
      <c r="CI92" s="32" t="b">
        <f t="shared" si="151"/>
        <v>0</v>
      </c>
      <c r="CJ92" s="32" t="b">
        <f t="shared" si="152"/>
        <v>1</v>
      </c>
      <c r="CK92" s="32">
        <f t="shared" si="119"/>
        <v>0.21166247901603158</v>
      </c>
      <c r="CL92" s="32" t="e">
        <f t="shared" si="153"/>
        <v>#N/A</v>
      </c>
      <c r="CM92" s="32">
        <f t="shared" si="154"/>
        <v>0.21166247901603158</v>
      </c>
      <c r="CN92" s="45" t="str">
        <f t="shared" si="155"/>
        <v/>
      </c>
      <c r="CO92" s="32">
        <f>_xlfn.NORM.DIST(_xlfn.NORM.INV(1-Eu_g_konfidensniveau,0,1)-Eu_tabel_g[[#This Row],[x base]],0,1,TRUE)</f>
        <v>0.30189604899289568</v>
      </c>
      <c r="CP92" s="32">
        <f>1-_xlfn.NORM.DIST(_xlfn.NORM.INV(Eu_g_konfidensniveau,0,1)-Eu_tabel_g[[#This Row],[x base]],0,1,TRUE)</f>
        <v>2.7963483759521068E-3</v>
      </c>
      <c r="CQ92" s="32">
        <f>_xlfn.NORM.DIST(_xlfn.NORM.INV((1-Eu_g_konfidensniveau)/2,0,1)-Eu_tabel_g[[#This Row],[x base]],0,1,TRUE)+1-_xlfn.NORM.DIST(_xlfn.NORM.INV(1-(1-Eu_g_konfidensniveau)/2,0,1)-Eu_tabel_g[[#This Row],[x base]],0,1,TRUE)</f>
        <v>0.20313688079726311</v>
      </c>
      <c r="CR92" s="32" t="e" cm="1">
        <f t="array" ref="CR92">IF($CR$3,INDEX(Eu_tabel_g[[#This Row],[Styrke venstre]:[Styrke tosidet]],CR$7),NA())</f>
        <v>#N/A</v>
      </c>
      <c r="CS92" s="52" t="e">
        <f>Eu_tabel_g[[#This Row],[Falsk positiv
Nulhypotese accepteres
Fejltype 1]]</f>
        <v>#N/A</v>
      </c>
      <c r="CT92" s="52" t="e">
        <f>IF(CHOOSE(CR$7,Eu_tabel_g[[#This Row],[x base]]&gt;0,Eu_tabel_g[[#This Row],[x base]]&lt;0,Eu_tabel_g[[#This Row],[x base]]=0),Eu_tabel_g[[#This Row],[Styrke, aktiv]],NA())</f>
        <v>#N/A</v>
      </c>
      <c r="CU92" s="52" t="e">
        <f>IFERROR(IF($CR$3,Eu_tabel_g[[#This Row],[Styrke, aktiv]],NA()),NA())</f>
        <v>#N/A</v>
      </c>
      <c r="CV92" s="52" t="e">
        <f>IF(ISNA(Eu_tabel_g[[#This Row],[Sand negativ
Nulhypotese afvises
Korrekt]]),NA(),IF($CR$3,1,NA()))</f>
        <v>#N/A</v>
      </c>
      <c r="CW92" s="34" t="str" cm="1">
        <f t="array" ref="CW92">_xlfn.SWITCH(BZ92,_xlfn.IFNA(CU$2,-99),CU$5,_xlfn.IFNA(CU$3,-99),CU$6,_xlfn.IFNA(CU$4,-99),CU$7,"")</f>
        <v/>
      </c>
      <c r="DA92" s="7">
        <f t="shared" si="156"/>
        <v>0.8</v>
      </c>
      <c r="DB92">
        <f>IF(ROW(Styrkeberegning_G[[#This Row],[X base venstre]])=ROW(Styrkeberegning_G[[#Headers],[X base venstre]])+1,DB$7/(DA$7/$B$67),DB91/(DA91/$B$67))</f>
        <v>-2.8015817870135784</v>
      </c>
      <c r="DC92">
        <f>Styrkeberegning_G[[#This Row],[X base venstre]]*-1</f>
        <v>2.8015817870135784</v>
      </c>
      <c r="DN92" s="32">
        <f t="shared" si="157"/>
        <v>82</v>
      </c>
      <c r="DO92" s="32">
        <f t="shared" si="158"/>
        <v>83</v>
      </c>
      <c r="DP92" s="32">
        <f t="shared" si="159"/>
        <v>11.187662890847772</v>
      </c>
      <c r="DQ92" s="32" t="e">
        <f t="shared" si="160"/>
        <v>#N/A</v>
      </c>
      <c r="DR92" s="32" t="e">
        <f t="shared" si="161"/>
        <v>#N/A</v>
      </c>
      <c r="DS92" s="32">
        <f t="shared" si="162"/>
        <v>8.230672099489951E-2</v>
      </c>
      <c r="DT92" s="32" t="e">
        <f t="shared" si="163"/>
        <v>#N/A</v>
      </c>
      <c r="DU92" s="32" t="b">
        <f t="shared" si="164"/>
        <v>0</v>
      </c>
      <c r="DV92" s="32" t="b">
        <f t="shared" si="165"/>
        <v>1</v>
      </c>
      <c r="DW92" s="32" t="b">
        <f t="shared" si="166"/>
        <v>0</v>
      </c>
      <c r="DX92" s="32" t="b">
        <f t="shared" si="167"/>
        <v>1</v>
      </c>
      <c r="DY92" s="32">
        <f t="shared" si="168"/>
        <v>8.230672099489951E-2</v>
      </c>
      <c r="DZ92" s="32" t="e">
        <f t="shared" si="169"/>
        <v>#N/A</v>
      </c>
      <c r="EA92" s="32">
        <f t="shared" si="170"/>
        <v>8.230672099489951E-2</v>
      </c>
      <c r="EB92" s="45" t="str">
        <f t="shared" si="171"/>
        <v/>
      </c>
      <c r="EG92" s="32">
        <f t="shared" si="172"/>
        <v>82</v>
      </c>
      <c r="EH92" s="32">
        <f t="shared" si="173"/>
        <v>83</v>
      </c>
      <c r="EI92" s="32">
        <f t="shared" si="174"/>
        <v>-1.1258985921696685</v>
      </c>
      <c r="EJ92" s="32">
        <f t="shared" si="175"/>
        <v>0.21166247901603158</v>
      </c>
      <c r="EK92" s="32" t="e">
        <f t="shared" si="176"/>
        <v>#N/A</v>
      </c>
      <c r="EL92" s="32" t="e">
        <f t="shared" si="177"/>
        <v>#N/A</v>
      </c>
      <c r="EM92" s="32" t="e">
        <f t="shared" si="178"/>
        <v>#N/A</v>
      </c>
      <c r="EN92" s="32" t="b">
        <f t="shared" si="179"/>
        <v>0</v>
      </c>
      <c r="EO92" s="32" t="b">
        <f t="shared" si="180"/>
        <v>1</v>
      </c>
      <c r="EP92" s="32" t="b">
        <f t="shared" si="181"/>
        <v>0</v>
      </c>
      <c r="EQ92" s="32" t="b">
        <f t="shared" si="182"/>
        <v>1</v>
      </c>
      <c r="ER92" s="32">
        <f t="shared" si="183"/>
        <v>0.21166247901603158</v>
      </c>
      <c r="ES92" s="32" t="e">
        <f t="shared" si="184"/>
        <v>#N/A</v>
      </c>
      <c r="ET92" s="32">
        <f t="shared" si="185"/>
        <v>0.21166247901603158</v>
      </c>
      <c r="EU92" s="45" t="str">
        <f t="shared" si="186"/>
        <v/>
      </c>
      <c r="EV9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2" s="32" t="e" cm="1">
        <f t="array" ref="EY92">IF($CR$3,INDEX(Eu_tabel_a[[#This Row],[Styrke venstre]:[Styrke tosidet]],EY$7),NA())</f>
        <v>#N/A</v>
      </c>
      <c r="EZ92" s="32" t="e">
        <f>IF(EY$3,IF(CHOOSE(EY$7,Eu_tabel_a[[#This Row],[x base]]&gt;0,Eu_tabel_a[[#This Row],[x base]]&lt;0,Eu_tabel_a[[#This Row],[x base]]=0),1,NA()),NA())</f>
        <v>#N/A</v>
      </c>
      <c r="FA92" s="32" t="e">
        <f>IF(CHOOSE(EY$7,Eu_tabel_a[[#This Row],[x base]]&gt;0,Eu_tabel_a[[#This Row],[x base]]&lt;0,Eu_tabel_a[[#This Row],[x base]]=0),Eu_tabel_a[[#This Row],[Styrke, aktiv]],NA())</f>
        <v>#N/A</v>
      </c>
      <c r="FB92" s="32" t="e">
        <f>IFERROR(IF($EY$3,Eu_tabel_a[[#This Row],[Styrke, aktiv]],NA()),NA())</f>
        <v>#N/A</v>
      </c>
      <c r="FC92" s="32" t="e">
        <f>IF(ISNA(Eu_tabel_a[[#This Row],[Sand negativ
Nulhypotese afvises
Korrekt]]),NA(),IF(EY$3,1,NA()))</f>
        <v>#N/A</v>
      </c>
      <c r="FD92" s="33" t="str" cm="1">
        <f t="array" ref="FD92">IFERROR(_xlfn.SWITCH(Eu_tabel_a[[#This Row],[Indeks]],_xlfn.IFNA(FB$2,-99),FB$5,_xlfn.IFNA(FB$3,-99),FB$6,_xlfn.IFNA(FB$4,-99),FB$7,""),"")</f>
        <v/>
      </c>
      <c r="FE92" s="32">
        <f>Eu_tabel_a[[#This Row],[x base]]*SQRT(Eu_a_h0_x*(1-Eu_a_h0_x)/Eu_a_n_x)+Eu_a_h0_x</f>
        <v>0</v>
      </c>
      <c r="FJ92" s="74" t="e">
        <f t="shared" si="130"/>
        <v>#N/A</v>
      </c>
      <c r="FK92" s="82" t="e">
        <f t="shared" si="113"/>
        <v>#DIV/0!</v>
      </c>
      <c r="FL92" s="7" t="e">
        <f t="shared" si="124"/>
        <v>#DIV/0!</v>
      </c>
      <c r="FM92" t="e">
        <f t="shared" si="114"/>
        <v>#DIV/0!</v>
      </c>
      <c r="FN92" s="8" t="e">
        <f t="shared" si="115"/>
        <v>#DIV/0!</v>
      </c>
      <c r="FO92" s="8" t="e">
        <f t="shared" si="116"/>
        <v>#DIV/0!</v>
      </c>
      <c r="FP92" s="81" t="e">
        <f t="shared" si="117"/>
        <v>#DIV/0!</v>
      </c>
      <c r="FQ92" s="74" t="e">
        <f t="shared" ca="1" si="125"/>
        <v>#N/A</v>
      </c>
      <c r="FR92" s="82" t="e" vm="3">
        <f t="shared" ca="1" si="131"/>
        <v>#VALUE!</v>
      </c>
      <c r="FS92" s="7" t="e" vm="3">
        <f t="shared" ca="1" si="126"/>
        <v>#VALUE!</v>
      </c>
      <c r="FT92" t="e" vm="3">
        <f t="shared" ca="1" si="120"/>
        <v>#VALUE!</v>
      </c>
      <c r="FU92" s="8" t="e" vm="3">
        <f t="shared" ca="1" si="121"/>
        <v>#VALUE!</v>
      </c>
      <c r="FV92" s="8" t="e" vm="3">
        <f t="shared" ca="1" si="122"/>
        <v>#VALUE!</v>
      </c>
      <c r="FW92" s="81" t="e" vm="3">
        <f t="shared" ca="1" si="123"/>
        <v>#VALUE!</v>
      </c>
      <c r="FX92" s="74" t="e">
        <f t="shared" si="127"/>
        <v>#N/A</v>
      </c>
      <c r="FY92" s="82" t="e">
        <f t="shared" si="132"/>
        <v>#N/A</v>
      </c>
      <c r="FZ92" s="7" t="e">
        <f t="shared" si="128"/>
        <v>#N/A</v>
      </c>
      <c r="GA92" t="e">
        <f t="shared" si="133"/>
        <v>#N/A</v>
      </c>
      <c r="GB92" s="8" t="e">
        <f t="shared" si="134"/>
        <v>#N/A</v>
      </c>
      <c r="GC92" s="8" t="e">
        <f t="shared" si="135"/>
        <v>#N/A</v>
      </c>
      <c r="GD92" s="81" t="e">
        <f t="shared" si="136"/>
        <v>#N/A</v>
      </c>
      <c r="GE92" s="74" t="e">
        <f t="shared" si="137"/>
        <v>#N/A</v>
      </c>
      <c r="GF92" s="82" t="e">
        <f t="shared" si="138"/>
        <v>#N/A</v>
      </c>
      <c r="GG92" s="7" t="e">
        <f t="shared" si="129"/>
        <v>#N/A</v>
      </c>
      <c r="GH92" t="e">
        <f t="shared" si="139"/>
        <v>#N/A</v>
      </c>
      <c r="GI92" s="8" t="e">
        <f t="shared" si="140"/>
        <v>#N/A</v>
      </c>
      <c r="GJ92" s="8" t="e">
        <f t="shared" si="141"/>
        <v>#N/A</v>
      </c>
      <c r="GK92" s="81" t="e">
        <f t="shared" si="142"/>
        <v>#N/A</v>
      </c>
      <c r="GL92" s="81"/>
      <c r="GM92" s="81"/>
      <c r="GP92" s="32">
        <f t="shared" si="187"/>
        <v>82</v>
      </c>
      <c r="GQ92" s="32">
        <f t="shared" si="188"/>
        <v>83</v>
      </c>
      <c r="GR92" s="32">
        <f t="shared" si="189"/>
        <v>-1.1258985921696685</v>
      </c>
      <c r="GS92" s="32">
        <f t="shared" si="190"/>
        <v>0.21166247901603158</v>
      </c>
      <c r="GT92" s="32" t="e">
        <f t="shared" si="191"/>
        <v>#N/A</v>
      </c>
      <c r="GU92" s="32" t="e">
        <f t="shared" si="192"/>
        <v>#N/A</v>
      </c>
      <c r="GV92" s="32" t="e">
        <f t="shared" si="193"/>
        <v>#N/A</v>
      </c>
      <c r="GW92" s="32" t="b">
        <f t="shared" si="194"/>
        <v>0</v>
      </c>
      <c r="GX92" s="32" t="b">
        <f t="shared" si="195"/>
        <v>1</v>
      </c>
      <c r="GY92" s="32" t="b">
        <f t="shared" si="196"/>
        <v>0</v>
      </c>
      <c r="GZ92" s="32" t="b">
        <f t="shared" si="197"/>
        <v>1</v>
      </c>
      <c r="HA92" s="32">
        <f t="shared" si="198"/>
        <v>0.21166247901603158</v>
      </c>
      <c r="HB92" s="32" t="e">
        <f t="shared" si="199"/>
        <v>#N/A</v>
      </c>
      <c r="HC92" s="32">
        <f t="shared" si="200"/>
        <v>0.21166247901603158</v>
      </c>
      <c r="HD92" s="45" t="str">
        <f t="shared" si="201"/>
        <v/>
      </c>
      <c r="HJ92" s="32">
        <f t="shared" si="202"/>
        <v>82</v>
      </c>
      <c r="HK92" s="32">
        <f t="shared" si="203"/>
        <v>83</v>
      </c>
      <c r="HL92" s="32">
        <f t="shared" si="204"/>
        <v>-1.7434776166356718</v>
      </c>
      <c r="HM92" s="32" t="e">
        <f t="shared" si="205"/>
        <v>#N/A</v>
      </c>
      <c r="HN92" s="32">
        <f t="shared" si="206"/>
        <v>9.0982495771573788E-2</v>
      </c>
      <c r="HO92" s="32" t="e">
        <f t="shared" si="207"/>
        <v>#N/A</v>
      </c>
      <c r="HP92" s="32" t="e">
        <f t="shared" si="208"/>
        <v>#N/A</v>
      </c>
      <c r="HQ92" s="32" t="b">
        <f t="shared" si="209"/>
        <v>1</v>
      </c>
      <c r="HR92" s="32" t="b">
        <f t="shared" si="210"/>
        <v>0</v>
      </c>
      <c r="HS92" s="32" t="b">
        <f t="shared" si="211"/>
        <v>1</v>
      </c>
      <c r="HT92" s="32" t="b">
        <f t="shared" si="212"/>
        <v>0</v>
      </c>
      <c r="HU92" s="32">
        <f t="shared" si="213"/>
        <v>9.0982495771573788E-2</v>
      </c>
      <c r="HV92" s="32">
        <f t="shared" si="214"/>
        <v>9.0982495771573788E-2</v>
      </c>
      <c r="HW92" s="32" t="e">
        <f t="shared" si="215"/>
        <v>#N/A</v>
      </c>
      <c r="HX92" s="45" t="str">
        <f t="shared" si="216"/>
        <v/>
      </c>
    </row>
    <row r="93" spans="78:232" x14ac:dyDescent="0.2">
      <c r="BZ93" s="32">
        <f t="shared" si="143"/>
        <v>83</v>
      </c>
      <c r="CA93" s="32">
        <f>Eu_tabel_g[[#This Row],[Indeks]]+1</f>
        <v>84</v>
      </c>
      <c r="CB93" s="32">
        <f t="shared" si="144"/>
        <v>-1.1019433029745691</v>
      </c>
      <c r="CC93" s="32">
        <f t="shared" si="145"/>
        <v>0.21738657587862623</v>
      </c>
      <c r="CD93" s="32" t="e">
        <f t="shared" si="146"/>
        <v>#N/A</v>
      </c>
      <c r="CE93" s="32" t="e">
        <f t="shared" si="147"/>
        <v>#N/A</v>
      </c>
      <c r="CF93" s="32" t="e">
        <f t="shared" si="148"/>
        <v>#N/A</v>
      </c>
      <c r="CG93" s="32" t="b">
        <f t="shared" si="149"/>
        <v>0</v>
      </c>
      <c r="CH93" s="32" t="b">
        <f t="shared" si="150"/>
        <v>1</v>
      </c>
      <c r="CI93" s="32" t="b">
        <f t="shared" si="151"/>
        <v>0</v>
      </c>
      <c r="CJ93" s="32" t="b">
        <f t="shared" si="152"/>
        <v>1</v>
      </c>
      <c r="CK93" s="32">
        <f t="shared" si="119"/>
        <v>0.21738657587862623</v>
      </c>
      <c r="CL93" s="32" t="e">
        <f t="shared" si="153"/>
        <v>#N/A</v>
      </c>
      <c r="CM93" s="32">
        <f t="shared" si="154"/>
        <v>0.21738657587862623</v>
      </c>
      <c r="CN93" s="45" t="str">
        <f t="shared" si="155"/>
        <v/>
      </c>
      <c r="CO93" s="32">
        <f>_xlfn.NORM.DIST(_xlfn.NORM.INV(1-Eu_g_konfidensniveau,0,1)-Eu_tabel_g[[#This Row],[x base]],0,1,TRUE)</f>
        <v>0.29359577368343998</v>
      </c>
      <c r="CP93" s="32">
        <f>1-_xlfn.NORM.DIST(_xlfn.NORM.INV(Eu_g_konfidensniveau,0,1)-Eu_tabel_g[[#This Row],[x base]],0,1,TRUE)</f>
        <v>3.009019163477511E-3</v>
      </c>
      <c r="CQ93" s="32">
        <f>_xlfn.NORM.DIST(_xlfn.NORM.INV((1-Eu_g_konfidensniveau)/2,0,1)-Eu_tabel_g[[#This Row],[x base]],0,1,TRUE)+1-_xlfn.NORM.DIST(_xlfn.NORM.INV(1-(1-Eu_g_konfidensniveau)/2,0,1)-Eu_tabel_g[[#This Row],[x base]],0,1,TRUE)</f>
        <v>0.19654017955137137</v>
      </c>
      <c r="CR93" s="32" t="e" cm="1">
        <f t="array" ref="CR93">IF($CR$3,INDEX(Eu_tabel_g[[#This Row],[Styrke venstre]:[Styrke tosidet]],CR$7),NA())</f>
        <v>#N/A</v>
      </c>
      <c r="CS93" s="52" t="e">
        <f>Eu_tabel_g[[#This Row],[Falsk positiv
Nulhypotese accepteres
Fejltype 1]]</f>
        <v>#N/A</v>
      </c>
      <c r="CT93" s="52" t="e">
        <f>IF(CHOOSE(CR$7,Eu_tabel_g[[#This Row],[x base]]&gt;0,Eu_tabel_g[[#This Row],[x base]]&lt;0,Eu_tabel_g[[#This Row],[x base]]=0),Eu_tabel_g[[#This Row],[Styrke, aktiv]],NA())</f>
        <v>#N/A</v>
      </c>
      <c r="CU93" s="52" t="e">
        <f>IFERROR(IF($CR$3,Eu_tabel_g[[#This Row],[Styrke, aktiv]],NA()),NA())</f>
        <v>#N/A</v>
      </c>
      <c r="CV93" s="52" t="e">
        <f>IF(ISNA(Eu_tabel_g[[#This Row],[Sand negativ
Nulhypotese afvises
Korrekt]]),NA(),IF($CR$3,1,NA()))</f>
        <v>#N/A</v>
      </c>
      <c r="CW93" s="34" t="str" cm="1">
        <f t="array" ref="CW93">_xlfn.SWITCH(BZ93,_xlfn.IFNA(CU$2,-99),CU$5,_xlfn.IFNA(CU$3,-99),CU$6,_xlfn.IFNA(CU$4,-99),CU$7,"")</f>
        <v/>
      </c>
      <c r="DA93" s="7">
        <f t="shared" si="156"/>
        <v>0.8</v>
      </c>
      <c r="DB93">
        <f>IF(ROW(Styrkeberegning_G[[#This Row],[X base venstre]])=ROW(Styrkeberegning_G[[#Headers],[X base venstre]])+1,DB$7/(DA$7/$B$67),DB92/(DA92/$B$67))</f>
        <v>-2.8015817870135784</v>
      </c>
      <c r="DC93">
        <f>Styrkeberegning_G[[#This Row],[X base venstre]]*-1</f>
        <v>2.8015817870135784</v>
      </c>
      <c r="DN93" s="32">
        <f t="shared" si="157"/>
        <v>83</v>
      </c>
      <c r="DO93" s="32">
        <f t="shared" si="158"/>
        <v>84</v>
      </c>
      <c r="DP93" s="32">
        <f t="shared" si="159"/>
        <v>11.301733747264773</v>
      </c>
      <c r="DQ93" s="32" t="e">
        <f t="shared" si="160"/>
        <v>#N/A</v>
      </c>
      <c r="DR93" s="32" t="e">
        <f t="shared" si="161"/>
        <v>#N/A</v>
      </c>
      <c r="DS93" s="32">
        <f t="shared" si="162"/>
        <v>8.1374958272621298E-2</v>
      </c>
      <c r="DT93" s="32" t="e">
        <f t="shared" si="163"/>
        <v>#N/A</v>
      </c>
      <c r="DU93" s="32" t="b">
        <f t="shared" si="164"/>
        <v>0</v>
      </c>
      <c r="DV93" s="32" t="b">
        <f t="shared" si="165"/>
        <v>1</v>
      </c>
      <c r="DW93" s="32" t="b">
        <f t="shared" si="166"/>
        <v>0</v>
      </c>
      <c r="DX93" s="32" t="b">
        <f t="shared" si="167"/>
        <v>1</v>
      </c>
      <c r="DY93" s="32">
        <f t="shared" si="168"/>
        <v>8.1374958272621298E-2</v>
      </c>
      <c r="DZ93" s="32" t="e">
        <f t="shared" si="169"/>
        <v>#N/A</v>
      </c>
      <c r="EA93" s="32">
        <f t="shared" si="170"/>
        <v>8.1374958272621298E-2</v>
      </c>
      <c r="EB93" s="45" t="str">
        <f t="shared" si="171"/>
        <v/>
      </c>
      <c r="EG93" s="32">
        <f t="shared" si="172"/>
        <v>83</v>
      </c>
      <c r="EH93" s="32">
        <f t="shared" si="173"/>
        <v>84</v>
      </c>
      <c r="EI93" s="32">
        <f t="shared" si="174"/>
        <v>-1.1019433029745691</v>
      </c>
      <c r="EJ93" s="32">
        <f t="shared" si="175"/>
        <v>0.21738657587862623</v>
      </c>
      <c r="EK93" s="32" t="e">
        <f t="shared" si="176"/>
        <v>#N/A</v>
      </c>
      <c r="EL93" s="32" t="e">
        <f t="shared" si="177"/>
        <v>#N/A</v>
      </c>
      <c r="EM93" s="32" t="e">
        <f t="shared" si="178"/>
        <v>#N/A</v>
      </c>
      <c r="EN93" s="32" t="b">
        <f t="shared" si="179"/>
        <v>0</v>
      </c>
      <c r="EO93" s="32" t="b">
        <f t="shared" si="180"/>
        <v>1</v>
      </c>
      <c r="EP93" s="32" t="b">
        <f t="shared" si="181"/>
        <v>0</v>
      </c>
      <c r="EQ93" s="32" t="b">
        <f t="shared" si="182"/>
        <v>1</v>
      </c>
      <c r="ER93" s="32">
        <f t="shared" si="183"/>
        <v>0.21738657587862623</v>
      </c>
      <c r="ES93" s="32" t="e">
        <f t="shared" si="184"/>
        <v>#N/A</v>
      </c>
      <c r="ET93" s="32">
        <f t="shared" si="185"/>
        <v>0.21738657587862623</v>
      </c>
      <c r="EU93" s="45" t="str">
        <f t="shared" si="186"/>
        <v/>
      </c>
      <c r="EV9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3" s="32" t="e" cm="1">
        <f t="array" ref="EY93">IF($CR$3,INDEX(Eu_tabel_a[[#This Row],[Styrke venstre]:[Styrke tosidet]],EY$7),NA())</f>
        <v>#N/A</v>
      </c>
      <c r="EZ93" s="32" t="e">
        <f>IF(EY$3,IF(CHOOSE(EY$7,Eu_tabel_a[[#This Row],[x base]]&gt;0,Eu_tabel_a[[#This Row],[x base]]&lt;0,Eu_tabel_a[[#This Row],[x base]]=0),1,NA()),NA())</f>
        <v>#N/A</v>
      </c>
      <c r="FA93" s="32" t="e">
        <f>IF(CHOOSE(EY$7,Eu_tabel_a[[#This Row],[x base]]&gt;0,Eu_tabel_a[[#This Row],[x base]]&lt;0,Eu_tabel_a[[#This Row],[x base]]=0),Eu_tabel_a[[#This Row],[Styrke, aktiv]],NA())</f>
        <v>#N/A</v>
      </c>
      <c r="FB93" s="32" t="e">
        <f>IFERROR(IF($EY$3,Eu_tabel_a[[#This Row],[Styrke, aktiv]],NA()),NA())</f>
        <v>#N/A</v>
      </c>
      <c r="FC93" s="32" t="e">
        <f>IF(ISNA(Eu_tabel_a[[#This Row],[Sand negativ
Nulhypotese afvises
Korrekt]]),NA(),IF(EY$3,1,NA()))</f>
        <v>#N/A</v>
      </c>
      <c r="FD93" s="33" t="str" cm="1">
        <f t="array" ref="FD93">IFERROR(_xlfn.SWITCH(Eu_tabel_a[[#This Row],[Indeks]],_xlfn.IFNA(FB$2,-99),FB$5,_xlfn.IFNA(FB$3,-99),FB$6,_xlfn.IFNA(FB$4,-99),FB$7,""),"")</f>
        <v/>
      </c>
      <c r="FE93" s="32">
        <f>Eu_tabel_a[[#This Row],[x base]]*SQRT(Eu_a_h0_x*(1-Eu_a_h0_x)/Eu_a_n_x)+Eu_a_h0_x</f>
        <v>0</v>
      </c>
      <c r="FJ93" s="74" t="e">
        <f t="shared" si="130"/>
        <v>#N/A</v>
      </c>
      <c r="FK93" s="82" t="e">
        <f t="shared" si="113"/>
        <v>#DIV/0!</v>
      </c>
      <c r="FL93" s="7" t="e">
        <f t="shared" si="124"/>
        <v>#DIV/0!</v>
      </c>
      <c r="FM93" t="e">
        <f t="shared" si="114"/>
        <v>#DIV/0!</v>
      </c>
      <c r="FN93" s="8" t="e">
        <f t="shared" si="115"/>
        <v>#DIV/0!</v>
      </c>
      <c r="FO93" s="8" t="e">
        <f t="shared" si="116"/>
        <v>#DIV/0!</v>
      </c>
      <c r="FP93" s="81" t="e">
        <f t="shared" si="117"/>
        <v>#DIV/0!</v>
      </c>
      <c r="FQ93" s="74" t="e">
        <f t="shared" ca="1" si="125"/>
        <v>#N/A</v>
      </c>
      <c r="FR93" s="82" t="e" vm="3">
        <f t="shared" ca="1" si="131"/>
        <v>#VALUE!</v>
      </c>
      <c r="FS93" s="7" t="e" vm="3">
        <f t="shared" ca="1" si="126"/>
        <v>#VALUE!</v>
      </c>
      <c r="FT93" t="e" vm="3">
        <f t="shared" ca="1" si="120"/>
        <v>#VALUE!</v>
      </c>
      <c r="FU93" s="8" t="e" vm="3">
        <f t="shared" ca="1" si="121"/>
        <v>#VALUE!</v>
      </c>
      <c r="FV93" s="8" t="e" vm="3">
        <f t="shared" ca="1" si="122"/>
        <v>#VALUE!</v>
      </c>
      <c r="FW93" s="81" t="e" vm="3">
        <f t="shared" ca="1" si="123"/>
        <v>#VALUE!</v>
      </c>
      <c r="FX93" s="74" t="e">
        <f t="shared" si="127"/>
        <v>#N/A</v>
      </c>
      <c r="FY93" s="82" t="e">
        <f t="shared" si="132"/>
        <v>#N/A</v>
      </c>
      <c r="FZ93" s="7" t="e">
        <f t="shared" si="128"/>
        <v>#N/A</v>
      </c>
      <c r="GA93" t="e">
        <f t="shared" si="133"/>
        <v>#N/A</v>
      </c>
      <c r="GB93" s="8" t="e">
        <f t="shared" si="134"/>
        <v>#N/A</v>
      </c>
      <c r="GC93" s="8" t="e">
        <f t="shared" si="135"/>
        <v>#N/A</v>
      </c>
      <c r="GD93" s="81" t="e">
        <f t="shared" si="136"/>
        <v>#N/A</v>
      </c>
      <c r="GE93" s="74" t="e">
        <f t="shared" si="137"/>
        <v>#N/A</v>
      </c>
      <c r="GF93" s="82" t="e">
        <f t="shared" si="138"/>
        <v>#N/A</v>
      </c>
      <c r="GG93" s="7" t="e">
        <f t="shared" si="129"/>
        <v>#N/A</v>
      </c>
      <c r="GH93" t="e">
        <f t="shared" si="139"/>
        <v>#N/A</v>
      </c>
      <c r="GI93" s="8" t="e">
        <f t="shared" si="140"/>
        <v>#N/A</v>
      </c>
      <c r="GJ93" s="8" t="e">
        <f t="shared" si="141"/>
        <v>#N/A</v>
      </c>
      <c r="GK93" s="81" t="e">
        <f t="shared" si="142"/>
        <v>#N/A</v>
      </c>
      <c r="GL93" s="81"/>
      <c r="GM93" s="81"/>
      <c r="GP93" s="32">
        <f t="shared" si="187"/>
        <v>83</v>
      </c>
      <c r="GQ93" s="32">
        <f t="shared" si="188"/>
        <v>84</v>
      </c>
      <c r="GR93" s="32">
        <f t="shared" si="189"/>
        <v>-1.1019433029745691</v>
      </c>
      <c r="GS93" s="32">
        <f t="shared" si="190"/>
        <v>0.21738657587862623</v>
      </c>
      <c r="GT93" s="32" t="e">
        <f t="shared" si="191"/>
        <v>#N/A</v>
      </c>
      <c r="GU93" s="32" t="e">
        <f t="shared" si="192"/>
        <v>#N/A</v>
      </c>
      <c r="GV93" s="32" t="e">
        <f t="shared" si="193"/>
        <v>#N/A</v>
      </c>
      <c r="GW93" s="32" t="b">
        <f t="shared" si="194"/>
        <v>0</v>
      </c>
      <c r="GX93" s="32" t="b">
        <f t="shared" si="195"/>
        <v>1</v>
      </c>
      <c r="GY93" s="32" t="b">
        <f t="shared" si="196"/>
        <v>0</v>
      </c>
      <c r="GZ93" s="32" t="b">
        <f t="shared" si="197"/>
        <v>1</v>
      </c>
      <c r="HA93" s="32">
        <f t="shared" si="198"/>
        <v>0.21738657587862623</v>
      </c>
      <c r="HB93" s="32" t="e">
        <f t="shared" si="199"/>
        <v>#N/A</v>
      </c>
      <c r="HC93" s="32">
        <f t="shared" si="200"/>
        <v>0.21738657587862623</v>
      </c>
      <c r="HD93" s="45" t="str">
        <f t="shared" si="201"/>
        <v/>
      </c>
      <c r="HJ93" s="32">
        <f t="shared" si="202"/>
        <v>83</v>
      </c>
      <c r="HK93" s="32">
        <f t="shared" si="203"/>
        <v>84</v>
      </c>
      <c r="HL93" s="32">
        <f t="shared" si="204"/>
        <v>-1.7063823481966147</v>
      </c>
      <c r="HM93" s="32" t="e">
        <f t="shared" si="205"/>
        <v>#N/A</v>
      </c>
      <c r="HN93" s="32">
        <f t="shared" si="206"/>
        <v>9.5773093290658348E-2</v>
      </c>
      <c r="HO93" s="32" t="e">
        <f t="shared" si="207"/>
        <v>#N/A</v>
      </c>
      <c r="HP93" s="32" t="e">
        <f t="shared" si="208"/>
        <v>#N/A</v>
      </c>
      <c r="HQ93" s="32" t="b">
        <f t="shared" si="209"/>
        <v>1</v>
      </c>
      <c r="HR93" s="32" t="b">
        <f t="shared" si="210"/>
        <v>0</v>
      </c>
      <c r="HS93" s="32" t="b">
        <f t="shared" si="211"/>
        <v>1</v>
      </c>
      <c r="HT93" s="32" t="b">
        <f t="shared" si="212"/>
        <v>0</v>
      </c>
      <c r="HU93" s="32">
        <f t="shared" si="213"/>
        <v>9.5773093290658348E-2</v>
      </c>
      <c r="HV93" s="32">
        <f t="shared" si="214"/>
        <v>9.5773093290658348E-2</v>
      </c>
      <c r="HW93" s="32" t="e">
        <f t="shared" si="215"/>
        <v>#N/A</v>
      </c>
      <c r="HX93" s="45" t="str">
        <f t="shared" si="216"/>
        <v/>
      </c>
    </row>
    <row r="94" spans="78:232" x14ac:dyDescent="0.2">
      <c r="BZ94" s="32">
        <f t="shared" si="143"/>
        <v>84</v>
      </c>
      <c r="CA94" s="32">
        <f>Eu_tabel_g[[#This Row],[Indeks]]+1</f>
        <v>85</v>
      </c>
      <c r="CB94" s="32">
        <f t="shared" si="144"/>
        <v>-1.07798801377947</v>
      </c>
      <c r="CC94" s="32">
        <f t="shared" si="145"/>
        <v>0.22313738697590677</v>
      </c>
      <c r="CD94" s="32" t="e">
        <f t="shared" si="146"/>
        <v>#N/A</v>
      </c>
      <c r="CE94" s="32" t="e">
        <f t="shared" si="147"/>
        <v>#N/A</v>
      </c>
      <c r="CF94" s="32" t="e">
        <f t="shared" si="148"/>
        <v>#N/A</v>
      </c>
      <c r="CG94" s="32" t="b">
        <f t="shared" si="149"/>
        <v>0</v>
      </c>
      <c r="CH94" s="32" t="b">
        <f t="shared" si="150"/>
        <v>1</v>
      </c>
      <c r="CI94" s="32" t="b">
        <f t="shared" si="151"/>
        <v>0</v>
      </c>
      <c r="CJ94" s="32" t="b">
        <f t="shared" si="152"/>
        <v>1</v>
      </c>
      <c r="CK94" s="32">
        <f t="shared" ref="CK94:CK125" si="217">_xlfn.AGGREGATE(9,6,CC94:CF94)</f>
        <v>0.22313738697590677</v>
      </c>
      <c r="CL94" s="32" t="e">
        <f t="shared" si="153"/>
        <v>#N/A</v>
      </c>
      <c r="CM94" s="32">
        <f t="shared" si="154"/>
        <v>0.22313738697590677</v>
      </c>
      <c r="CN94" s="45" t="str">
        <f t="shared" si="155"/>
        <v/>
      </c>
      <c r="CO94" s="32">
        <f>_xlfn.NORM.DIST(_xlfn.NORM.INV(1-Eu_g_konfidensniveau,0,1)-Eu_tabel_g[[#This Row],[x base]],0,1,TRUE)</f>
        <v>0.28540274418023875</v>
      </c>
      <c r="CP94" s="32">
        <f>1-_xlfn.NORM.DIST(_xlfn.NORM.INV(Eu_g_konfidensniveau,0,1)-Eu_tabel_g[[#This Row],[x base]],0,1,TRUE)</f>
        <v>3.2361537059482082E-3</v>
      </c>
      <c r="CQ94" s="32">
        <f>_xlfn.NORM.DIST(_xlfn.NORM.INV((1-Eu_g_konfidensniveau)/2,0,1)-Eu_tabel_g[[#This Row],[x base]],0,1,TRUE)+1-_xlfn.NORM.DIST(_xlfn.NORM.INV(1-(1-Eu_g_konfidensniveau)/2,0,1)-Eu_tabel_g[[#This Row],[x base]],0,1,TRUE)</f>
        <v>0.19008586036622488</v>
      </c>
      <c r="CR94" s="32" t="e" cm="1">
        <f t="array" ref="CR94">IF($CR$3,INDEX(Eu_tabel_g[[#This Row],[Styrke venstre]:[Styrke tosidet]],CR$7),NA())</f>
        <v>#N/A</v>
      </c>
      <c r="CS94" s="52" t="e">
        <f>Eu_tabel_g[[#This Row],[Falsk positiv
Nulhypotese accepteres
Fejltype 1]]</f>
        <v>#N/A</v>
      </c>
      <c r="CT94" s="52" t="e">
        <f>IF(CHOOSE(CR$7,Eu_tabel_g[[#This Row],[x base]]&gt;0,Eu_tabel_g[[#This Row],[x base]]&lt;0,Eu_tabel_g[[#This Row],[x base]]=0),Eu_tabel_g[[#This Row],[Styrke, aktiv]],NA())</f>
        <v>#N/A</v>
      </c>
      <c r="CU94" s="52" t="e">
        <f>IFERROR(IF($CR$3,Eu_tabel_g[[#This Row],[Styrke, aktiv]],NA()),NA())</f>
        <v>#N/A</v>
      </c>
      <c r="CV94" s="52" t="e">
        <f>IF(ISNA(Eu_tabel_g[[#This Row],[Sand negativ
Nulhypotese afvises
Korrekt]]),NA(),IF($CR$3,1,NA()))</f>
        <v>#N/A</v>
      </c>
      <c r="CW94" s="34" t="str" cm="1">
        <f t="array" ref="CW94">_xlfn.SWITCH(BZ94,_xlfn.IFNA(CU$2,-99),CU$5,_xlfn.IFNA(CU$3,-99),CU$6,_xlfn.IFNA(CU$4,-99),CU$7,"")</f>
        <v/>
      </c>
      <c r="DA94" s="7">
        <f t="shared" si="156"/>
        <v>0.8</v>
      </c>
      <c r="DB94">
        <f>IF(ROW(Styrkeberegning_G[[#This Row],[X base venstre]])=ROW(Styrkeberegning_G[[#Headers],[X base venstre]])+1,DB$7/(DA$7/$B$67),DB93/(DA93/$B$67))</f>
        <v>-2.8015817870135784</v>
      </c>
      <c r="DC94">
        <f>Styrkeberegning_G[[#This Row],[X base venstre]]*-1</f>
        <v>2.8015817870135784</v>
      </c>
      <c r="DN94" s="32">
        <f t="shared" si="157"/>
        <v>84</v>
      </c>
      <c r="DO94" s="32">
        <f t="shared" si="158"/>
        <v>85</v>
      </c>
      <c r="DP94" s="32">
        <f t="shared" si="159"/>
        <v>11.415804603681774</v>
      </c>
      <c r="DQ94" s="32" t="e">
        <f t="shared" si="160"/>
        <v>#N/A</v>
      </c>
      <c r="DR94" s="32" t="e">
        <f t="shared" si="161"/>
        <v>#N/A</v>
      </c>
      <c r="DS94" s="32">
        <f t="shared" si="162"/>
        <v>8.0416867949317919E-2</v>
      </c>
      <c r="DT94" s="32" t="e">
        <f t="shared" si="163"/>
        <v>#N/A</v>
      </c>
      <c r="DU94" s="32" t="b">
        <f t="shared" si="164"/>
        <v>0</v>
      </c>
      <c r="DV94" s="32" t="b">
        <f t="shared" si="165"/>
        <v>1</v>
      </c>
      <c r="DW94" s="32" t="b">
        <f t="shared" si="166"/>
        <v>0</v>
      </c>
      <c r="DX94" s="32" t="b">
        <f t="shared" si="167"/>
        <v>1</v>
      </c>
      <c r="DY94" s="32">
        <f t="shared" si="168"/>
        <v>8.0416867949317919E-2</v>
      </c>
      <c r="DZ94" s="32" t="e">
        <f t="shared" si="169"/>
        <v>#N/A</v>
      </c>
      <c r="EA94" s="32">
        <f t="shared" si="170"/>
        <v>8.0416867949317919E-2</v>
      </c>
      <c r="EB94" s="45" t="str">
        <f t="shared" si="171"/>
        <v/>
      </c>
      <c r="EG94" s="32">
        <f t="shared" si="172"/>
        <v>84</v>
      </c>
      <c r="EH94" s="32">
        <f t="shared" si="173"/>
        <v>85</v>
      </c>
      <c r="EI94" s="32">
        <f t="shared" si="174"/>
        <v>-1.07798801377947</v>
      </c>
      <c r="EJ94" s="32">
        <f t="shared" si="175"/>
        <v>0.22313738697590677</v>
      </c>
      <c r="EK94" s="32" t="e">
        <f t="shared" si="176"/>
        <v>#N/A</v>
      </c>
      <c r="EL94" s="32" t="e">
        <f t="shared" si="177"/>
        <v>#N/A</v>
      </c>
      <c r="EM94" s="32" t="e">
        <f t="shared" si="178"/>
        <v>#N/A</v>
      </c>
      <c r="EN94" s="32" t="b">
        <f t="shared" si="179"/>
        <v>0</v>
      </c>
      <c r="EO94" s="32" t="b">
        <f t="shared" si="180"/>
        <v>1</v>
      </c>
      <c r="EP94" s="32" t="b">
        <f t="shared" si="181"/>
        <v>0</v>
      </c>
      <c r="EQ94" s="32" t="b">
        <f t="shared" si="182"/>
        <v>1</v>
      </c>
      <c r="ER94" s="32">
        <f t="shared" si="183"/>
        <v>0.22313738697590677</v>
      </c>
      <c r="ES94" s="32" t="e">
        <f t="shared" si="184"/>
        <v>#N/A</v>
      </c>
      <c r="ET94" s="32">
        <f t="shared" si="185"/>
        <v>0.22313738697590677</v>
      </c>
      <c r="EU94" s="45" t="str">
        <f t="shared" si="186"/>
        <v/>
      </c>
      <c r="EV9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4" s="32" t="e" cm="1">
        <f t="array" ref="EY94">IF($CR$3,INDEX(Eu_tabel_a[[#This Row],[Styrke venstre]:[Styrke tosidet]],EY$7),NA())</f>
        <v>#N/A</v>
      </c>
      <c r="EZ94" s="32" t="e">
        <f>IF(EY$3,IF(CHOOSE(EY$7,Eu_tabel_a[[#This Row],[x base]]&gt;0,Eu_tabel_a[[#This Row],[x base]]&lt;0,Eu_tabel_a[[#This Row],[x base]]=0),1,NA()),NA())</f>
        <v>#N/A</v>
      </c>
      <c r="FA94" s="32" t="e">
        <f>IF(CHOOSE(EY$7,Eu_tabel_a[[#This Row],[x base]]&gt;0,Eu_tabel_a[[#This Row],[x base]]&lt;0,Eu_tabel_a[[#This Row],[x base]]=0),Eu_tabel_a[[#This Row],[Styrke, aktiv]],NA())</f>
        <v>#N/A</v>
      </c>
      <c r="FB94" s="32" t="e">
        <f>IFERROR(IF($EY$3,Eu_tabel_a[[#This Row],[Styrke, aktiv]],NA()),NA())</f>
        <v>#N/A</v>
      </c>
      <c r="FC94" s="32" t="e">
        <f>IF(ISNA(Eu_tabel_a[[#This Row],[Sand negativ
Nulhypotese afvises
Korrekt]]),NA(),IF(EY$3,1,NA()))</f>
        <v>#N/A</v>
      </c>
      <c r="FD94" s="33" t="str" cm="1">
        <f t="array" ref="FD94">IFERROR(_xlfn.SWITCH(Eu_tabel_a[[#This Row],[Indeks]],_xlfn.IFNA(FB$2,-99),FB$5,_xlfn.IFNA(FB$3,-99),FB$6,_xlfn.IFNA(FB$4,-99),FB$7,""),"")</f>
        <v/>
      </c>
      <c r="FE94" s="32">
        <f>Eu_tabel_a[[#This Row],[x base]]*SQRT(Eu_a_h0_x*(1-Eu_a_h0_x)/Eu_a_n_x)+Eu_a_h0_x</f>
        <v>0</v>
      </c>
      <c r="FJ94" s="74" t="e">
        <f t="shared" si="130"/>
        <v>#N/A</v>
      </c>
      <c r="FK94" s="82" t="e">
        <f t="shared" si="113"/>
        <v>#DIV/0!</v>
      </c>
      <c r="FL94" s="7" t="e">
        <f t="shared" si="124"/>
        <v>#DIV/0!</v>
      </c>
      <c r="FM94" t="e">
        <f t="shared" si="114"/>
        <v>#DIV/0!</v>
      </c>
      <c r="FN94" s="8" t="e">
        <f t="shared" si="115"/>
        <v>#DIV/0!</v>
      </c>
      <c r="FO94" s="8" t="e">
        <f t="shared" si="116"/>
        <v>#DIV/0!</v>
      </c>
      <c r="FP94" s="81" t="e">
        <f t="shared" si="117"/>
        <v>#DIV/0!</v>
      </c>
      <c r="FQ94" s="74" t="e">
        <f t="shared" ca="1" si="125"/>
        <v>#N/A</v>
      </c>
      <c r="FR94" s="82" t="e" vm="3">
        <f t="shared" ca="1" si="131"/>
        <v>#VALUE!</v>
      </c>
      <c r="FS94" s="7" t="e" vm="3">
        <f t="shared" ca="1" si="126"/>
        <v>#VALUE!</v>
      </c>
      <c r="FT94" t="e" vm="3">
        <f t="shared" ca="1" si="120"/>
        <v>#VALUE!</v>
      </c>
      <c r="FU94" s="8" t="e" vm="3">
        <f t="shared" ca="1" si="121"/>
        <v>#VALUE!</v>
      </c>
      <c r="FV94" s="8" t="e" vm="3">
        <f t="shared" ca="1" si="122"/>
        <v>#VALUE!</v>
      </c>
      <c r="FW94" s="81" t="e" vm="3">
        <f t="shared" ca="1" si="123"/>
        <v>#VALUE!</v>
      </c>
      <c r="FX94" s="74" t="e">
        <f t="shared" si="127"/>
        <v>#N/A</v>
      </c>
      <c r="FY94" s="82" t="e">
        <f t="shared" si="132"/>
        <v>#N/A</v>
      </c>
      <c r="FZ94" s="7" t="e">
        <f t="shared" si="128"/>
        <v>#N/A</v>
      </c>
      <c r="GA94" t="e">
        <f t="shared" si="133"/>
        <v>#N/A</v>
      </c>
      <c r="GB94" s="8" t="e">
        <f t="shared" si="134"/>
        <v>#N/A</v>
      </c>
      <c r="GC94" s="8" t="e">
        <f t="shared" si="135"/>
        <v>#N/A</v>
      </c>
      <c r="GD94" s="81" t="e">
        <f t="shared" si="136"/>
        <v>#N/A</v>
      </c>
      <c r="GE94" s="74" t="e">
        <f t="shared" si="137"/>
        <v>#N/A</v>
      </c>
      <c r="GF94" s="82" t="e">
        <f t="shared" si="138"/>
        <v>#N/A</v>
      </c>
      <c r="GG94" s="7" t="e">
        <f t="shared" si="129"/>
        <v>#N/A</v>
      </c>
      <c r="GH94" t="e">
        <f t="shared" si="139"/>
        <v>#N/A</v>
      </c>
      <c r="GI94" s="8" t="e">
        <f t="shared" si="140"/>
        <v>#N/A</v>
      </c>
      <c r="GJ94" s="8" t="e">
        <f t="shared" si="141"/>
        <v>#N/A</v>
      </c>
      <c r="GK94" s="81" t="e">
        <f t="shared" si="142"/>
        <v>#N/A</v>
      </c>
      <c r="GL94" s="81"/>
      <c r="GM94" s="81"/>
      <c r="GP94" s="32">
        <f t="shared" si="187"/>
        <v>84</v>
      </c>
      <c r="GQ94" s="32">
        <f t="shared" si="188"/>
        <v>85</v>
      </c>
      <c r="GR94" s="32">
        <f t="shared" si="189"/>
        <v>-1.07798801377947</v>
      </c>
      <c r="GS94" s="32">
        <f t="shared" si="190"/>
        <v>0.22313738697590677</v>
      </c>
      <c r="GT94" s="32" t="e">
        <f t="shared" si="191"/>
        <v>#N/A</v>
      </c>
      <c r="GU94" s="32" t="e">
        <f t="shared" si="192"/>
        <v>#N/A</v>
      </c>
      <c r="GV94" s="32" t="e">
        <f t="shared" si="193"/>
        <v>#N/A</v>
      </c>
      <c r="GW94" s="32" t="b">
        <f t="shared" si="194"/>
        <v>0</v>
      </c>
      <c r="GX94" s="32" t="b">
        <f t="shared" si="195"/>
        <v>1</v>
      </c>
      <c r="GY94" s="32" t="b">
        <f t="shared" si="196"/>
        <v>0</v>
      </c>
      <c r="GZ94" s="32" t="b">
        <f t="shared" si="197"/>
        <v>1</v>
      </c>
      <c r="HA94" s="32">
        <f t="shared" si="198"/>
        <v>0.22313738697590677</v>
      </c>
      <c r="HB94" s="32" t="e">
        <f t="shared" si="199"/>
        <v>#N/A</v>
      </c>
      <c r="HC94" s="32">
        <f t="shared" si="200"/>
        <v>0.22313738697590677</v>
      </c>
      <c r="HD94" s="45" t="str">
        <f t="shared" si="201"/>
        <v/>
      </c>
      <c r="HJ94" s="32">
        <f t="shared" si="202"/>
        <v>84</v>
      </c>
      <c r="HK94" s="32">
        <f t="shared" si="203"/>
        <v>85</v>
      </c>
      <c r="HL94" s="32">
        <f t="shared" si="204"/>
        <v>-1.6692870797575581</v>
      </c>
      <c r="HM94" s="32" t="e">
        <f t="shared" si="205"/>
        <v>#N/A</v>
      </c>
      <c r="HN94" s="32">
        <f t="shared" si="206"/>
        <v>0.10076975631354264</v>
      </c>
      <c r="HO94" s="32" t="e">
        <f t="shared" si="207"/>
        <v>#N/A</v>
      </c>
      <c r="HP94" s="32" t="e">
        <f t="shared" si="208"/>
        <v>#N/A</v>
      </c>
      <c r="HQ94" s="32" t="b">
        <f t="shared" si="209"/>
        <v>1</v>
      </c>
      <c r="HR94" s="32" t="b">
        <f t="shared" si="210"/>
        <v>0</v>
      </c>
      <c r="HS94" s="32" t="b">
        <f t="shared" si="211"/>
        <v>0</v>
      </c>
      <c r="HT94" s="32" t="b">
        <f t="shared" si="212"/>
        <v>1</v>
      </c>
      <c r="HU94" s="32">
        <f t="shared" si="213"/>
        <v>0.10076975631354264</v>
      </c>
      <c r="HV94" s="32">
        <f t="shared" si="214"/>
        <v>0.10076975631354264</v>
      </c>
      <c r="HW94" s="32" t="e">
        <f t="shared" si="215"/>
        <v>#N/A</v>
      </c>
      <c r="HX94" s="45" t="str">
        <f t="shared" si="216"/>
        <v/>
      </c>
    </row>
    <row r="95" spans="78:232" x14ac:dyDescent="0.2">
      <c r="BZ95" s="32">
        <f t="shared" si="143"/>
        <v>85</v>
      </c>
      <c r="CA95" s="32">
        <f>Eu_tabel_g[[#This Row],[Indeks]]+1</f>
        <v>86</v>
      </c>
      <c r="CB95" s="32">
        <f t="shared" si="144"/>
        <v>-1.0540327245843706</v>
      </c>
      <c r="CC95" s="32">
        <f t="shared" si="145"/>
        <v>0.22890893335654983</v>
      </c>
      <c r="CD95" s="32" t="e">
        <f t="shared" si="146"/>
        <v>#N/A</v>
      </c>
      <c r="CE95" s="32" t="e">
        <f t="shared" si="147"/>
        <v>#N/A</v>
      </c>
      <c r="CF95" s="32" t="e">
        <f t="shared" si="148"/>
        <v>#N/A</v>
      </c>
      <c r="CG95" s="32" t="b">
        <f t="shared" si="149"/>
        <v>0</v>
      </c>
      <c r="CH95" s="32" t="b">
        <f t="shared" si="150"/>
        <v>1</v>
      </c>
      <c r="CI95" s="32" t="b">
        <f t="shared" si="151"/>
        <v>0</v>
      </c>
      <c r="CJ95" s="32" t="b">
        <f t="shared" si="152"/>
        <v>1</v>
      </c>
      <c r="CK95" s="32">
        <f t="shared" si="217"/>
        <v>0.22890893335654983</v>
      </c>
      <c r="CL95" s="32" t="e">
        <f t="shared" si="153"/>
        <v>#N/A</v>
      </c>
      <c r="CM95" s="32">
        <f t="shared" si="154"/>
        <v>0.22890893335654983</v>
      </c>
      <c r="CN95" s="45" t="str">
        <f t="shared" si="155"/>
        <v/>
      </c>
      <c r="CO95" s="32">
        <f>_xlfn.NORM.DIST(_xlfn.NORM.INV(1-Eu_g_konfidensniveau,0,1)-Eu_tabel_g[[#This Row],[x base]],0,1,TRUE)</f>
        <v>0.27732021410330299</v>
      </c>
      <c r="CP95" s="32">
        <f>1-_xlfn.NORM.DIST(_xlfn.NORM.INV(Eu_g_konfidensniveau,0,1)-Eu_tabel_g[[#This Row],[x base]],0,1,TRUE)</f>
        <v>3.4785965238283145E-3</v>
      </c>
      <c r="CQ95" s="32">
        <f>_xlfn.NORM.DIST(_xlfn.NORM.INV((1-Eu_g_konfidensniveau)/2,0,1)-Eu_tabel_g[[#This Row],[x base]],0,1,TRUE)+1-_xlfn.NORM.DIST(_xlfn.NORM.INV(1-(1-Eu_g_konfidensniveau)/2,0,1)-Eu_tabel_g[[#This Row],[x base]],0,1,TRUE)</f>
        <v>0.1837752716806117</v>
      </c>
      <c r="CR95" s="32" t="e" cm="1">
        <f t="array" ref="CR95">IF($CR$3,INDEX(Eu_tabel_g[[#This Row],[Styrke venstre]:[Styrke tosidet]],CR$7),NA())</f>
        <v>#N/A</v>
      </c>
      <c r="CS95" s="52" t="e">
        <f>Eu_tabel_g[[#This Row],[Falsk positiv
Nulhypotese accepteres
Fejltype 1]]</f>
        <v>#N/A</v>
      </c>
      <c r="CT95" s="52" t="e">
        <f>IF(CHOOSE(CR$7,Eu_tabel_g[[#This Row],[x base]]&gt;0,Eu_tabel_g[[#This Row],[x base]]&lt;0,Eu_tabel_g[[#This Row],[x base]]=0),Eu_tabel_g[[#This Row],[Styrke, aktiv]],NA())</f>
        <v>#N/A</v>
      </c>
      <c r="CU95" s="52" t="e">
        <f>IFERROR(IF($CR$3,Eu_tabel_g[[#This Row],[Styrke, aktiv]],NA()),NA())</f>
        <v>#N/A</v>
      </c>
      <c r="CV95" s="52" t="e">
        <f>IF(ISNA(Eu_tabel_g[[#This Row],[Sand negativ
Nulhypotese afvises
Korrekt]]),NA(),IF($CR$3,1,NA()))</f>
        <v>#N/A</v>
      </c>
      <c r="CW95" s="34" t="str" cm="1">
        <f t="array" ref="CW95">_xlfn.SWITCH(BZ95,_xlfn.IFNA(CU$2,-99),CU$5,_xlfn.IFNA(CU$3,-99),CU$6,_xlfn.IFNA(CU$4,-99),CU$7,"")</f>
        <v/>
      </c>
      <c r="DA95" s="7">
        <f t="shared" si="156"/>
        <v>0.8</v>
      </c>
      <c r="DB95">
        <f>IF(ROW(Styrkeberegning_G[[#This Row],[X base venstre]])=ROW(Styrkeberegning_G[[#Headers],[X base venstre]])+1,DB$7/(DA$7/$B$67),DB94/(DA94/$B$67))</f>
        <v>-2.8015817870135784</v>
      </c>
      <c r="DC95">
        <f>Styrkeberegning_G[[#This Row],[X base venstre]]*-1</f>
        <v>2.8015817870135784</v>
      </c>
      <c r="DN95" s="32">
        <f t="shared" si="157"/>
        <v>85</v>
      </c>
      <c r="DO95" s="32">
        <f t="shared" si="158"/>
        <v>86</v>
      </c>
      <c r="DP95" s="32">
        <f t="shared" si="159"/>
        <v>11.529875460098776</v>
      </c>
      <c r="DQ95" s="32" t="e">
        <f t="shared" si="160"/>
        <v>#N/A</v>
      </c>
      <c r="DR95" s="32" t="e">
        <f t="shared" si="161"/>
        <v>#N/A</v>
      </c>
      <c r="DS95" s="32">
        <f t="shared" si="162"/>
        <v>7.9434357282748405E-2</v>
      </c>
      <c r="DT95" s="32" t="e">
        <f t="shared" si="163"/>
        <v>#N/A</v>
      </c>
      <c r="DU95" s="32" t="b">
        <f t="shared" si="164"/>
        <v>0</v>
      </c>
      <c r="DV95" s="32" t="b">
        <f t="shared" si="165"/>
        <v>1</v>
      </c>
      <c r="DW95" s="32" t="b">
        <f t="shared" si="166"/>
        <v>0</v>
      </c>
      <c r="DX95" s="32" t="b">
        <f t="shared" si="167"/>
        <v>1</v>
      </c>
      <c r="DY95" s="32">
        <f t="shared" si="168"/>
        <v>7.9434357282748405E-2</v>
      </c>
      <c r="DZ95" s="32" t="e">
        <f t="shared" si="169"/>
        <v>#N/A</v>
      </c>
      <c r="EA95" s="32">
        <f t="shared" si="170"/>
        <v>7.9434357282748405E-2</v>
      </c>
      <c r="EB95" s="45" t="str">
        <f t="shared" si="171"/>
        <v/>
      </c>
      <c r="EG95" s="32">
        <f t="shared" si="172"/>
        <v>85</v>
      </c>
      <c r="EH95" s="32">
        <f t="shared" si="173"/>
        <v>86</v>
      </c>
      <c r="EI95" s="32">
        <f t="shared" si="174"/>
        <v>-1.0540327245843706</v>
      </c>
      <c r="EJ95" s="32">
        <f t="shared" si="175"/>
        <v>0.22890893335654983</v>
      </c>
      <c r="EK95" s="32" t="e">
        <f t="shared" si="176"/>
        <v>#N/A</v>
      </c>
      <c r="EL95" s="32" t="e">
        <f t="shared" si="177"/>
        <v>#N/A</v>
      </c>
      <c r="EM95" s="32" t="e">
        <f t="shared" si="178"/>
        <v>#N/A</v>
      </c>
      <c r="EN95" s="32" t="b">
        <f t="shared" si="179"/>
        <v>0</v>
      </c>
      <c r="EO95" s="32" t="b">
        <f t="shared" si="180"/>
        <v>1</v>
      </c>
      <c r="EP95" s="32" t="b">
        <f t="shared" si="181"/>
        <v>0</v>
      </c>
      <c r="EQ95" s="32" t="b">
        <f t="shared" si="182"/>
        <v>1</v>
      </c>
      <c r="ER95" s="32">
        <f t="shared" si="183"/>
        <v>0.22890893335654983</v>
      </c>
      <c r="ES95" s="32" t="e">
        <f t="shared" si="184"/>
        <v>#N/A</v>
      </c>
      <c r="ET95" s="32">
        <f t="shared" si="185"/>
        <v>0.22890893335654983</v>
      </c>
      <c r="EU95" s="45" t="str">
        <f t="shared" si="186"/>
        <v/>
      </c>
      <c r="EV9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5" s="32" t="e" cm="1">
        <f t="array" ref="EY95">IF($CR$3,INDEX(Eu_tabel_a[[#This Row],[Styrke venstre]:[Styrke tosidet]],EY$7),NA())</f>
        <v>#N/A</v>
      </c>
      <c r="EZ95" s="32" t="e">
        <f>IF(EY$3,IF(CHOOSE(EY$7,Eu_tabel_a[[#This Row],[x base]]&gt;0,Eu_tabel_a[[#This Row],[x base]]&lt;0,Eu_tabel_a[[#This Row],[x base]]=0),1,NA()),NA())</f>
        <v>#N/A</v>
      </c>
      <c r="FA95" s="32" t="e">
        <f>IF(CHOOSE(EY$7,Eu_tabel_a[[#This Row],[x base]]&gt;0,Eu_tabel_a[[#This Row],[x base]]&lt;0,Eu_tabel_a[[#This Row],[x base]]=0),Eu_tabel_a[[#This Row],[Styrke, aktiv]],NA())</f>
        <v>#N/A</v>
      </c>
      <c r="FB95" s="32" t="e">
        <f>IFERROR(IF($EY$3,Eu_tabel_a[[#This Row],[Styrke, aktiv]],NA()),NA())</f>
        <v>#N/A</v>
      </c>
      <c r="FC95" s="32" t="e">
        <f>IF(ISNA(Eu_tabel_a[[#This Row],[Sand negativ
Nulhypotese afvises
Korrekt]]),NA(),IF(EY$3,1,NA()))</f>
        <v>#N/A</v>
      </c>
      <c r="FD95" s="33" t="str" cm="1">
        <f t="array" ref="FD95">IFERROR(_xlfn.SWITCH(Eu_tabel_a[[#This Row],[Indeks]],_xlfn.IFNA(FB$2,-99),FB$5,_xlfn.IFNA(FB$3,-99),FB$6,_xlfn.IFNA(FB$4,-99),FB$7,""),"")</f>
        <v/>
      </c>
      <c r="FE95" s="32">
        <f>Eu_tabel_a[[#This Row],[x base]]*SQRT(Eu_a_h0_x*(1-Eu_a_h0_x)/Eu_a_n_x)+Eu_a_h0_x</f>
        <v>0</v>
      </c>
      <c r="FJ95" s="74" t="e">
        <f t="shared" si="130"/>
        <v>#N/A</v>
      </c>
      <c r="FK95" s="82" t="e">
        <f t="shared" ref="FK95:FK158" si="218">FK93+FP94</f>
        <v>#DIV/0!</v>
      </c>
      <c r="FL95" s="7" t="e">
        <f t="shared" si="124"/>
        <v>#DIV/0!</v>
      </c>
      <c r="FM95" t="e">
        <f t="shared" ref="FM95:FM158" si="219">FK95-FK94</f>
        <v>#DIV/0!</v>
      </c>
      <c r="FN95" s="8" t="e">
        <f t="shared" ref="FN95:FN158" si="220">FL95-FL94</f>
        <v>#DIV/0!</v>
      </c>
      <c r="FO95" s="8" t="e">
        <f t="shared" ref="FO95:FO158" si="221">$P$67-FL94</f>
        <v>#DIV/0!</v>
      </c>
      <c r="FP95" s="81" t="e">
        <f t="shared" ref="FP95:FP158" si="222">FM95/(FN95/FO95)</f>
        <v>#DIV/0!</v>
      </c>
      <c r="FQ95" s="74" t="e">
        <f t="shared" ca="1" si="125"/>
        <v>#N/A</v>
      </c>
      <c r="FR95" s="82" t="e" vm="3">
        <f t="shared" ca="1" si="131"/>
        <v>#VALUE!</v>
      </c>
      <c r="FS95" s="7" t="e" vm="3">
        <f t="shared" ca="1" si="126"/>
        <v>#VALUE!</v>
      </c>
      <c r="FT95" t="e" vm="3">
        <f t="shared" ca="1" si="120"/>
        <v>#VALUE!</v>
      </c>
      <c r="FU95" s="8" t="e" vm="3">
        <f t="shared" ca="1" si="121"/>
        <v>#VALUE!</v>
      </c>
      <c r="FV95" s="8" t="e" vm="3">
        <f t="shared" ca="1" si="122"/>
        <v>#VALUE!</v>
      </c>
      <c r="FW95" s="81" t="e" vm="3">
        <f t="shared" ca="1" si="123"/>
        <v>#VALUE!</v>
      </c>
      <c r="FX95" s="74" t="e">
        <f t="shared" si="127"/>
        <v>#N/A</v>
      </c>
      <c r="FY95" s="82" t="e">
        <f t="shared" si="132"/>
        <v>#N/A</v>
      </c>
      <c r="FZ95" s="7" t="e">
        <f t="shared" si="128"/>
        <v>#N/A</v>
      </c>
      <c r="GA95" t="e">
        <f t="shared" si="133"/>
        <v>#N/A</v>
      </c>
      <c r="GB95" s="8" t="e">
        <f t="shared" si="134"/>
        <v>#N/A</v>
      </c>
      <c r="GC95" s="8" t="e">
        <f t="shared" si="135"/>
        <v>#N/A</v>
      </c>
      <c r="GD95" s="81" t="e">
        <f t="shared" si="136"/>
        <v>#N/A</v>
      </c>
      <c r="GE95" s="74" t="e">
        <f t="shared" si="137"/>
        <v>#N/A</v>
      </c>
      <c r="GF95" s="82" t="e">
        <f t="shared" si="138"/>
        <v>#N/A</v>
      </c>
      <c r="GG95" s="7" t="e">
        <f t="shared" si="129"/>
        <v>#N/A</v>
      </c>
      <c r="GH95" t="e">
        <f t="shared" si="139"/>
        <v>#N/A</v>
      </c>
      <c r="GI95" s="8" t="e">
        <f t="shared" si="140"/>
        <v>#N/A</v>
      </c>
      <c r="GJ95" s="8" t="e">
        <f t="shared" si="141"/>
        <v>#N/A</v>
      </c>
      <c r="GK95" s="81" t="e">
        <f t="shared" si="142"/>
        <v>#N/A</v>
      </c>
      <c r="GL95" s="81"/>
      <c r="GM95" s="81"/>
      <c r="GP95" s="32">
        <f t="shared" si="187"/>
        <v>85</v>
      </c>
      <c r="GQ95" s="32">
        <f t="shared" si="188"/>
        <v>86</v>
      </c>
      <c r="GR95" s="32">
        <f t="shared" si="189"/>
        <v>-1.0540327245843706</v>
      </c>
      <c r="GS95" s="32">
        <f t="shared" si="190"/>
        <v>0.22890893335654983</v>
      </c>
      <c r="GT95" s="32" t="e">
        <f t="shared" si="191"/>
        <v>#N/A</v>
      </c>
      <c r="GU95" s="32" t="e">
        <f t="shared" si="192"/>
        <v>#N/A</v>
      </c>
      <c r="GV95" s="32" t="e">
        <f t="shared" si="193"/>
        <v>#N/A</v>
      </c>
      <c r="GW95" s="32" t="b">
        <f t="shared" si="194"/>
        <v>0</v>
      </c>
      <c r="GX95" s="32" t="b">
        <f t="shared" si="195"/>
        <v>1</v>
      </c>
      <c r="GY95" s="32" t="b">
        <f t="shared" si="196"/>
        <v>0</v>
      </c>
      <c r="GZ95" s="32" t="b">
        <f t="shared" si="197"/>
        <v>1</v>
      </c>
      <c r="HA95" s="32">
        <f t="shared" si="198"/>
        <v>0.22890893335654983</v>
      </c>
      <c r="HB95" s="32" t="e">
        <f t="shared" si="199"/>
        <v>#N/A</v>
      </c>
      <c r="HC95" s="32">
        <f t="shared" si="200"/>
        <v>0.22890893335654983</v>
      </c>
      <c r="HD95" s="45" t="str">
        <f t="shared" si="201"/>
        <v/>
      </c>
      <c r="HJ95" s="32">
        <f t="shared" si="202"/>
        <v>85</v>
      </c>
      <c r="HK95" s="32">
        <f t="shared" si="203"/>
        <v>86</v>
      </c>
      <c r="HL95" s="32">
        <f t="shared" si="204"/>
        <v>-1.632191811318501</v>
      </c>
      <c r="HM95" s="32" t="e">
        <f t="shared" si="205"/>
        <v>#N/A</v>
      </c>
      <c r="HN95" s="32">
        <f t="shared" si="206"/>
        <v>0.10597576325843158</v>
      </c>
      <c r="HO95" s="32" t="e">
        <f t="shared" si="207"/>
        <v>#N/A</v>
      </c>
      <c r="HP95" s="32" t="e">
        <f t="shared" si="208"/>
        <v>#N/A</v>
      </c>
      <c r="HQ95" s="32" t="b">
        <f t="shared" si="209"/>
        <v>1</v>
      </c>
      <c r="HR95" s="32" t="b">
        <f t="shared" si="210"/>
        <v>0</v>
      </c>
      <c r="HS95" s="32" t="b">
        <f t="shared" si="211"/>
        <v>0</v>
      </c>
      <c r="HT95" s="32" t="b">
        <f t="shared" si="212"/>
        <v>1</v>
      </c>
      <c r="HU95" s="32">
        <f t="shared" si="213"/>
        <v>0.10597576325843158</v>
      </c>
      <c r="HV95" s="32">
        <f t="shared" si="214"/>
        <v>0.10597576325843158</v>
      </c>
      <c r="HW95" s="32" t="e">
        <f t="shared" si="215"/>
        <v>#N/A</v>
      </c>
      <c r="HX95" s="45" t="str">
        <f t="shared" si="216"/>
        <v/>
      </c>
    </row>
    <row r="96" spans="78:232" x14ac:dyDescent="0.2">
      <c r="BZ96" s="32">
        <f t="shared" si="143"/>
        <v>86</v>
      </c>
      <c r="CA96" s="32">
        <f>Eu_tabel_g[[#This Row],[Indeks]]+1</f>
        <v>87</v>
      </c>
      <c r="CB96" s="32">
        <f t="shared" si="144"/>
        <v>-1.0300774353892712</v>
      </c>
      <c r="CC96" s="32">
        <f t="shared" si="145"/>
        <v>0.23469504353367848</v>
      </c>
      <c r="CD96" s="32" t="e">
        <f t="shared" si="146"/>
        <v>#N/A</v>
      </c>
      <c r="CE96" s="32" t="e">
        <f t="shared" si="147"/>
        <v>#N/A</v>
      </c>
      <c r="CF96" s="32" t="e">
        <f t="shared" si="148"/>
        <v>#N/A</v>
      </c>
      <c r="CG96" s="32" t="b">
        <f t="shared" si="149"/>
        <v>0</v>
      </c>
      <c r="CH96" s="32" t="b">
        <f t="shared" si="150"/>
        <v>1</v>
      </c>
      <c r="CI96" s="32" t="b">
        <f t="shared" si="151"/>
        <v>0</v>
      </c>
      <c r="CJ96" s="32" t="b">
        <f t="shared" si="152"/>
        <v>1</v>
      </c>
      <c r="CK96" s="32">
        <f t="shared" si="217"/>
        <v>0.23469504353367848</v>
      </c>
      <c r="CL96" s="32" t="e">
        <f t="shared" si="153"/>
        <v>#N/A</v>
      </c>
      <c r="CM96" s="32">
        <f t="shared" si="154"/>
        <v>0.23469504353367848</v>
      </c>
      <c r="CN96" s="45" t="str">
        <f t="shared" si="155"/>
        <v/>
      </c>
      <c r="CO96" s="32">
        <f>_xlfn.NORM.DIST(_xlfn.NORM.INV(1-Eu_g_konfidensniveau,0,1)-Eu_tabel_g[[#This Row],[x base]],0,1,TRUE)</f>
        <v>0.26935126726694236</v>
      </c>
      <c r="CP96" s="32">
        <f>1-_xlfn.NORM.DIST(_xlfn.NORM.INV(Eu_g_konfidensniveau,0,1)-Eu_tabel_g[[#This Row],[x base]],0,1,TRUE)</f>
        <v>3.7372309005786475E-3</v>
      </c>
      <c r="CQ96" s="32">
        <f>_xlfn.NORM.DIST(_xlfn.NORM.INV((1-Eu_g_konfidensniveau)/2,0,1)-Eu_tabel_g[[#This Row],[x base]],0,1,TRUE)+1-_xlfn.NORM.DIST(_xlfn.NORM.INV(1-(1-Eu_g_konfidensniveau)/2,0,1)-Eu_tabel_g[[#This Row],[x base]],0,1,TRUE)</f>
        <v>0.17760961211190851</v>
      </c>
      <c r="CR96" s="32" t="e" cm="1">
        <f t="array" ref="CR96">IF($CR$3,INDEX(Eu_tabel_g[[#This Row],[Styrke venstre]:[Styrke tosidet]],CR$7),NA())</f>
        <v>#N/A</v>
      </c>
      <c r="CS96" s="52" t="e">
        <f>Eu_tabel_g[[#This Row],[Falsk positiv
Nulhypotese accepteres
Fejltype 1]]</f>
        <v>#N/A</v>
      </c>
      <c r="CT96" s="52" t="e">
        <f>IF(CHOOSE(CR$7,Eu_tabel_g[[#This Row],[x base]]&gt;0,Eu_tabel_g[[#This Row],[x base]]&lt;0,Eu_tabel_g[[#This Row],[x base]]=0),Eu_tabel_g[[#This Row],[Styrke, aktiv]],NA())</f>
        <v>#N/A</v>
      </c>
      <c r="CU96" s="52" t="e">
        <f>IFERROR(IF($CR$3,Eu_tabel_g[[#This Row],[Styrke, aktiv]],NA()),NA())</f>
        <v>#N/A</v>
      </c>
      <c r="CV96" s="52" t="e">
        <f>IF(ISNA(Eu_tabel_g[[#This Row],[Sand negativ
Nulhypotese afvises
Korrekt]]),NA(),IF($CR$3,1,NA()))</f>
        <v>#N/A</v>
      </c>
      <c r="CW96" s="34" t="str" cm="1">
        <f t="array" ref="CW96">_xlfn.SWITCH(BZ96,_xlfn.IFNA(CU$2,-99),CU$5,_xlfn.IFNA(CU$3,-99),CU$6,_xlfn.IFNA(CU$4,-99),CU$7,"")</f>
        <v/>
      </c>
      <c r="DA96" s="7">
        <f t="shared" si="156"/>
        <v>0.8</v>
      </c>
      <c r="DB96">
        <f>IF(ROW(Styrkeberegning_G[[#This Row],[X base venstre]])=ROW(Styrkeberegning_G[[#Headers],[X base venstre]])+1,DB$7/(DA$7/$B$67),DB95/(DA95/$B$67))</f>
        <v>-2.8015817870135784</v>
      </c>
      <c r="DC96">
        <f>Styrkeberegning_G[[#This Row],[X base venstre]]*-1</f>
        <v>2.8015817870135784</v>
      </c>
      <c r="DN96" s="32">
        <f t="shared" si="157"/>
        <v>86</v>
      </c>
      <c r="DO96" s="32">
        <f t="shared" si="158"/>
        <v>87</v>
      </c>
      <c r="DP96" s="32">
        <f t="shared" si="159"/>
        <v>11.643946316515777</v>
      </c>
      <c r="DQ96" s="32" t="e">
        <f t="shared" si="160"/>
        <v>#N/A</v>
      </c>
      <c r="DR96" s="32" t="e">
        <f t="shared" si="161"/>
        <v>#N/A</v>
      </c>
      <c r="DS96" s="32">
        <f t="shared" si="162"/>
        <v>7.842929589264333E-2</v>
      </c>
      <c r="DT96" s="32" t="e">
        <f t="shared" si="163"/>
        <v>#N/A</v>
      </c>
      <c r="DU96" s="32" t="b">
        <f t="shared" si="164"/>
        <v>0</v>
      </c>
      <c r="DV96" s="32" t="b">
        <f t="shared" si="165"/>
        <v>1</v>
      </c>
      <c r="DW96" s="32" t="b">
        <f t="shared" si="166"/>
        <v>0</v>
      </c>
      <c r="DX96" s="32" t="b">
        <f t="shared" si="167"/>
        <v>1</v>
      </c>
      <c r="DY96" s="32">
        <f t="shared" si="168"/>
        <v>7.842929589264333E-2</v>
      </c>
      <c r="DZ96" s="32" t="e">
        <f t="shared" si="169"/>
        <v>#N/A</v>
      </c>
      <c r="EA96" s="32">
        <f t="shared" si="170"/>
        <v>7.842929589264333E-2</v>
      </c>
      <c r="EB96" s="45" t="str">
        <f t="shared" si="171"/>
        <v/>
      </c>
      <c r="EG96" s="32">
        <f t="shared" si="172"/>
        <v>86</v>
      </c>
      <c r="EH96" s="32">
        <f t="shared" si="173"/>
        <v>87</v>
      </c>
      <c r="EI96" s="32">
        <f t="shared" si="174"/>
        <v>-1.0300774353892712</v>
      </c>
      <c r="EJ96" s="32">
        <f t="shared" si="175"/>
        <v>0.23469504353367848</v>
      </c>
      <c r="EK96" s="32" t="e">
        <f t="shared" si="176"/>
        <v>#N/A</v>
      </c>
      <c r="EL96" s="32" t="e">
        <f t="shared" si="177"/>
        <v>#N/A</v>
      </c>
      <c r="EM96" s="32" t="e">
        <f t="shared" si="178"/>
        <v>#N/A</v>
      </c>
      <c r="EN96" s="32" t="b">
        <f t="shared" si="179"/>
        <v>0</v>
      </c>
      <c r="EO96" s="32" t="b">
        <f t="shared" si="180"/>
        <v>1</v>
      </c>
      <c r="EP96" s="32" t="b">
        <f t="shared" si="181"/>
        <v>0</v>
      </c>
      <c r="EQ96" s="32" t="b">
        <f t="shared" si="182"/>
        <v>1</v>
      </c>
      <c r="ER96" s="32">
        <f t="shared" si="183"/>
        <v>0.23469504353367848</v>
      </c>
      <c r="ES96" s="32" t="e">
        <f t="shared" si="184"/>
        <v>#N/A</v>
      </c>
      <c r="ET96" s="32">
        <f t="shared" si="185"/>
        <v>0.23469504353367848</v>
      </c>
      <c r="EU96" s="45" t="str">
        <f t="shared" si="186"/>
        <v/>
      </c>
      <c r="EV9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6" s="32" t="e" cm="1">
        <f t="array" ref="EY96">IF($CR$3,INDEX(Eu_tabel_a[[#This Row],[Styrke venstre]:[Styrke tosidet]],EY$7),NA())</f>
        <v>#N/A</v>
      </c>
      <c r="EZ96" s="32" t="e">
        <f>IF(EY$3,IF(CHOOSE(EY$7,Eu_tabel_a[[#This Row],[x base]]&gt;0,Eu_tabel_a[[#This Row],[x base]]&lt;0,Eu_tabel_a[[#This Row],[x base]]=0),1,NA()),NA())</f>
        <v>#N/A</v>
      </c>
      <c r="FA96" s="32" t="e">
        <f>IF(CHOOSE(EY$7,Eu_tabel_a[[#This Row],[x base]]&gt;0,Eu_tabel_a[[#This Row],[x base]]&lt;0,Eu_tabel_a[[#This Row],[x base]]=0),Eu_tabel_a[[#This Row],[Styrke, aktiv]],NA())</f>
        <v>#N/A</v>
      </c>
      <c r="FB96" s="32" t="e">
        <f>IFERROR(IF($EY$3,Eu_tabel_a[[#This Row],[Styrke, aktiv]],NA()),NA())</f>
        <v>#N/A</v>
      </c>
      <c r="FC96" s="32" t="e">
        <f>IF(ISNA(Eu_tabel_a[[#This Row],[Sand negativ
Nulhypotese afvises
Korrekt]]),NA(),IF(EY$3,1,NA()))</f>
        <v>#N/A</v>
      </c>
      <c r="FD96" s="33" t="str" cm="1">
        <f t="array" ref="FD96">IFERROR(_xlfn.SWITCH(Eu_tabel_a[[#This Row],[Indeks]],_xlfn.IFNA(FB$2,-99),FB$5,_xlfn.IFNA(FB$3,-99),FB$6,_xlfn.IFNA(FB$4,-99),FB$7,""),"")</f>
        <v/>
      </c>
      <c r="FE96" s="32">
        <f>Eu_tabel_a[[#This Row],[x base]]*SQRT(Eu_a_h0_x*(1-Eu_a_h0_x)/Eu_a_n_x)+Eu_a_h0_x</f>
        <v>0</v>
      </c>
      <c r="FJ96" s="74" t="e">
        <f t="shared" si="130"/>
        <v>#N/A</v>
      </c>
      <c r="FK96" s="82" t="e">
        <f t="shared" si="218"/>
        <v>#DIV/0!</v>
      </c>
      <c r="FL96" s="7" t="e">
        <f t="shared" si="124"/>
        <v>#DIV/0!</v>
      </c>
      <c r="FM96" t="e">
        <f t="shared" si="219"/>
        <v>#DIV/0!</v>
      </c>
      <c r="FN96" s="8" t="e">
        <f t="shared" si="220"/>
        <v>#DIV/0!</v>
      </c>
      <c r="FO96" s="8" t="e">
        <f t="shared" si="221"/>
        <v>#DIV/0!</v>
      </c>
      <c r="FP96" s="81" t="e">
        <f t="shared" si="222"/>
        <v>#DIV/0!</v>
      </c>
      <c r="FQ96" s="74" t="e">
        <f t="shared" ca="1" si="125"/>
        <v>#N/A</v>
      </c>
      <c r="FR96" s="82" t="e" vm="3">
        <f t="shared" ca="1" si="131"/>
        <v>#VALUE!</v>
      </c>
      <c r="FS96" s="7" t="e" vm="3">
        <f t="shared" ca="1" si="126"/>
        <v>#VALUE!</v>
      </c>
      <c r="FT96" t="e" vm="3">
        <f t="shared" ca="1" si="120"/>
        <v>#VALUE!</v>
      </c>
      <c r="FU96" s="8" t="e" vm="3">
        <f t="shared" ca="1" si="121"/>
        <v>#VALUE!</v>
      </c>
      <c r="FV96" s="8" t="e" vm="3">
        <f t="shared" ca="1" si="122"/>
        <v>#VALUE!</v>
      </c>
      <c r="FW96" s="81" t="e" vm="3">
        <f t="shared" ca="1" si="123"/>
        <v>#VALUE!</v>
      </c>
      <c r="FX96" s="74" t="e">
        <f t="shared" si="127"/>
        <v>#N/A</v>
      </c>
      <c r="FY96" s="82" t="e">
        <f t="shared" si="132"/>
        <v>#N/A</v>
      </c>
      <c r="FZ96" s="7" t="e">
        <f t="shared" si="128"/>
        <v>#N/A</v>
      </c>
      <c r="GA96" t="e">
        <f t="shared" si="133"/>
        <v>#N/A</v>
      </c>
      <c r="GB96" s="8" t="e">
        <f t="shared" si="134"/>
        <v>#N/A</v>
      </c>
      <c r="GC96" s="8" t="e">
        <f t="shared" si="135"/>
        <v>#N/A</v>
      </c>
      <c r="GD96" s="81" t="e">
        <f t="shared" si="136"/>
        <v>#N/A</v>
      </c>
      <c r="GE96" s="74" t="e">
        <f t="shared" si="137"/>
        <v>#N/A</v>
      </c>
      <c r="GF96" s="82" t="e">
        <f t="shared" si="138"/>
        <v>#N/A</v>
      </c>
      <c r="GG96" s="7" t="e">
        <f t="shared" si="129"/>
        <v>#N/A</v>
      </c>
      <c r="GH96" t="e">
        <f t="shared" si="139"/>
        <v>#N/A</v>
      </c>
      <c r="GI96" s="8" t="e">
        <f t="shared" si="140"/>
        <v>#N/A</v>
      </c>
      <c r="GJ96" s="8" t="e">
        <f t="shared" si="141"/>
        <v>#N/A</v>
      </c>
      <c r="GK96" s="81" t="e">
        <f t="shared" si="142"/>
        <v>#N/A</v>
      </c>
      <c r="GL96" s="81"/>
      <c r="GM96" s="81"/>
      <c r="GP96" s="32">
        <f t="shared" si="187"/>
        <v>86</v>
      </c>
      <c r="GQ96" s="32">
        <f t="shared" si="188"/>
        <v>87</v>
      </c>
      <c r="GR96" s="32">
        <f t="shared" si="189"/>
        <v>-1.0300774353892712</v>
      </c>
      <c r="GS96" s="32">
        <f t="shared" si="190"/>
        <v>0.23469504353367848</v>
      </c>
      <c r="GT96" s="32" t="e">
        <f t="shared" si="191"/>
        <v>#N/A</v>
      </c>
      <c r="GU96" s="32" t="e">
        <f t="shared" si="192"/>
        <v>#N/A</v>
      </c>
      <c r="GV96" s="32" t="e">
        <f t="shared" si="193"/>
        <v>#N/A</v>
      </c>
      <c r="GW96" s="32" t="b">
        <f t="shared" si="194"/>
        <v>0</v>
      </c>
      <c r="GX96" s="32" t="b">
        <f t="shared" si="195"/>
        <v>1</v>
      </c>
      <c r="GY96" s="32" t="b">
        <f t="shared" si="196"/>
        <v>0</v>
      </c>
      <c r="GZ96" s="32" t="b">
        <f t="shared" si="197"/>
        <v>1</v>
      </c>
      <c r="HA96" s="32">
        <f t="shared" si="198"/>
        <v>0.23469504353367848</v>
      </c>
      <c r="HB96" s="32" t="e">
        <f t="shared" si="199"/>
        <v>#N/A</v>
      </c>
      <c r="HC96" s="32">
        <f t="shared" si="200"/>
        <v>0.23469504353367848</v>
      </c>
      <c r="HD96" s="45" t="str">
        <f t="shared" si="201"/>
        <v/>
      </c>
      <c r="HJ96" s="32">
        <f t="shared" si="202"/>
        <v>86</v>
      </c>
      <c r="HK96" s="32">
        <f t="shared" si="203"/>
        <v>87</v>
      </c>
      <c r="HL96" s="32">
        <f t="shared" si="204"/>
        <v>-1.5950965428794444</v>
      </c>
      <c r="HM96" s="32" t="e">
        <f t="shared" si="205"/>
        <v>#N/A</v>
      </c>
      <c r="HN96" s="32">
        <f t="shared" si="206"/>
        <v>0.11139377338028286</v>
      </c>
      <c r="HO96" s="32" t="e">
        <f t="shared" si="207"/>
        <v>#N/A</v>
      </c>
      <c r="HP96" s="32" t="e">
        <f t="shared" si="208"/>
        <v>#N/A</v>
      </c>
      <c r="HQ96" s="32" t="b">
        <f t="shared" si="209"/>
        <v>1</v>
      </c>
      <c r="HR96" s="32" t="b">
        <f t="shared" si="210"/>
        <v>0</v>
      </c>
      <c r="HS96" s="32" t="b">
        <f t="shared" si="211"/>
        <v>0</v>
      </c>
      <c r="HT96" s="32" t="b">
        <f t="shared" si="212"/>
        <v>1</v>
      </c>
      <c r="HU96" s="32">
        <f t="shared" si="213"/>
        <v>0.11139377338028286</v>
      </c>
      <c r="HV96" s="32">
        <f t="shared" si="214"/>
        <v>0.11139377338028286</v>
      </c>
      <c r="HW96" s="32" t="e">
        <f t="shared" si="215"/>
        <v>#N/A</v>
      </c>
      <c r="HX96" s="45" t="str">
        <f t="shared" si="216"/>
        <v/>
      </c>
    </row>
    <row r="97" spans="78:232" x14ac:dyDescent="0.2">
      <c r="BZ97" s="32">
        <f t="shared" si="143"/>
        <v>87</v>
      </c>
      <c r="CA97" s="32">
        <f>Eu_tabel_g[[#This Row],[Indeks]]+1</f>
        <v>88</v>
      </c>
      <c r="CB97" s="32">
        <f t="shared" si="144"/>
        <v>-1.0061221461941718</v>
      </c>
      <c r="CC97" s="32">
        <f t="shared" si="145"/>
        <v>0.24048936284820582</v>
      </c>
      <c r="CD97" s="32" t="e">
        <f t="shared" si="146"/>
        <v>#N/A</v>
      </c>
      <c r="CE97" s="32" t="e">
        <f t="shared" si="147"/>
        <v>#N/A</v>
      </c>
      <c r="CF97" s="32" t="e">
        <f t="shared" si="148"/>
        <v>#N/A</v>
      </c>
      <c r="CG97" s="32" t="b">
        <f t="shared" si="149"/>
        <v>0</v>
      </c>
      <c r="CH97" s="32" t="b">
        <f t="shared" si="150"/>
        <v>1</v>
      </c>
      <c r="CI97" s="32" t="b">
        <f t="shared" si="151"/>
        <v>0</v>
      </c>
      <c r="CJ97" s="32" t="b">
        <f t="shared" si="152"/>
        <v>1</v>
      </c>
      <c r="CK97" s="32">
        <f t="shared" si="217"/>
        <v>0.24048936284820582</v>
      </c>
      <c r="CL97" s="32" t="e">
        <f t="shared" si="153"/>
        <v>#N/A</v>
      </c>
      <c r="CM97" s="32">
        <f t="shared" si="154"/>
        <v>0.24048936284820582</v>
      </c>
      <c r="CN97" s="45" t="str">
        <f t="shared" si="155"/>
        <v/>
      </c>
      <c r="CO97" s="32">
        <f>_xlfn.NORM.DIST(_xlfn.NORM.INV(1-Eu_g_konfidensniveau,0,1)-Eu_tabel_g[[#This Row],[x base]],0,1,TRUE)</f>
        <v>0.2614988147473114</v>
      </c>
      <c r="CP97" s="32">
        <f>1-_xlfn.NORM.DIST(_xlfn.NORM.INV(Eu_g_konfidensniveau,0,1)-Eu_tabel_g[[#This Row],[x base]],0,1,TRUE)</f>
        <v>4.0129799124446475E-3</v>
      </c>
      <c r="CQ97" s="32">
        <f>_xlfn.NORM.DIST(_xlfn.NORM.INV((1-Eu_g_konfidensniveau)/2,0,1)-Eu_tabel_g[[#This Row],[x base]],0,1,TRUE)+1-_xlfn.NORM.DIST(_xlfn.NORM.INV(1-(1-Eu_g_konfidensniveau)/2,0,1)-Eu_tabel_g[[#This Row],[x base]],0,1,TRUE)</f>
        <v>0.17158993392443589</v>
      </c>
      <c r="CR97" s="32" t="e" cm="1">
        <f t="array" ref="CR97">IF($CR$3,INDEX(Eu_tabel_g[[#This Row],[Styrke venstre]:[Styrke tosidet]],CR$7),NA())</f>
        <v>#N/A</v>
      </c>
      <c r="CS97" s="52" t="e">
        <f>Eu_tabel_g[[#This Row],[Falsk positiv
Nulhypotese accepteres
Fejltype 1]]</f>
        <v>#N/A</v>
      </c>
      <c r="CT97" s="52" t="e">
        <f>IF(CHOOSE(CR$7,Eu_tabel_g[[#This Row],[x base]]&gt;0,Eu_tabel_g[[#This Row],[x base]]&lt;0,Eu_tabel_g[[#This Row],[x base]]=0),Eu_tabel_g[[#This Row],[Styrke, aktiv]],NA())</f>
        <v>#N/A</v>
      </c>
      <c r="CU97" s="52" t="e">
        <f>IFERROR(IF($CR$3,Eu_tabel_g[[#This Row],[Styrke, aktiv]],NA()),NA())</f>
        <v>#N/A</v>
      </c>
      <c r="CV97" s="52" t="e">
        <f>IF(ISNA(Eu_tabel_g[[#This Row],[Sand negativ
Nulhypotese afvises
Korrekt]]),NA(),IF($CR$3,1,NA()))</f>
        <v>#N/A</v>
      </c>
      <c r="CW97" s="34" t="str" cm="1">
        <f t="array" ref="CW97">_xlfn.SWITCH(BZ97,_xlfn.IFNA(CU$2,-99),CU$5,_xlfn.IFNA(CU$3,-99),CU$6,_xlfn.IFNA(CU$4,-99),CU$7,"")</f>
        <v/>
      </c>
      <c r="DA97" s="7">
        <f t="shared" si="156"/>
        <v>0.8</v>
      </c>
      <c r="DB97">
        <f>IF(ROW(Styrkeberegning_G[[#This Row],[X base venstre]])=ROW(Styrkeberegning_G[[#Headers],[X base venstre]])+1,DB$7/(DA$7/$B$67),DB96/(DA96/$B$67))</f>
        <v>-2.8015817870135784</v>
      </c>
      <c r="DC97">
        <f>Styrkeberegning_G[[#This Row],[X base venstre]]*-1</f>
        <v>2.8015817870135784</v>
      </c>
      <c r="DN97" s="32">
        <f t="shared" si="157"/>
        <v>87</v>
      </c>
      <c r="DO97" s="32">
        <f t="shared" si="158"/>
        <v>88</v>
      </c>
      <c r="DP97" s="32">
        <f t="shared" si="159"/>
        <v>11.758017172932778</v>
      </c>
      <c r="DQ97" s="32" t="e">
        <f t="shared" si="160"/>
        <v>#N/A</v>
      </c>
      <c r="DR97" s="32" t="e">
        <f t="shared" si="161"/>
        <v>#N/A</v>
      </c>
      <c r="DS97" s="32">
        <f t="shared" si="162"/>
        <v>7.7403513538207847E-2</v>
      </c>
      <c r="DT97" s="32" t="e">
        <f t="shared" si="163"/>
        <v>#N/A</v>
      </c>
      <c r="DU97" s="32" t="b">
        <f t="shared" si="164"/>
        <v>0</v>
      </c>
      <c r="DV97" s="32" t="b">
        <f t="shared" si="165"/>
        <v>1</v>
      </c>
      <c r="DW97" s="32" t="b">
        <f t="shared" si="166"/>
        <v>0</v>
      </c>
      <c r="DX97" s="32" t="b">
        <f t="shared" si="167"/>
        <v>1</v>
      </c>
      <c r="DY97" s="32">
        <f t="shared" si="168"/>
        <v>7.7403513538207847E-2</v>
      </c>
      <c r="DZ97" s="32" t="e">
        <f t="shared" si="169"/>
        <v>#N/A</v>
      </c>
      <c r="EA97" s="32">
        <f t="shared" si="170"/>
        <v>7.7403513538207847E-2</v>
      </c>
      <c r="EB97" s="45" t="str">
        <f t="shared" si="171"/>
        <v/>
      </c>
      <c r="EG97" s="32">
        <f t="shared" si="172"/>
        <v>87</v>
      </c>
      <c r="EH97" s="32">
        <f t="shared" si="173"/>
        <v>88</v>
      </c>
      <c r="EI97" s="32">
        <f t="shared" si="174"/>
        <v>-1.0061221461941718</v>
      </c>
      <c r="EJ97" s="32">
        <f t="shared" si="175"/>
        <v>0.24048936284820582</v>
      </c>
      <c r="EK97" s="32" t="e">
        <f t="shared" si="176"/>
        <v>#N/A</v>
      </c>
      <c r="EL97" s="32" t="e">
        <f t="shared" si="177"/>
        <v>#N/A</v>
      </c>
      <c r="EM97" s="32" t="e">
        <f t="shared" si="178"/>
        <v>#N/A</v>
      </c>
      <c r="EN97" s="32" t="b">
        <f t="shared" si="179"/>
        <v>0</v>
      </c>
      <c r="EO97" s="32" t="b">
        <f t="shared" si="180"/>
        <v>1</v>
      </c>
      <c r="EP97" s="32" t="b">
        <f t="shared" si="181"/>
        <v>0</v>
      </c>
      <c r="EQ97" s="32" t="b">
        <f t="shared" si="182"/>
        <v>1</v>
      </c>
      <c r="ER97" s="32">
        <f t="shared" si="183"/>
        <v>0.24048936284820582</v>
      </c>
      <c r="ES97" s="32" t="e">
        <f t="shared" si="184"/>
        <v>#N/A</v>
      </c>
      <c r="ET97" s="32">
        <f t="shared" si="185"/>
        <v>0.24048936284820582</v>
      </c>
      <c r="EU97" s="45" t="str">
        <f t="shared" si="186"/>
        <v/>
      </c>
      <c r="EV9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7" s="32" t="e" cm="1">
        <f t="array" ref="EY97">IF($CR$3,INDEX(Eu_tabel_a[[#This Row],[Styrke venstre]:[Styrke tosidet]],EY$7),NA())</f>
        <v>#N/A</v>
      </c>
      <c r="EZ97" s="32" t="e">
        <f>IF(EY$3,IF(CHOOSE(EY$7,Eu_tabel_a[[#This Row],[x base]]&gt;0,Eu_tabel_a[[#This Row],[x base]]&lt;0,Eu_tabel_a[[#This Row],[x base]]=0),1,NA()),NA())</f>
        <v>#N/A</v>
      </c>
      <c r="FA97" s="32" t="e">
        <f>IF(CHOOSE(EY$7,Eu_tabel_a[[#This Row],[x base]]&gt;0,Eu_tabel_a[[#This Row],[x base]]&lt;0,Eu_tabel_a[[#This Row],[x base]]=0),Eu_tabel_a[[#This Row],[Styrke, aktiv]],NA())</f>
        <v>#N/A</v>
      </c>
      <c r="FB97" s="32" t="e">
        <f>IFERROR(IF($EY$3,Eu_tabel_a[[#This Row],[Styrke, aktiv]],NA()),NA())</f>
        <v>#N/A</v>
      </c>
      <c r="FC97" s="32" t="e">
        <f>IF(ISNA(Eu_tabel_a[[#This Row],[Sand negativ
Nulhypotese afvises
Korrekt]]),NA(),IF(EY$3,1,NA()))</f>
        <v>#N/A</v>
      </c>
      <c r="FD97" s="33" t="str" cm="1">
        <f t="array" ref="FD97">IFERROR(_xlfn.SWITCH(Eu_tabel_a[[#This Row],[Indeks]],_xlfn.IFNA(FB$2,-99),FB$5,_xlfn.IFNA(FB$3,-99),FB$6,_xlfn.IFNA(FB$4,-99),FB$7,""),"")</f>
        <v/>
      </c>
      <c r="FE97" s="32">
        <f>Eu_tabel_a[[#This Row],[x base]]*SQRT(Eu_a_h0_x*(1-Eu_a_h0_x)/Eu_a_n_x)+Eu_a_h0_x</f>
        <v>0</v>
      </c>
      <c r="FJ97" s="74" t="e">
        <f t="shared" si="130"/>
        <v>#N/A</v>
      </c>
      <c r="FK97" s="82" t="e">
        <f t="shared" si="218"/>
        <v>#DIV/0!</v>
      </c>
      <c r="FL97" s="7" t="e">
        <f t="shared" si="124"/>
        <v>#DIV/0!</v>
      </c>
      <c r="FM97" t="e">
        <f t="shared" si="219"/>
        <v>#DIV/0!</v>
      </c>
      <c r="FN97" s="8" t="e">
        <f t="shared" si="220"/>
        <v>#DIV/0!</v>
      </c>
      <c r="FO97" s="8" t="e">
        <f t="shared" si="221"/>
        <v>#DIV/0!</v>
      </c>
      <c r="FP97" s="81" t="e">
        <f t="shared" si="222"/>
        <v>#DIV/0!</v>
      </c>
      <c r="FQ97" s="74" t="e">
        <f t="shared" ca="1" si="125"/>
        <v>#N/A</v>
      </c>
      <c r="FR97" s="82" t="e" vm="3">
        <f t="shared" ca="1" si="131"/>
        <v>#VALUE!</v>
      </c>
      <c r="FS97" s="7" t="e" vm="3">
        <f t="shared" ca="1" si="126"/>
        <v>#VALUE!</v>
      </c>
      <c r="FT97" t="e" vm="3">
        <f t="shared" ca="1" si="120"/>
        <v>#VALUE!</v>
      </c>
      <c r="FU97" s="8" t="e" vm="3">
        <f t="shared" ca="1" si="121"/>
        <v>#VALUE!</v>
      </c>
      <c r="FV97" s="8" t="e" vm="3">
        <f t="shared" ca="1" si="122"/>
        <v>#VALUE!</v>
      </c>
      <c r="FW97" s="81" t="e" vm="3">
        <f t="shared" ca="1" si="123"/>
        <v>#VALUE!</v>
      </c>
      <c r="FX97" s="74" t="e">
        <f t="shared" si="127"/>
        <v>#N/A</v>
      </c>
      <c r="FY97" s="82" t="e">
        <f t="shared" si="132"/>
        <v>#N/A</v>
      </c>
      <c r="FZ97" s="7" t="e">
        <f t="shared" si="128"/>
        <v>#N/A</v>
      </c>
      <c r="GA97" t="e">
        <f t="shared" si="133"/>
        <v>#N/A</v>
      </c>
      <c r="GB97" s="8" t="e">
        <f t="shared" si="134"/>
        <v>#N/A</v>
      </c>
      <c r="GC97" s="8" t="e">
        <f t="shared" si="135"/>
        <v>#N/A</v>
      </c>
      <c r="GD97" s="81" t="e">
        <f t="shared" si="136"/>
        <v>#N/A</v>
      </c>
      <c r="GE97" s="74" t="e">
        <f t="shared" si="137"/>
        <v>#N/A</v>
      </c>
      <c r="GF97" s="82" t="e">
        <f t="shared" si="138"/>
        <v>#N/A</v>
      </c>
      <c r="GG97" s="7" t="e">
        <f t="shared" si="129"/>
        <v>#N/A</v>
      </c>
      <c r="GH97" t="e">
        <f t="shared" si="139"/>
        <v>#N/A</v>
      </c>
      <c r="GI97" s="8" t="e">
        <f t="shared" si="140"/>
        <v>#N/A</v>
      </c>
      <c r="GJ97" s="8" t="e">
        <f t="shared" si="141"/>
        <v>#N/A</v>
      </c>
      <c r="GK97" s="81" t="e">
        <f t="shared" si="142"/>
        <v>#N/A</v>
      </c>
      <c r="GL97" s="81"/>
      <c r="GM97" s="81"/>
      <c r="GP97" s="32">
        <f t="shared" si="187"/>
        <v>87</v>
      </c>
      <c r="GQ97" s="32">
        <f t="shared" si="188"/>
        <v>88</v>
      </c>
      <c r="GR97" s="32">
        <f t="shared" si="189"/>
        <v>-1.0061221461941718</v>
      </c>
      <c r="GS97" s="32">
        <f t="shared" si="190"/>
        <v>0.24048936284820582</v>
      </c>
      <c r="GT97" s="32" t="e">
        <f t="shared" si="191"/>
        <v>#N/A</v>
      </c>
      <c r="GU97" s="32" t="e">
        <f t="shared" si="192"/>
        <v>#N/A</v>
      </c>
      <c r="GV97" s="32" t="e">
        <f t="shared" si="193"/>
        <v>#N/A</v>
      </c>
      <c r="GW97" s="32" t="b">
        <f t="shared" si="194"/>
        <v>0</v>
      </c>
      <c r="GX97" s="32" t="b">
        <f t="shared" si="195"/>
        <v>1</v>
      </c>
      <c r="GY97" s="32" t="b">
        <f t="shared" si="196"/>
        <v>0</v>
      </c>
      <c r="GZ97" s="32" t="b">
        <f t="shared" si="197"/>
        <v>1</v>
      </c>
      <c r="HA97" s="32">
        <f t="shared" si="198"/>
        <v>0.24048936284820582</v>
      </c>
      <c r="HB97" s="32" t="e">
        <f t="shared" si="199"/>
        <v>#N/A</v>
      </c>
      <c r="HC97" s="32">
        <f t="shared" si="200"/>
        <v>0.24048936284820582</v>
      </c>
      <c r="HD97" s="45" t="str">
        <f t="shared" si="201"/>
        <v/>
      </c>
      <c r="HJ97" s="32">
        <f t="shared" si="202"/>
        <v>87</v>
      </c>
      <c r="HK97" s="32">
        <f t="shared" si="203"/>
        <v>88</v>
      </c>
      <c r="HL97" s="32">
        <f t="shared" si="204"/>
        <v>-1.5580012744403873</v>
      </c>
      <c r="HM97" s="32" t="e">
        <f t="shared" si="205"/>
        <v>#N/A</v>
      </c>
      <c r="HN97" s="32">
        <f t="shared" si="206"/>
        <v>0.11702574379435818</v>
      </c>
      <c r="HO97" s="32" t="e">
        <f t="shared" si="207"/>
        <v>#N/A</v>
      </c>
      <c r="HP97" s="32" t="e">
        <f t="shared" si="208"/>
        <v>#N/A</v>
      </c>
      <c r="HQ97" s="32" t="b">
        <f t="shared" si="209"/>
        <v>1</v>
      </c>
      <c r="HR97" s="32" t="b">
        <f t="shared" si="210"/>
        <v>0</v>
      </c>
      <c r="HS97" s="32" t="b">
        <f t="shared" si="211"/>
        <v>0</v>
      </c>
      <c r="HT97" s="32" t="b">
        <f t="shared" si="212"/>
        <v>1</v>
      </c>
      <c r="HU97" s="32">
        <f t="shared" si="213"/>
        <v>0.11702574379435818</v>
      </c>
      <c r="HV97" s="32">
        <f t="shared" si="214"/>
        <v>0.11702574379435818</v>
      </c>
      <c r="HW97" s="32" t="e">
        <f t="shared" si="215"/>
        <v>#N/A</v>
      </c>
      <c r="HX97" s="45" t="str">
        <f t="shared" si="216"/>
        <v/>
      </c>
    </row>
    <row r="98" spans="78:232" x14ac:dyDescent="0.2">
      <c r="BZ98" s="32">
        <f t="shared" si="143"/>
        <v>88</v>
      </c>
      <c r="CA98" s="32">
        <f>Eu_tabel_g[[#This Row],[Indeks]]+1</f>
        <v>89</v>
      </c>
      <c r="CB98" s="32">
        <f t="shared" si="144"/>
        <v>-0.98216685699907247</v>
      </c>
      <c r="CC98" s="32">
        <f t="shared" si="145"/>
        <v>0.24628536360353334</v>
      </c>
      <c r="CD98" s="32" t="e">
        <f t="shared" si="146"/>
        <v>#N/A</v>
      </c>
      <c r="CE98" s="32" t="e">
        <f t="shared" si="147"/>
        <v>#N/A</v>
      </c>
      <c r="CF98" s="32" t="e">
        <f t="shared" si="148"/>
        <v>#N/A</v>
      </c>
      <c r="CG98" s="32" t="b">
        <f t="shared" si="149"/>
        <v>0</v>
      </c>
      <c r="CH98" s="32" t="b">
        <f t="shared" si="150"/>
        <v>1</v>
      </c>
      <c r="CI98" s="32" t="b">
        <f t="shared" si="151"/>
        <v>0</v>
      </c>
      <c r="CJ98" s="32" t="b">
        <f t="shared" si="152"/>
        <v>1</v>
      </c>
      <c r="CK98" s="32">
        <f t="shared" si="217"/>
        <v>0.24628536360353334</v>
      </c>
      <c r="CL98" s="32" t="e">
        <f t="shared" si="153"/>
        <v>#N/A</v>
      </c>
      <c r="CM98" s="32">
        <f t="shared" si="154"/>
        <v>0.24628536360353334</v>
      </c>
      <c r="CN98" s="45" t="str">
        <f t="shared" si="155"/>
        <v/>
      </c>
      <c r="CO98" s="32">
        <f>_xlfn.NORM.DIST(_xlfn.NORM.INV(1-Eu_g_konfidensniveau,0,1)-Eu_tabel_g[[#This Row],[x base]],0,1,TRUE)</f>
        <v>0.25376559238468432</v>
      </c>
      <c r="CP98" s="32">
        <f>1-_xlfn.NORM.DIST(_xlfn.NORM.INV(Eu_g_konfidensniveau,0,1)-Eu_tabel_g[[#This Row],[x base]],0,1,TRUE)</f>
        <v>4.3068074326911843E-3</v>
      </c>
      <c r="CQ98" s="32">
        <f>_xlfn.NORM.DIST(_xlfn.NORM.INV((1-Eu_g_konfidensniveau)/2,0,1)-Eu_tabel_g[[#This Row],[x base]],0,1,TRUE)+1-_xlfn.NORM.DIST(_xlfn.NORM.INV(1-(1-Eu_g_konfidensniveau)/2,0,1)-Eu_tabel_g[[#This Row],[x base]],0,1,TRUE)</f>
        <v>0.16571714685203198</v>
      </c>
      <c r="CR98" s="32" t="e" cm="1">
        <f t="array" ref="CR98">IF($CR$3,INDEX(Eu_tabel_g[[#This Row],[Styrke venstre]:[Styrke tosidet]],CR$7),NA())</f>
        <v>#N/A</v>
      </c>
      <c r="CS98" s="52" t="e">
        <f>Eu_tabel_g[[#This Row],[Falsk positiv
Nulhypotese accepteres
Fejltype 1]]</f>
        <v>#N/A</v>
      </c>
      <c r="CT98" s="52" t="e">
        <f>IF(CHOOSE(CR$7,Eu_tabel_g[[#This Row],[x base]]&gt;0,Eu_tabel_g[[#This Row],[x base]]&lt;0,Eu_tabel_g[[#This Row],[x base]]=0),Eu_tabel_g[[#This Row],[Styrke, aktiv]],NA())</f>
        <v>#N/A</v>
      </c>
      <c r="CU98" s="52" t="e">
        <f>IFERROR(IF($CR$3,Eu_tabel_g[[#This Row],[Styrke, aktiv]],NA()),NA())</f>
        <v>#N/A</v>
      </c>
      <c r="CV98" s="52" t="e">
        <f>IF(ISNA(Eu_tabel_g[[#This Row],[Sand negativ
Nulhypotese afvises
Korrekt]]),NA(),IF($CR$3,1,NA()))</f>
        <v>#N/A</v>
      </c>
      <c r="CW98" s="34" t="str" cm="1">
        <f t="array" ref="CW98">_xlfn.SWITCH(BZ98,_xlfn.IFNA(CU$2,-99),CU$5,_xlfn.IFNA(CU$3,-99),CU$6,_xlfn.IFNA(CU$4,-99),CU$7,"")</f>
        <v/>
      </c>
      <c r="DA98" s="7">
        <f t="shared" si="156"/>
        <v>0.8</v>
      </c>
      <c r="DB98">
        <f>IF(ROW(Styrkeberegning_G[[#This Row],[X base venstre]])=ROW(Styrkeberegning_G[[#Headers],[X base venstre]])+1,DB$7/(DA$7/$B$67),DB97/(DA97/$B$67))</f>
        <v>-2.8015817870135784</v>
      </c>
      <c r="DC98">
        <f>Styrkeberegning_G[[#This Row],[X base venstre]]*-1</f>
        <v>2.8015817870135784</v>
      </c>
      <c r="DN98" s="32">
        <f t="shared" si="157"/>
        <v>88</v>
      </c>
      <c r="DO98" s="32">
        <f t="shared" si="158"/>
        <v>89</v>
      </c>
      <c r="DP98" s="32">
        <f t="shared" si="159"/>
        <v>11.872088029349779</v>
      </c>
      <c r="DQ98" s="32" t="e">
        <f t="shared" si="160"/>
        <v>#N/A</v>
      </c>
      <c r="DR98" s="32" t="e">
        <f t="shared" si="161"/>
        <v>#N/A</v>
      </c>
      <c r="DS98" s="32">
        <f t="shared" si="162"/>
        <v>7.635879813819707E-2</v>
      </c>
      <c r="DT98" s="32" t="e">
        <f t="shared" si="163"/>
        <v>#N/A</v>
      </c>
      <c r="DU98" s="32" t="b">
        <f t="shared" si="164"/>
        <v>0</v>
      </c>
      <c r="DV98" s="32" t="b">
        <f t="shared" si="165"/>
        <v>1</v>
      </c>
      <c r="DW98" s="32" t="b">
        <f t="shared" si="166"/>
        <v>0</v>
      </c>
      <c r="DX98" s="32" t="b">
        <f t="shared" si="167"/>
        <v>1</v>
      </c>
      <c r="DY98" s="32">
        <f t="shared" si="168"/>
        <v>7.635879813819707E-2</v>
      </c>
      <c r="DZ98" s="32" t="e">
        <f t="shared" si="169"/>
        <v>#N/A</v>
      </c>
      <c r="EA98" s="32">
        <f t="shared" si="170"/>
        <v>7.635879813819707E-2</v>
      </c>
      <c r="EB98" s="45" t="str">
        <f t="shared" si="171"/>
        <v/>
      </c>
      <c r="EG98" s="32">
        <f t="shared" si="172"/>
        <v>88</v>
      </c>
      <c r="EH98" s="32">
        <f t="shared" si="173"/>
        <v>89</v>
      </c>
      <c r="EI98" s="32">
        <f t="shared" si="174"/>
        <v>-0.98216685699907247</v>
      </c>
      <c r="EJ98" s="32">
        <f t="shared" si="175"/>
        <v>0.24628536360353334</v>
      </c>
      <c r="EK98" s="32" t="e">
        <f t="shared" si="176"/>
        <v>#N/A</v>
      </c>
      <c r="EL98" s="32" t="e">
        <f t="shared" si="177"/>
        <v>#N/A</v>
      </c>
      <c r="EM98" s="32" t="e">
        <f t="shared" si="178"/>
        <v>#N/A</v>
      </c>
      <c r="EN98" s="32" t="b">
        <f t="shared" si="179"/>
        <v>0</v>
      </c>
      <c r="EO98" s="32" t="b">
        <f t="shared" si="180"/>
        <v>1</v>
      </c>
      <c r="EP98" s="32" t="b">
        <f t="shared" si="181"/>
        <v>0</v>
      </c>
      <c r="EQ98" s="32" t="b">
        <f t="shared" si="182"/>
        <v>1</v>
      </c>
      <c r="ER98" s="32">
        <f t="shared" si="183"/>
        <v>0.24628536360353334</v>
      </c>
      <c r="ES98" s="32" t="e">
        <f t="shared" si="184"/>
        <v>#N/A</v>
      </c>
      <c r="ET98" s="32">
        <f t="shared" si="185"/>
        <v>0.24628536360353334</v>
      </c>
      <c r="EU98" s="45" t="str">
        <f t="shared" si="186"/>
        <v/>
      </c>
      <c r="EV9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8" s="32" t="e" cm="1">
        <f t="array" ref="EY98">IF($CR$3,INDEX(Eu_tabel_a[[#This Row],[Styrke venstre]:[Styrke tosidet]],EY$7),NA())</f>
        <v>#N/A</v>
      </c>
      <c r="EZ98" s="32" t="e">
        <f>IF(EY$3,IF(CHOOSE(EY$7,Eu_tabel_a[[#This Row],[x base]]&gt;0,Eu_tabel_a[[#This Row],[x base]]&lt;0,Eu_tabel_a[[#This Row],[x base]]=0),1,NA()),NA())</f>
        <v>#N/A</v>
      </c>
      <c r="FA98" s="32" t="e">
        <f>IF(CHOOSE(EY$7,Eu_tabel_a[[#This Row],[x base]]&gt;0,Eu_tabel_a[[#This Row],[x base]]&lt;0,Eu_tabel_a[[#This Row],[x base]]=0),Eu_tabel_a[[#This Row],[Styrke, aktiv]],NA())</f>
        <v>#N/A</v>
      </c>
      <c r="FB98" s="32" t="e">
        <f>IFERROR(IF($EY$3,Eu_tabel_a[[#This Row],[Styrke, aktiv]],NA()),NA())</f>
        <v>#N/A</v>
      </c>
      <c r="FC98" s="32" t="e">
        <f>IF(ISNA(Eu_tabel_a[[#This Row],[Sand negativ
Nulhypotese afvises
Korrekt]]),NA(),IF(EY$3,1,NA()))</f>
        <v>#N/A</v>
      </c>
      <c r="FD98" s="33" t="str" cm="1">
        <f t="array" ref="FD98">IFERROR(_xlfn.SWITCH(Eu_tabel_a[[#This Row],[Indeks]],_xlfn.IFNA(FB$2,-99),FB$5,_xlfn.IFNA(FB$3,-99),FB$6,_xlfn.IFNA(FB$4,-99),FB$7,""),"")</f>
        <v/>
      </c>
      <c r="FE98" s="32">
        <f>Eu_tabel_a[[#This Row],[x base]]*SQRT(Eu_a_h0_x*(1-Eu_a_h0_x)/Eu_a_n_x)+Eu_a_h0_x</f>
        <v>0</v>
      </c>
      <c r="FJ98" s="74" t="e">
        <f t="shared" si="130"/>
        <v>#N/A</v>
      </c>
      <c r="FK98" s="82" t="e">
        <f t="shared" si="218"/>
        <v>#DIV/0!</v>
      </c>
      <c r="FL98" s="7" t="e">
        <f t="shared" si="124"/>
        <v>#DIV/0!</v>
      </c>
      <c r="FM98" t="e">
        <f t="shared" si="219"/>
        <v>#DIV/0!</v>
      </c>
      <c r="FN98" s="8" t="e">
        <f t="shared" si="220"/>
        <v>#DIV/0!</v>
      </c>
      <c r="FO98" s="8" t="e">
        <f t="shared" si="221"/>
        <v>#DIV/0!</v>
      </c>
      <c r="FP98" s="81" t="e">
        <f t="shared" si="222"/>
        <v>#DIV/0!</v>
      </c>
      <c r="FQ98" s="74" t="e">
        <f t="shared" ca="1" si="125"/>
        <v>#N/A</v>
      </c>
      <c r="FR98" s="82" t="e" vm="3">
        <f t="shared" ca="1" si="131"/>
        <v>#VALUE!</v>
      </c>
      <c r="FS98" s="7" t="e" vm="3">
        <f t="shared" ca="1" si="126"/>
        <v>#VALUE!</v>
      </c>
      <c r="FT98" t="e" vm="3">
        <f t="shared" ca="1" si="120"/>
        <v>#VALUE!</v>
      </c>
      <c r="FU98" s="8" t="e" vm="3">
        <f t="shared" ca="1" si="121"/>
        <v>#VALUE!</v>
      </c>
      <c r="FV98" s="8" t="e" vm="3">
        <f t="shared" ca="1" si="122"/>
        <v>#VALUE!</v>
      </c>
      <c r="FW98" s="81" t="e" vm="3">
        <f t="shared" ca="1" si="123"/>
        <v>#VALUE!</v>
      </c>
      <c r="FX98" s="74" t="e">
        <f t="shared" si="127"/>
        <v>#N/A</v>
      </c>
      <c r="FY98" s="82" t="e">
        <f t="shared" si="132"/>
        <v>#N/A</v>
      </c>
      <c r="FZ98" s="7" t="e">
        <f t="shared" si="128"/>
        <v>#N/A</v>
      </c>
      <c r="GA98" t="e">
        <f t="shared" si="133"/>
        <v>#N/A</v>
      </c>
      <c r="GB98" s="8" t="e">
        <f t="shared" si="134"/>
        <v>#N/A</v>
      </c>
      <c r="GC98" s="8" t="e">
        <f t="shared" si="135"/>
        <v>#N/A</v>
      </c>
      <c r="GD98" s="81" t="e">
        <f t="shared" si="136"/>
        <v>#N/A</v>
      </c>
      <c r="GE98" s="74" t="e">
        <f t="shared" si="137"/>
        <v>#N/A</v>
      </c>
      <c r="GF98" s="82" t="e">
        <f t="shared" si="138"/>
        <v>#N/A</v>
      </c>
      <c r="GG98" s="7" t="e">
        <f t="shared" si="129"/>
        <v>#N/A</v>
      </c>
      <c r="GH98" t="e">
        <f t="shared" si="139"/>
        <v>#N/A</v>
      </c>
      <c r="GI98" s="8" t="e">
        <f t="shared" si="140"/>
        <v>#N/A</v>
      </c>
      <c r="GJ98" s="8" t="e">
        <f t="shared" si="141"/>
        <v>#N/A</v>
      </c>
      <c r="GK98" s="81" t="e">
        <f t="shared" si="142"/>
        <v>#N/A</v>
      </c>
      <c r="GL98" s="81"/>
      <c r="GM98" s="81"/>
      <c r="GP98" s="32">
        <f t="shared" si="187"/>
        <v>88</v>
      </c>
      <c r="GQ98" s="32">
        <f t="shared" si="188"/>
        <v>89</v>
      </c>
      <c r="GR98" s="32">
        <f t="shared" si="189"/>
        <v>-0.98216685699907247</v>
      </c>
      <c r="GS98" s="32">
        <f t="shared" si="190"/>
        <v>0.24628536360353334</v>
      </c>
      <c r="GT98" s="32" t="e">
        <f t="shared" si="191"/>
        <v>#N/A</v>
      </c>
      <c r="GU98" s="32" t="e">
        <f t="shared" si="192"/>
        <v>#N/A</v>
      </c>
      <c r="GV98" s="32" t="e">
        <f t="shared" si="193"/>
        <v>#N/A</v>
      </c>
      <c r="GW98" s="32" t="b">
        <f t="shared" si="194"/>
        <v>0</v>
      </c>
      <c r="GX98" s="32" t="b">
        <f t="shared" si="195"/>
        <v>1</v>
      </c>
      <c r="GY98" s="32" t="b">
        <f t="shared" si="196"/>
        <v>0</v>
      </c>
      <c r="GZ98" s="32" t="b">
        <f t="shared" si="197"/>
        <v>1</v>
      </c>
      <c r="HA98" s="32">
        <f t="shared" si="198"/>
        <v>0.24628536360353334</v>
      </c>
      <c r="HB98" s="32" t="e">
        <f t="shared" si="199"/>
        <v>#N/A</v>
      </c>
      <c r="HC98" s="32">
        <f t="shared" si="200"/>
        <v>0.24628536360353334</v>
      </c>
      <c r="HD98" s="45" t="str">
        <f t="shared" si="201"/>
        <v/>
      </c>
      <c r="HJ98" s="32">
        <f t="shared" si="202"/>
        <v>88</v>
      </c>
      <c r="HK98" s="32">
        <f t="shared" si="203"/>
        <v>89</v>
      </c>
      <c r="HL98" s="32">
        <f t="shared" si="204"/>
        <v>-1.5209060060013306</v>
      </c>
      <c r="HM98" s="32" t="e">
        <f t="shared" si="205"/>
        <v>#N/A</v>
      </c>
      <c r="HN98" s="32">
        <f t="shared" si="206"/>
        <v>0.12287284294637515</v>
      </c>
      <c r="HO98" s="32" t="e">
        <f t="shared" si="207"/>
        <v>#N/A</v>
      </c>
      <c r="HP98" s="32" t="e">
        <f t="shared" si="208"/>
        <v>#N/A</v>
      </c>
      <c r="HQ98" s="32" t="b">
        <f t="shared" si="209"/>
        <v>1</v>
      </c>
      <c r="HR98" s="32" t="b">
        <f t="shared" si="210"/>
        <v>0</v>
      </c>
      <c r="HS98" s="32" t="b">
        <f t="shared" si="211"/>
        <v>0</v>
      </c>
      <c r="HT98" s="32" t="b">
        <f t="shared" si="212"/>
        <v>1</v>
      </c>
      <c r="HU98" s="32">
        <f t="shared" si="213"/>
        <v>0.12287284294637515</v>
      </c>
      <c r="HV98" s="32">
        <f t="shared" si="214"/>
        <v>0.12287284294637515</v>
      </c>
      <c r="HW98" s="32" t="e">
        <f t="shared" si="215"/>
        <v>#N/A</v>
      </c>
      <c r="HX98" s="45" t="str">
        <f t="shared" si="216"/>
        <v/>
      </c>
    </row>
    <row r="99" spans="78:232" x14ac:dyDescent="0.2">
      <c r="BZ99" s="32">
        <f t="shared" si="143"/>
        <v>89</v>
      </c>
      <c r="CA99" s="32">
        <f>Eu_tabel_g[[#This Row],[Indeks]]+1</f>
        <v>90</v>
      </c>
      <c r="CB99" s="32">
        <f t="shared" si="144"/>
        <v>-0.9582115678039731</v>
      </c>
      <c r="CC99" s="32">
        <f t="shared" si="145"/>
        <v>0.25207635595578487</v>
      </c>
      <c r="CD99" s="32" t="e">
        <f t="shared" si="146"/>
        <v>#N/A</v>
      </c>
      <c r="CE99" s="32" t="e">
        <f t="shared" si="147"/>
        <v>#N/A</v>
      </c>
      <c r="CF99" s="32" t="e">
        <f t="shared" si="148"/>
        <v>#N/A</v>
      </c>
      <c r="CG99" s="32" t="b">
        <f t="shared" si="149"/>
        <v>0</v>
      </c>
      <c r="CH99" s="32" t="b">
        <f t="shared" si="150"/>
        <v>1</v>
      </c>
      <c r="CI99" s="32" t="b">
        <f t="shared" si="151"/>
        <v>0</v>
      </c>
      <c r="CJ99" s="32" t="b">
        <f t="shared" si="152"/>
        <v>1</v>
      </c>
      <c r="CK99" s="32">
        <f t="shared" si="217"/>
        <v>0.25207635595578487</v>
      </c>
      <c r="CL99" s="32" t="e">
        <f t="shared" si="153"/>
        <v>#N/A</v>
      </c>
      <c r="CM99" s="32">
        <f t="shared" si="154"/>
        <v>0.25207635595578487</v>
      </c>
      <c r="CN99" s="45" t="str">
        <f t="shared" si="155"/>
        <v/>
      </c>
      <c r="CO99" s="32">
        <f>_xlfn.NORM.DIST(_xlfn.NORM.INV(1-Eu_g_konfidensniveau,0,1)-Eu_tabel_g[[#This Row],[x base]],0,1,TRUE)</f>
        <v>0.24615415872133867</v>
      </c>
      <c r="CP99" s="32">
        <f>1-_xlfn.NORM.DIST(_xlfn.NORM.INV(Eu_g_konfidensniveau,0,1)-Eu_tabel_g[[#This Row],[x base]],0,1,TRUE)</f>
        <v>4.6197191056137621E-3</v>
      </c>
      <c r="CQ99" s="32">
        <f>_xlfn.NORM.DIST(_xlfn.NORM.INV((1-Eu_g_konfidensniveau)/2,0,1)-Eu_tabel_g[[#This Row],[x base]],0,1,TRUE)+1-_xlfn.NORM.DIST(_xlfn.NORM.INV(1-(1-Eu_g_konfidensniveau)/2,0,1)-Eu_tabel_g[[#This Row],[x base]],0,1,TRUE)</f>
        <v>0.15999202225771347</v>
      </c>
      <c r="CR99" s="32" t="e" cm="1">
        <f t="array" ref="CR99">IF($CR$3,INDEX(Eu_tabel_g[[#This Row],[Styrke venstre]:[Styrke tosidet]],CR$7),NA())</f>
        <v>#N/A</v>
      </c>
      <c r="CS99" s="52" t="e">
        <f>Eu_tabel_g[[#This Row],[Falsk positiv
Nulhypotese accepteres
Fejltype 1]]</f>
        <v>#N/A</v>
      </c>
      <c r="CT99" s="52" t="e">
        <f>IF(CHOOSE(CR$7,Eu_tabel_g[[#This Row],[x base]]&gt;0,Eu_tabel_g[[#This Row],[x base]]&lt;0,Eu_tabel_g[[#This Row],[x base]]=0),Eu_tabel_g[[#This Row],[Styrke, aktiv]],NA())</f>
        <v>#N/A</v>
      </c>
      <c r="CU99" s="52" t="e">
        <f>IFERROR(IF($CR$3,Eu_tabel_g[[#This Row],[Styrke, aktiv]],NA()),NA())</f>
        <v>#N/A</v>
      </c>
      <c r="CV99" s="52" t="e">
        <f>IF(ISNA(Eu_tabel_g[[#This Row],[Sand negativ
Nulhypotese afvises
Korrekt]]),NA(),IF($CR$3,1,NA()))</f>
        <v>#N/A</v>
      </c>
      <c r="CW99" s="34" t="str" cm="1">
        <f t="array" ref="CW99">_xlfn.SWITCH(BZ99,_xlfn.IFNA(CU$2,-99),CU$5,_xlfn.IFNA(CU$3,-99),CU$6,_xlfn.IFNA(CU$4,-99),CU$7,"")</f>
        <v/>
      </c>
      <c r="DA99" s="7">
        <f t="shared" si="156"/>
        <v>0.8</v>
      </c>
      <c r="DB99">
        <f>IF(ROW(Styrkeberegning_G[[#This Row],[X base venstre]])=ROW(Styrkeberegning_G[[#Headers],[X base venstre]])+1,DB$7/(DA$7/$B$67),DB98/(DA98/$B$67))</f>
        <v>-2.8015817870135784</v>
      </c>
      <c r="DC99">
        <f>Styrkeberegning_G[[#This Row],[X base venstre]]*-1</f>
        <v>2.8015817870135784</v>
      </c>
      <c r="DN99" s="32">
        <f t="shared" si="157"/>
        <v>89</v>
      </c>
      <c r="DO99" s="32">
        <f t="shared" si="158"/>
        <v>90</v>
      </c>
      <c r="DP99" s="32">
        <f t="shared" si="159"/>
        <v>11.98615888576678</v>
      </c>
      <c r="DQ99" s="32" t="e">
        <f t="shared" si="160"/>
        <v>#N/A</v>
      </c>
      <c r="DR99" s="32" t="e">
        <f t="shared" si="161"/>
        <v>#N/A</v>
      </c>
      <c r="DS99" s="32">
        <f t="shared" si="162"/>
        <v>7.5296894023195615E-2</v>
      </c>
      <c r="DT99" s="32" t="e">
        <f t="shared" si="163"/>
        <v>#N/A</v>
      </c>
      <c r="DU99" s="32" t="b">
        <f t="shared" si="164"/>
        <v>0</v>
      </c>
      <c r="DV99" s="32" t="b">
        <f t="shared" si="165"/>
        <v>1</v>
      </c>
      <c r="DW99" s="32" t="b">
        <f t="shared" si="166"/>
        <v>0</v>
      </c>
      <c r="DX99" s="32" t="b">
        <f t="shared" si="167"/>
        <v>1</v>
      </c>
      <c r="DY99" s="32">
        <f t="shared" si="168"/>
        <v>7.5296894023195615E-2</v>
      </c>
      <c r="DZ99" s="32" t="e">
        <f t="shared" si="169"/>
        <v>#N/A</v>
      </c>
      <c r="EA99" s="32">
        <f t="shared" si="170"/>
        <v>7.5296894023195615E-2</v>
      </c>
      <c r="EB99" s="45" t="str">
        <f t="shared" si="171"/>
        <v/>
      </c>
      <c r="EG99" s="32">
        <f t="shared" si="172"/>
        <v>89</v>
      </c>
      <c r="EH99" s="32">
        <f t="shared" si="173"/>
        <v>90</v>
      </c>
      <c r="EI99" s="32">
        <f t="shared" si="174"/>
        <v>-0.9582115678039731</v>
      </c>
      <c r="EJ99" s="32">
        <f t="shared" si="175"/>
        <v>0.25207635595578487</v>
      </c>
      <c r="EK99" s="32" t="e">
        <f t="shared" si="176"/>
        <v>#N/A</v>
      </c>
      <c r="EL99" s="32" t="e">
        <f t="shared" si="177"/>
        <v>#N/A</v>
      </c>
      <c r="EM99" s="32" t="e">
        <f t="shared" si="178"/>
        <v>#N/A</v>
      </c>
      <c r="EN99" s="32" t="b">
        <f t="shared" si="179"/>
        <v>0</v>
      </c>
      <c r="EO99" s="32" t="b">
        <f t="shared" si="180"/>
        <v>1</v>
      </c>
      <c r="EP99" s="32" t="b">
        <f t="shared" si="181"/>
        <v>0</v>
      </c>
      <c r="EQ99" s="32" t="b">
        <f t="shared" si="182"/>
        <v>1</v>
      </c>
      <c r="ER99" s="32">
        <f t="shared" si="183"/>
        <v>0.25207635595578487</v>
      </c>
      <c r="ES99" s="32" t="e">
        <f t="shared" si="184"/>
        <v>#N/A</v>
      </c>
      <c r="ET99" s="32">
        <f t="shared" si="185"/>
        <v>0.25207635595578487</v>
      </c>
      <c r="EU99" s="45" t="str">
        <f t="shared" si="186"/>
        <v/>
      </c>
      <c r="EV9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9" s="32" t="e" cm="1">
        <f t="array" ref="EY99">IF($CR$3,INDEX(Eu_tabel_a[[#This Row],[Styrke venstre]:[Styrke tosidet]],EY$7),NA())</f>
        <v>#N/A</v>
      </c>
      <c r="EZ99" s="32" t="e">
        <f>IF(EY$3,IF(CHOOSE(EY$7,Eu_tabel_a[[#This Row],[x base]]&gt;0,Eu_tabel_a[[#This Row],[x base]]&lt;0,Eu_tabel_a[[#This Row],[x base]]=0),1,NA()),NA())</f>
        <v>#N/A</v>
      </c>
      <c r="FA99" s="32" t="e">
        <f>IF(CHOOSE(EY$7,Eu_tabel_a[[#This Row],[x base]]&gt;0,Eu_tabel_a[[#This Row],[x base]]&lt;0,Eu_tabel_a[[#This Row],[x base]]=0),Eu_tabel_a[[#This Row],[Styrke, aktiv]],NA())</f>
        <v>#N/A</v>
      </c>
      <c r="FB99" s="32" t="e">
        <f>IFERROR(IF($EY$3,Eu_tabel_a[[#This Row],[Styrke, aktiv]],NA()),NA())</f>
        <v>#N/A</v>
      </c>
      <c r="FC99" s="32" t="e">
        <f>IF(ISNA(Eu_tabel_a[[#This Row],[Sand negativ
Nulhypotese afvises
Korrekt]]),NA(),IF(EY$3,1,NA()))</f>
        <v>#N/A</v>
      </c>
      <c r="FD99" s="33" t="str" cm="1">
        <f t="array" ref="FD99">IFERROR(_xlfn.SWITCH(Eu_tabel_a[[#This Row],[Indeks]],_xlfn.IFNA(FB$2,-99),FB$5,_xlfn.IFNA(FB$3,-99),FB$6,_xlfn.IFNA(FB$4,-99),FB$7,""),"")</f>
        <v/>
      </c>
      <c r="FE99" s="32">
        <f>Eu_tabel_a[[#This Row],[x base]]*SQRT(Eu_a_h0_x*(1-Eu_a_h0_x)/Eu_a_n_x)+Eu_a_h0_x</f>
        <v>0</v>
      </c>
      <c r="FJ99" s="74" t="e">
        <f t="shared" si="130"/>
        <v>#N/A</v>
      </c>
      <c r="FK99" s="82" t="e">
        <f t="shared" si="218"/>
        <v>#DIV/0!</v>
      </c>
      <c r="FL99" s="7" t="e">
        <f t="shared" si="124"/>
        <v>#DIV/0!</v>
      </c>
      <c r="FM99" t="e">
        <f t="shared" si="219"/>
        <v>#DIV/0!</v>
      </c>
      <c r="FN99" s="8" t="e">
        <f t="shared" si="220"/>
        <v>#DIV/0!</v>
      </c>
      <c r="FO99" s="8" t="e">
        <f t="shared" si="221"/>
        <v>#DIV/0!</v>
      </c>
      <c r="FP99" s="81" t="e">
        <f t="shared" si="222"/>
        <v>#DIV/0!</v>
      </c>
      <c r="FQ99" s="74" t="e">
        <f t="shared" ca="1" si="125"/>
        <v>#N/A</v>
      </c>
      <c r="FR99" s="82" t="e" vm="3">
        <f t="shared" ca="1" si="131"/>
        <v>#VALUE!</v>
      </c>
      <c r="FS99" s="7" t="e" vm="3">
        <f t="shared" ca="1" si="126"/>
        <v>#VALUE!</v>
      </c>
      <c r="FT99" t="e" vm="3">
        <f t="shared" ca="1" si="120"/>
        <v>#VALUE!</v>
      </c>
      <c r="FU99" s="8" t="e" vm="3">
        <f t="shared" ca="1" si="121"/>
        <v>#VALUE!</v>
      </c>
      <c r="FV99" s="8" t="e" vm="3">
        <f t="shared" ca="1" si="122"/>
        <v>#VALUE!</v>
      </c>
      <c r="FW99" s="81" t="e" vm="3">
        <f t="shared" ca="1" si="123"/>
        <v>#VALUE!</v>
      </c>
      <c r="FX99" s="74" t="e">
        <f t="shared" si="127"/>
        <v>#N/A</v>
      </c>
      <c r="FY99" s="82" t="e">
        <f t="shared" si="132"/>
        <v>#N/A</v>
      </c>
      <c r="FZ99" s="7" t="e">
        <f t="shared" si="128"/>
        <v>#N/A</v>
      </c>
      <c r="GA99" t="e">
        <f t="shared" si="133"/>
        <v>#N/A</v>
      </c>
      <c r="GB99" s="8" t="e">
        <f t="shared" si="134"/>
        <v>#N/A</v>
      </c>
      <c r="GC99" s="8" t="e">
        <f t="shared" si="135"/>
        <v>#N/A</v>
      </c>
      <c r="GD99" s="81" t="e">
        <f t="shared" si="136"/>
        <v>#N/A</v>
      </c>
      <c r="GE99" s="74" t="e">
        <f t="shared" si="137"/>
        <v>#N/A</v>
      </c>
      <c r="GF99" s="82" t="e">
        <f t="shared" si="138"/>
        <v>#N/A</v>
      </c>
      <c r="GG99" s="7" t="e">
        <f t="shared" si="129"/>
        <v>#N/A</v>
      </c>
      <c r="GH99" t="e">
        <f t="shared" si="139"/>
        <v>#N/A</v>
      </c>
      <c r="GI99" s="8" t="e">
        <f t="shared" si="140"/>
        <v>#N/A</v>
      </c>
      <c r="GJ99" s="8" t="e">
        <f t="shared" si="141"/>
        <v>#N/A</v>
      </c>
      <c r="GK99" s="81" t="e">
        <f t="shared" si="142"/>
        <v>#N/A</v>
      </c>
      <c r="GL99" s="81"/>
      <c r="GM99" s="81"/>
      <c r="GP99" s="32">
        <f t="shared" si="187"/>
        <v>89</v>
      </c>
      <c r="GQ99" s="32">
        <f t="shared" si="188"/>
        <v>90</v>
      </c>
      <c r="GR99" s="32">
        <f t="shared" si="189"/>
        <v>-0.9582115678039731</v>
      </c>
      <c r="GS99" s="32">
        <f t="shared" si="190"/>
        <v>0.25207635595578487</v>
      </c>
      <c r="GT99" s="32" t="e">
        <f t="shared" si="191"/>
        <v>#N/A</v>
      </c>
      <c r="GU99" s="32" t="e">
        <f t="shared" si="192"/>
        <v>#N/A</v>
      </c>
      <c r="GV99" s="32" t="e">
        <f t="shared" si="193"/>
        <v>#N/A</v>
      </c>
      <c r="GW99" s="32" t="b">
        <f t="shared" si="194"/>
        <v>0</v>
      </c>
      <c r="GX99" s="32" t="b">
        <f t="shared" si="195"/>
        <v>1</v>
      </c>
      <c r="GY99" s="32" t="b">
        <f t="shared" si="196"/>
        <v>0</v>
      </c>
      <c r="GZ99" s="32" t="b">
        <f t="shared" si="197"/>
        <v>1</v>
      </c>
      <c r="HA99" s="32">
        <f t="shared" si="198"/>
        <v>0.25207635595578487</v>
      </c>
      <c r="HB99" s="32" t="e">
        <f t="shared" si="199"/>
        <v>#N/A</v>
      </c>
      <c r="HC99" s="32">
        <f t="shared" si="200"/>
        <v>0.25207635595578487</v>
      </c>
      <c r="HD99" s="45" t="str">
        <f t="shared" si="201"/>
        <v/>
      </c>
      <c r="HJ99" s="32">
        <f t="shared" si="202"/>
        <v>89</v>
      </c>
      <c r="HK99" s="32">
        <f t="shared" si="203"/>
        <v>90</v>
      </c>
      <c r="HL99" s="32">
        <f t="shared" si="204"/>
        <v>-1.4838107375622736</v>
      </c>
      <c r="HM99" s="32" t="e">
        <f t="shared" si="205"/>
        <v>#N/A</v>
      </c>
      <c r="HN99" s="32">
        <f t="shared" si="206"/>
        <v>0.12893536108620499</v>
      </c>
      <c r="HO99" s="32" t="e">
        <f t="shared" si="207"/>
        <v>#N/A</v>
      </c>
      <c r="HP99" s="32" t="e">
        <f t="shared" si="208"/>
        <v>#N/A</v>
      </c>
      <c r="HQ99" s="32" t="b">
        <f t="shared" si="209"/>
        <v>1</v>
      </c>
      <c r="HR99" s="32" t="b">
        <f t="shared" si="210"/>
        <v>0</v>
      </c>
      <c r="HS99" s="32" t="b">
        <f t="shared" si="211"/>
        <v>0</v>
      </c>
      <c r="HT99" s="32" t="b">
        <f t="shared" si="212"/>
        <v>1</v>
      </c>
      <c r="HU99" s="32">
        <f t="shared" si="213"/>
        <v>0.12893536108620499</v>
      </c>
      <c r="HV99" s="32">
        <f t="shared" si="214"/>
        <v>0.12893536108620499</v>
      </c>
      <c r="HW99" s="32" t="e">
        <f t="shared" si="215"/>
        <v>#N/A</v>
      </c>
      <c r="HX99" s="45" t="str">
        <f t="shared" si="216"/>
        <v/>
      </c>
    </row>
    <row r="100" spans="78:232" x14ac:dyDescent="0.2">
      <c r="BZ100" s="32">
        <f t="shared" si="143"/>
        <v>90</v>
      </c>
      <c r="CA100" s="32">
        <f>Eu_tabel_g[[#This Row],[Indeks]]+1</f>
        <v>91</v>
      </c>
      <c r="CB100" s="32">
        <f t="shared" si="144"/>
        <v>-0.93425627860887372</v>
      </c>
      <c r="CC100" s="32">
        <f t="shared" si="145"/>
        <v>0.25785549954028941</v>
      </c>
      <c r="CD100" s="32" t="e">
        <f t="shared" si="146"/>
        <v>#N/A</v>
      </c>
      <c r="CE100" s="32" t="e">
        <f t="shared" si="147"/>
        <v>#N/A</v>
      </c>
      <c r="CF100" s="32" t="e">
        <f t="shared" si="148"/>
        <v>#N/A</v>
      </c>
      <c r="CG100" s="32" t="b">
        <f t="shared" si="149"/>
        <v>0</v>
      </c>
      <c r="CH100" s="32" t="b">
        <f t="shared" si="150"/>
        <v>1</v>
      </c>
      <c r="CI100" s="32" t="b">
        <f t="shared" si="151"/>
        <v>0</v>
      </c>
      <c r="CJ100" s="32" t="b">
        <f t="shared" si="152"/>
        <v>1</v>
      </c>
      <c r="CK100" s="32">
        <f t="shared" si="217"/>
        <v>0.25785549954028941</v>
      </c>
      <c r="CL100" s="32" t="e">
        <f t="shared" si="153"/>
        <v>#N/A</v>
      </c>
      <c r="CM100" s="32">
        <f t="shared" si="154"/>
        <v>0.25785549954028941</v>
      </c>
      <c r="CN100" s="45" t="str">
        <f t="shared" si="155"/>
        <v/>
      </c>
      <c r="CO100" s="32">
        <f>_xlfn.NORM.DIST(_xlfn.NORM.INV(1-Eu_g_konfidensniveau,0,1)-Eu_tabel_g[[#This Row],[x base]],0,1,TRUE)</f>
        <v>0.23866689337442779</v>
      </c>
      <c r="CP100" s="32">
        <f>1-_xlfn.NORM.DIST(_xlfn.NORM.INV(Eu_g_konfidensniveau,0,1)-Eu_tabel_g[[#This Row],[x base]],0,1,TRUE)</f>
        <v>4.9527632854500236E-3</v>
      </c>
      <c r="CQ100" s="32">
        <f>_xlfn.NORM.DIST(_xlfn.NORM.INV((1-Eu_g_konfidensniveau)/2,0,1)-Eu_tabel_g[[#This Row],[x base]],0,1,TRUE)+1-_xlfn.NORM.DIST(_xlfn.NORM.INV(1-(1-Eu_g_konfidensniveau)/2,0,1)-Eu_tabel_g[[#This Row],[x base]],0,1,TRUE)</f>
        <v>0.15441519761232758</v>
      </c>
      <c r="CR100" s="32" t="e" cm="1">
        <f t="array" ref="CR100">IF($CR$3,INDEX(Eu_tabel_g[[#This Row],[Styrke venstre]:[Styrke tosidet]],CR$7),NA())</f>
        <v>#N/A</v>
      </c>
      <c r="CS100" s="52" t="e">
        <f>Eu_tabel_g[[#This Row],[Falsk positiv
Nulhypotese accepteres
Fejltype 1]]</f>
        <v>#N/A</v>
      </c>
      <c r="CT100" s="52" t="e">
        <f>IF(CHOOSE(CR$7,Eu_tabel_g[[#This Row],[x base]]&gt;0,Eu_tabel_g[[#This Row],[x base]]&lt;0,Eu_tabel_g[[#This Row],[x base]]=0),Eu_tabel_g[[#This Row],[Styrke, aktiv]],NA())</f>
        <v>#N/A</v>
      </c>
      <c r="CU100" s="52" t="e">
        <f>IFERROR(IF($CR$3,Eu_tabel_g[[#This Row],[Styrke, aktiv]],NA()),NA())</f>
        <v>#N/A</v>
      </c>
      <c r="CV100" s="52" t="e">
        <f>IF(ISNA(Eu_tabel_g[[#This Row],[Sand negativ
Nulhypotese afvises
Korrekt]]),NA(),IF($CR$3,1,NA()))</f>
        <v>#N/A</v>
      </c>
      <c r="CW100" s="34" t="str" cm="1">
        <f t="array" ref="CW100">_xlfn.SWITCH(BZ100,_xlfn.IFNA(CU$2,-99),CU$5,_xlfn.IFNA(CU$3,-99),CU$6,_xlfn.IFNA(CU$4,-99),CU$7,"")</f>
        <v/>
      </c>
      <c r="DA100" s="7">
        <f t="shared" si="156"/>
        <v>0.8</v>
      </c>
      <c r="DB100">
        <f>IF(ROW(Styrkeberegning_G[[#This Row],[X base venstre]])=ROW(Styrkeberegning_G[[#Headers],[X base venstre]])+1,DB$7/(DA$7/$B$67),DB99/(DA99/$B$67))</f>
        <v>-2.8015817870135784</v>
      </c>
      <c r="DC100">
        <f>Styrkeberegning_G[[#This Row],[X base venstre]]*-1</f>
        <v>2.8015817870135784</v>
      </c>
      <c r="DN100" s="32">
        <f t="shared" si="157"/>
        <v>90</v>
      </c>
      <c r="DO100" s="32">
        <f t="shared" si="158"/>
        <v>91</v>
      </c>
      <c r="DP100" s="32">
        <f t="shared" si="159"/>
        <v>12.10022974218378</v>
      </c>
      <c r="DQ100" s="32" t="e">
        <f t="shared" si="160"/>
        <v>#N/A</v>
      </c>
      <c r="DR100" s="32" t="e">
        <f t="shared" si="161"/>
        <v>#N/A</v>
      </c>
      <c r="DS100" s="32">
        <f t="shared" si="162"/>
        <v>7.4219500409672207E-2</v>
      </c>
      <c r="DT100" s="32" t="e">
        <f t="shared" si="163"/>
        <v>#N/A</v>
      </c>
      <c r="DU100" s="32" t="b">
        <f t="shared" si="164"/>
        <v>0</v>
      </c>
      <c r="DV100" s="32" t="b">
        <f t="shared" si="165"/>
        <v>1</v>
      </c>
      <c r="DW100" s="32" t="b">
        <f t="shared" si="166"/>
        <v>0</v>
      </c>
      <c r="DX100" s="32" t="b">
        <f t="shared" si="167"/>
        <v>1</v>
      </c>
      <c r="DY100" s="32">
        <f t="shared" si="168"/>
        <v>7.4219500409672207E-2</v>
      </c>
      <c r="DZ100" s="32" t="e">
        <f t="shared" si="169"/>
        <v>#N/A</v>
      </c>
      <c r="EA100" s="32">
        <f t="shared" si="170"/>
        <v>7.4219500409672207E-2</v>
      </c>
      <c r="EB100" s="45" t="str">
        <f t="shared" si="171"/>
        <v/>
      </c>
      <c r="EG100" s="32">
        <f t="shared" si="172"/>
        <v>90</v>
      </c>
      <c r="EH100" s="32">
        <f t="shared" si="173"/>
        <v>91</v>
      </c>
      <c r="EI100" s="32">
        <f t="shared" si="174"/>
        <v>-0.93425627860887372</v>
      </c>
      <c r="EJ100" s="32">
        <f t="shared" si="175"/>
        <v>0.25785549954028941</v>
      </c>
      <c r="EK100" s="32" t="e">
        <f t="shared" si="176"/>
        <v>#N/A</v>
      </c>
      <c r="EL100" s="32" t="e">
        <f t="shared" si="177"/>
        <v>#N/A</v>
      </c>
      <c r="EM100" s="32" t="e">
        <f t="shared" si="178"/>
        <v>#N/A</v>
      </c>
      <c r="EN100" s="32" t="b">
        <f t="shared" si="179"/>
        <v>0</v>
      </c>
      <c r="EO100" s="32" t="b">
        <f t="shared" si="180"/>
        <v>1</v>
      </c>
      <c r="EP100" s="32" t="b">
        <f t="shared" si="181"/>
        <v>0</v>
      </c>
      <c r="EQ100" s="32" t="b">
        <f t="shared" si="182"/>
        <v>1</v>
      </c>
      <c r="ER100" s="32">
        <f t="shared" si="183"/>
        <v>0.25785549954028941</v>
      </c>
      <c r="ES100" s="32" t="e">
        <f t="shared" si="184"/>
        <v>#N/A</v>
      </c>
      <c r="ET100" s="32">
        <f t="shared" si="185"/>
        <v>0.25785549954028941</v>
      </c>
      <c r="EU100" s="45" t="str">
        <f t="shared" si="186"/>
        <v/>
      </c>
      <c r="EV10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0" s="32" t="e" cm="1">
        <f t="array" ref="EY100">IF($CR$3,INDEX(Eu_tabel_a[[#This Row],[Styrke venstre]:[Styrke tosidet]],EY$7),NA())</f>
        <v>#N/A</v>
      </c>
      <c r="EZ100" s="32" t="e">
        <f>IF(EY$3,IF(CHOOSE(EY$7,Eu_tabel_a[[#This Row],[x base]]&gt;0,Eu_tabel_a[[#This Row],[x base]]&lt;0,Eu_tabel_a[[#This Row],[x base]]=0),1,NA()),NA())</f>
        <v>#N/A</v>
      </c>
      <c r="FA100" s="32" t="e">
        <f>IF(CHOOSE(EY$7,Eu_tabel_a[[#This Row],[x base]]&gt;0,Eu_tabel_a[[#This Row],[x base]]&lt;0,Eu_tabel_a[[#This Row],[x base]]=0),Eu_tabel_a[[#This Row],[Styrke, aktiv]],NA())</f>
        <v>#N/A</v>
      </c>
      <c r="FB100" s="32" t="e">
        <f>IFERROR(IF($EY$3,Eu_tabel_a[[#This Row],[Styrke, aktiv]],NA()),NA())</f>
        <v>#N/A</v>
      </c>
      <c r="FC100" s="32" t="e">
        <f>IF(ISNA(Eu_tabel_a[[#This Row],[Sand negativ
Nulhypotese afvises
Korrekt]]),NA(),IF(EY$3,1,NA()))</f>
        <v>#N/A</v>
      </c>
      <c r="FD100" s="33" t="str" cm="1">
        <f t="array" ref="FD100">IFERROR(_xlfn.SWITCH(Eu_tabel_a[[#This Row],[Indeks]],_xlfn.IFNA(FB$2,-99),FB$5,_xlfn.IFNA(FB$3,-99),FB$6,_xlfn.IFNA(FB$4,-99),FB$7,""),"")</f>
        <v/>
      </c>
      <c r="FE100" s="32">
        <f>Eu_tabel_a[[#This Row],[x base]]*SQRT(Eu_a_h0_x*(1-Eu_a_h0_x)/Eu_a_n_x)+Eu_a_h0_x</f>
        <v>0</v>
      </c>
      <c r="FJ100" s="74" t="e">
        <f t="shared" si="130"/>
        <v>#N/A</v>
      </c>
      <c r="FK100" s="82" t="e">
        <f t="shared" si="218"/>
        <v>#DIV/0!</v>
      </c>
      <c r="FL100" s="7" t="e">
        <f t="shared" si="124"/>
        <v>#DIV/0!</v>
      </c>
      <c r="FM100" t="e">
        <f t="shared" si="219"/>
        <v>#DIV/0!</v>
      </c>
      <c r="FN100" s="8" t="e">
        <f t="shared" si="220"/>
        <v>#DIV/0!</v>
      </c>
      <c r="FO100" s="8" t="e">
        <f t="shared" si="221"/>
        <v>#DIV/0!</v>
      </c>
      <c r="FP100" s="81" t="e">
        <f t="shared" si="222"/>
        <v>#DIV/0!</v>
      </c>
      <c r="FQ100" s="74" t="e">
        <f t="shared" ca="1" si="125"/>
        <v>#N/A</v>
      </c>
      <c r="FR100" s="82" t="e" vm="3">
        <f t="shared" ca="1" si="131"/>
        <v>#VALUE!</v>
      </c>
      <c r="FS100" s="7" t="e" vm="3">
        <f t="shared" ca="1" si="126"/>
        <v>#VALUE!</v>
      </c>
      <c r="FT100" t="e" vm="3">
        <f t="shared" ca="1" si="120"/>
        <v>#VALUE!</v>
      </c>
      <c r="FU100" s="8" t="e" vm="3">
        <f t="shared" ca="1" si="121"/>
        <v>#VALUE!</v>
      </c>
      <c r="FV100" s="8" t="e" vm="3">
        <f t="shared" ca="1" si="122"/>
        <v>#VALUE!</v>
      </c>
      <c r="FW100" s="81" t="e" vm="3">
        <f t="shared" ca="1" si="123"/>
        <v>#VALUE!</v>
      </c>
      <c r="FX100" s="74" t="e">
        <f t="shared" si="127"/>
        <v>#N/A</v>
      </c>
      <c r="FY100" s="82" t="e">
        <f t="shared" si="132"/>
        <v>#N/A</v>
      </c>
      <c r="FZ100" s="7" t="e">
        <f t="shared" si="128"/>
        <v>#N/A</v>
      </c>
      <c r="GA100" t="e">
        <f t="shared" si="133"/>
        <v>#N/A</v>
      </c>
      <c r="GB100" s="8" t="e">
        <f t="shared" si="134"/>
        <v>#N/A</v>
      </c>
      <c r="GC100" s="8" t="e">
        <f t="shared" si="135"/>
        <v>#N/A</v>
      </c>
      <c r="GD100" s="81" t="e">
        <f t="shared" si="136"/>
        <v>#N/A</v>
      </c>
      <c r="GE100" s="74" t="e">
        <f t="shared" si="137"/>
        <v>#N/A</v>
      </c>
      <c r="GF100" s="82" t="e">
        <f t="shared" si="138"/>
        <v>#N/A</v>
      </c>
      <c r="GG100" s="7" t="e">
        <f t="shared" si="129"/>
        <v>#N/A</v>
      </c>
      <c r="GH100" t="e">
        <f t="shared" si="139"/>
        <v>#N/A</v>
      </c>
      <c r="GI100" s="8" t="e">
        <f t="shared" si="140"/>
        <v>#N/A</v>
      </c>
      <c r="GJ100" s="8" t="e">
        <f t="shared" si="141"/>
        <v>#N/A</v>
      </c>
      <c r="GK100" s="81" t="e">
        <f t="shared" si="142"/>
        <v>#N/A</v>
      </c>
      <c r="GL100" s="81"/>
      <c r="GM100" s="81"/>
      <c r="GP100" s="32">
        <f t="shared" si="187"/>
        <v>90</v>
      </c>
      <c r="GQ100" s="32">
        <f t="shared" si="188"/>
        <v>91</v>
      </c>
      <c r="GR100" s="32">
        <f t="shared" si="189"/>
        <v>-0.93425627860887372</v>
      </c>
      <c r="GS100" s="32">
        <f t="shared" si="190"/>
        <v>0.25785549954028941</v>
      </c>
      <c r="GT100" s="32" t="e">
        <f t="shared" si="191"/>
        <v>#N/A</v>
      </c>
      <c r="GU100" s="32" t="e">
        <f t="shared" si="192"/>
        <v>#N/A</v>
      </c>
      <c r="GV100" s="32" t="e">
        <f t="shared" si="193"/>
        <v>#N/A</v>
      </c>
      <c r="GW100" s="32" t="b">
        <f t="shared" si="194"/>
        <v>0</v>
      </c>
      <c r="GX100" s="32" t="b">
        <f t="shared" si="195"/>
        <v>1</v>
      </c>
      <c r="GY100" s="32" t="b">
        <f t="shared" si="196"/>
        <v>0</v>
      </c>
      <c r="GZ100" s="32" t="b">
        <f t="shared" si="197"/>
        <v>1</v>
      </c>
      <c r="HA100" s="32">
        <f t="shared" si="198"/>
        <v>0.25785549954028941</v>
      </c>
      <c r="HB100" s="32" t="e">
        <f t="shared" si="199"/>
        <v>#N/A</v>
      </c>
      <c r="HC100" s="32">
        <f t="shared" si="200"/>
        <v>0.25785549954028941</v>
      </c>
      <c r="HD100" s="45" t="str">
        <f t="shared" si="201"/>
        <v/>
      </c>
      <c r="HJ100" s="32">
        <f t="shared" si="202"/>
        <v>90</v>
      </c>
      <c r="HK100" s="32">
        <f t="shared" si="203"/>
        <v>91</v>
      </c>
      <c r="HL100" s="32">
        <f t="shared" si="204"/>
        <v>-1.4467154691232169</v>
      </c>
      <c r="HM100" s="32" t="e">
        <f t="shared" si="205"/>
        <v>#N/A</v>
      </c>
      <c r="HN100" s="32">
        <f t="shared" si="206"/>
        <v>0.13521261842852653</v>
      </c>
      <c r="HO100" s="32" t="e">
        <f t="shared" si="207"/>
        <v>#N/A</v>
      </c>
      <c r="HP100" s="32" t="e">
        <f t="shared" si="208"/>
        <v>#N/A</v>
      </c>
      <c r="HQ100" s="32" t="b">
        <f t="shared" si="209"/>
        <v>1</v>
      </c>
      <c r="HR100" s="32" t="b">
        <f t="shared" si="210"/>
        <v>0</v>
      </c>
      <c r="HS100" s="32" t="b">
        <f t="shared" si="211"/>
        <v>0</v>
      </c>
      <c r="HT100" s="32" t="b">
        <f t="shared" si="212"/>
        <v>1</v>
      </c>
      <c r="HU100" s="32">
        <f t="shared" si="213"/>
        <v>0.13521261842852653</v>
      </c>
      <c r="HV100" s="32">
        <f t="shared" si="214"/>
        <v>0.13521261842852653</v>
      </c>
      <c r="HW100" s="32" t="e">
        <f t="shared" si="215"/>
        <v>#N/A</v>
      </c>
      <c r="HX100" s="45" t="str">
        <f t="shared" si="216"/>
        <v/>
      </c>
    </row>
    <row r="101" spans="78:232" x14ac:dyDescent="0.2">
      <c r="BZ101" s="32">
        <f t="shared" si="143"/>
        <v>91</v>
      </c>
      <c r="CA101" s="32">
        <f>Eu_tabel_g[[#This Row],[Indeks]]+1</f>
        <v>92</v>
      </c>
      <c r="CB101" s="32">
        <f t="shared" si="144"/>
        <v>-0.91030098941377435</v>
      </c>
      <c r="CC101" s="32">
        <f t="shared" si="145"/>
        <v>0.26361581581156529</v>
      </c>
      <c r="CD101" s="32" t="e">
        <f t="shared" si="146"/>
        <v>#N/A</v>
      </c>
      <c r="CE101" s="32" t="e">
        <f t="shared" si="147"/>
        <v>#N/A</v>
      </c>
      <c r="CF101" s="32" t="e">
        <f t="shared" si="148"/>
        <v>#N/A</v>
      </c>
      <c r="CG101" s="32" t="b">
        <f t="shared" si="149"/>
        <v>0</v>
      </c>
      <c r="CH101" s="32" t="b">
        <f t="shared" si="150"/>
        <v>1</v>
      </c>
      <c r="CI101" s="32" t="b">
        <f t="shared" si="151"/>
        <v>0</v>
      </c>
      <c r="CJ101" s="32" t="b">
        <f t="shared" si="152"/>
        <v>1</v>
      </c>
      <c r="CK101" s="32">
        <f t="shared" si="217"/>
        <v>0.26361581581156529</v>
      </c>
      <c r="CL101" s="32" t="e">
        <f t="shared" si="153"/>
        <v>#N/A</v>
      </c>
      <c r="CM101" s="32">
        <f t="shared" si="154"/>
        <v>0.26361581581156529</v>
      </c>
      <c r="CN101" s="45" t="str">
        <f t="shared" si="155"/>
        <v/>
      </c>
      <c r="CO101" s="32">
        <f>_xlfn.NORM.DIST(_xlfn.NORM.INV(1-Eu_g_konfidensniveau,0,1)-Eu_tabel_g[[#This Row],[x base]],0,1,TRUE)</f>
        <v>0.23130599584174627</v>
      </c>
      <c r="CP101" s="32">
        <f>1-_xlfn.NORM.DIST(_xlfn.NORM.INV(Eu_g_konfidensniveau,0,1)-Eu_tabel_g[[#This Row],[x base]],0,1,TRUE)</f>
        <v>5.3070319351234962E-3</v>
      </c>
      <c r="CQ101" s="32">
        <f>_xlfn.NORM.DIST(_xlfn.NORM.INV((1-Eu_g_konfidensniveau)/2,0,1)-Eu_tabel_g[[#This Row],[x base]],0,1,TRUE)+1-_xlfn.NORM.DIST(_xlfn.NORM.INV(1-(1-Eu_g_konfidensniveau)/2,0,1)-Eu_tabel_g[[#This Row],[x base]],0,1,TRUE)</f>
        <v>0.1489871812732273</v>
      </c>
      <c r="CR101" s="32" t="e" cm="1">
        <f t="array" ref="CR101">IF($CR$3,INDEX(Eu_tabel_g[[#This Row],[Styrke venstre]:[Styrke tosidet]],CR$7),NA())</f>
        <v>#N/A</v>
      </c>
      <c r="CS101" s="52" t="e">
        <f>Eu_tabel_g[[#This Row],[Falsk positiv
Nulhypotese accepteres
Fejltype 1]]</f>
        <v>#N/A</v>
      </c>
      <c r="CT101" s="52" t="e">
        <f>IF(CHOOSE(CR$7,Eu_tabel_g[[#This Row],[x base]]&gt;0,Eu_tabel_g[[#This Row],[x base]]&lt;0,Eu_tabel_g[[#This Row],[x base]]=0),Eu_tabel_g[[#This Row],[Styrke, aktiv]],NA())</f>
        <v>#N/A</v>
      </c>
      <c r="CU101" s="52" t="e">
        <f>IFERROR(IF($CR$3,Eu_tabel_g[[#This Row],[Styrke, aktiv]],NA()),NA())</f>
        <v>#N/A</v>
      </c>
      <c r="CV101" s="52" t="e">
        <f>IF(ISNA(Eu_tabel_g[[#This Row],[Sand negativ
Nulhypotese afvises
Korrekt]]),NA(),IF($CR$3,1,NA()))</f>
        <v>#N/A</v>
      </c>
      <c r="CW101" s="34" t="str" cm="1">
        <f t="array" ref="CW101">_xlfn.SWITCH(BZ101,_xlfn.IFNA(CU$2,-99),CU$5,_xlfn.IFNA(CU$3,-99),CU$6,_xlfn.IFNA(CU$4,-99),CU$7,"")</f>
        <v/>
      </c>
      <c r="DA101" s="7">
        <f t="shared" si="156"/>
        <v>0.8</v>
      </c>
      <c r="DB101">
        <f>IF(ROW(Styrkeberegning_G[[#This Row],[X base venstre]])=ROW(Styrkeberegning_G[[#Headers],[X base venstre]])+1,DB$7/(DA$7/$B$67),DB100/(DA100/$B$67))</f>
        <v>-2.8015817870135784</v>
      </c>
      <c r="DC101">
        <f>Styrkeberegning_G[[#This Row],[X base venstre]]*-1</f>
        <v>2.8015817870135784</v>
      </c>
      <c r="DN101" s="32">
        <f t="shared" si="157"/>
        <v>91</v>
      </c>
      <c r="DO101" s="32">
        <f t="shared" si="158"/>
        <v>92</v>
      </c>
      <c r="DP101" s="32">
        <f t="shared" si="159"/>
        <v>12.214300598600781</v>
      </c>
      <c r="DQ101" s="32" t="e">
        <f t="shared" si="160"/>
        <v>#N/A</v>
      </c>
      <c r="DR101" s="32" t="e">
        <f t="shared" si="161"/>
        <v>#N/A</v>
      </c>
      <c r="DS101" s="32">
        <f t="shared" si="162"/>
        <v>7.3128270085369887E-2</v>
      </c>
      <c r="DT101" s="32" t="e">
        <f t="shared" si="163"/>
        <v>#N/A</v>
      </c>
      <c r="DU101" s="32" t="b">
        <f t="shared" si="164"/>
        <v>0</v>
      </c>
      <c r="DV101" s="32" t="b">
        <f t="shared" si="165"/>
        <v>1</v>
      </c>
      <c r="DW101" s="32" t="b">
        <f t="shared" si="166"/>
        <v>0</v>
      </c>
      <c r="DX101" s="32" t="b">
        <f t="shared" si="167"/>
        <v>1</v>
      </c>
      <c r="DY101" s="32">
        <f t="shared" si="168"/>
        <v>7.3128270085369887E-2</v>
      </c>
      <c r="DZ101" s="32" t="e">
        <f t="shared" si="169"/>
        <v>#N/A</v>
      </c>
      <c r="EA101" s="32">
        <f t="shared" si="170"/>
        <v>7.3128270085369887E-2</v>
      </c>
      <c r="EB101" s="45" t="str">
        <f t="shared" si="171"/>
        <v/>
      </c>
      <c r="EG101" s="32">
        <f t="shared" si="172"/>
        <v>91</v>
      </c>
      <c r="EH101" s="32">
        <f t="shared" si="173"/>
        <v>92</v>
      </c>
      <c r="EI101" s="32">
        <f t="shared" si="174"/>
        <v>-0.91030098941377435</v>
      </c>
      <c r="EJ101" s="32">
        <f t="shared" si="175"/>
        <v>0.26361581581156529</v>
      </c>
      <c r="EK101" s="32" t="e">
        <f t="shared" si="176"/>
        <v>#N/A</v>
      </c>
      <c r="EL101" s="32" t="e">
        <f t="shared" si="177"/>
        <v>#N/A</v>
      </c>
      <c r="EM101" s="32" t="e">
        <f t="shared" si="178"/>
        <v>#N/A</v>
      </c>
      <c r="EN101" s="32" t="b">
        <f t="shared" si="179"/>
        <v>0</v>
      </c>
      <c r="EO101" s="32" t="b">
        <f t="shared" si="180"/>
        <v>1</v>
      </c>
      <c r="EP101" s="32" t="b">
        <f t="shared" si="181"/>
        <v>0</v>
      </c>
      <c r="EQ101" s="32" t="b">
        <f t="shared" si="182"/>
        <v>1</v>
      </c>
      <c r="ER101" s="32">
        <f t="shared" si="183"/>
        <v>0.26361581581156529</v>
      </c>
      <c r="ES101" s="32" t="e">
        <f t="shared" si="184"/>
        <v>#N/A</v>
      </c>
      <c r="ET101" s="32">
        <f t="shared" si="185"/>
        <v>0.26361581581156529</v>
      </c>
      <c r="EU101" s="45" t="str">
        <f t="shared" si="186"/>
        <v/>
      </c>
      <c r="EV10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1" s="32" t="e" cm="1">
        <f t="array" ref="EY101">IF($CR$3,INDEX(Eu_tabel_a[[#This Row],[Styrke venstre]:[Styrke tosidet]],EY$7),NA())</f>
        <v>#N/A</v>
      </c>
      <c r="EZ101" s="32" t="e">
        <f>IF(EY$3,IF(CHOOSE(EY$7,Eu_tabel_a[[#This Row],[x base]]&gt;0,Eu_tabel_a[[#This Row],[x base]]&lt;0,Eu_tabel_a[[#This Row],[x base]]=0),1,NA()),NA())</f>
        <v>#N/A</v>
      </c>
      <c r="FA101" s="32" t="e">
        <f>IF(CHOOSE(EY$7,Eu_tabel_a[[#This Row],[x base]]&gt;0,Eu_tabel_a[[#This Row],[x base]]&lt;0,Eu_tabel_a[[#This Row],[x base]]=0),Eu_tabel_a[[#This Row],[Styrke, aktiv]],NA())</f>
        <v>#N/A</v>
      </c>
      <c r="FB101" s="32" t="e">
        <f>IFERROR(IF($EY$3,Eu_tabel_a[[#This Row],[Styrke, aktiv]],NA()),NA())</f>
        <v>#N/A</v>
      </c>
      <c r="FC101" s="32" t="e">
        <f>IF(ISNA(Eu_tabel_a[[#This Row],[Sand negativ
Nulhypotese afvises
Korrekt]]),NA(),IF(EY$3,1,NA()))</f>
        <v>#N/A</v>
      </c>
      <c r="FD101" s="33" t="str" cm="1">
        <f t="array" ref="FD101">IFERROR(_xlfn.SWITCH(Eu_tabel_a[[#This Row],[Indeks]],_xlfn.IFNA(FB$2,-99),FB$5,_xlfn.IFNA(FB$3,-99),FB$6,_xlfn.IFNA(FB$4,-99),FB$7,""),"")</f>
        <v/>
      </c>
      <c r="FE101" s="32">
        <f>Eu_tabel_a[[#This Row],[x base]]*SQRT(Eu_a_h0_x*(1-Eu_a_h0_x)/Eu_a_n_x)+Eu_a_h0_x</f>
        <v>0</v>
      </c>
      <c r="FJ101" s="74" t="e">
        <f t="shared" si="130"/>
        <v>#N/A</v>
      </c>
      <c r="FK101" s="82" t="e">
        <f t="shared" si="218"/>
        <v>#DIV/0!</v>
      </c>
      <c r="FL101" s="7" t="e">
        <f t="shared" si="124"/>
        <v>#DIV/0!</v>
      </c>
      <c r="FM101" t="e">
        <f t="shared" si="219"/>
        <v>#DIV/0!</v>
      </c>
      <c r="FN101" s="8" t="e">
        <f t="shared" si="220"/>
        <v>#DIV/0!</v>
      </c>
      <c r="FO101" s="8" t="e">
        <f t="shared" si="221"/>
        <v>#DIV/0!</v>
      </c>
      <c r="FP101" s="81" t="e">
        <f t="shared" si="222"/>
        <v>#DIV/0!</v>
      </c>
      <c r="FQ101" s="74" t="e">
        <f t="shared" ca="1" si="125"/>
        <v>#N/A</v>
      </c>
      <c r="FR101" s="82" t="e" vm="3">
        <f t="shared" ca="1" si="131"/>
        <v>#VALUE!</v>
      </c>
      <c r="FS101" s="7" t="e" vm="3">
        <f t="shared" ca="1" si="126"/>
        <v>#VALUE!</v>
      </c>
      <c r="FT101" t="e" vm="3">
        <f t="shared" ca="1" si="120"/>
        <v>#VALUE!</v>
      </c>
      <c r="FU101" s="8" t="e" vm="3">
        <f t="shared" ca="1" si="121"/>
        <v>#VALUE!</v>
      </c>
      <c r="FV101" s="8" t="e" vm="3">
        <f t="shared" ca="1" si="122"/>
        <v>#VALUE!</v>
      </c>
      <c r="FW101" s="81" t="e" vm="3">
        <f t="shared" ca="1" si="123"/>
        <v>#VALUE!</v>
      </c>
      <c r="FX101" s="74" t="e">
        <f t="shared" si="127"/>
        <v>#N/A</v>
      </c>
      <c r="FY101" s="82" t="e">
        <f t="shared" si="132"/>
        <v>#N/A</v>
      </c>
      <c r="FZ101" s="7" t="e">
        <f t="shared" si="128"/>
        <v>#N/A</v>
      </c>
      <c r="GA101" t="e">
        <f t="shared" si="133"/>
        <v>#N/A</v>
      </c>
      <c r="GB101" s="8" t="e">
        <f t="shared" si="134"/>
        <v>#N/A</v>
      </c>
      <c r="GC101" s="8" t="e">
        <f t="shared" si="135"/>
        <v>#N/A</v>
      </c>
      <c r="GD101" s="81" t="e">
        <f t="shared" si="136"/>
        <v>#N/A</v>
      </c>
      <c r="GE101" s="74" t="e">
        <f t="shared" si="137"/>
        <v>#N/A</v>
      </c>
      <c r="GF101" s="82" t="e">
        <f t="shared" si="138"/>
        <v>#N/A</v>
      </c>
      <c r="GG101" s="7" t="e">
        <f t="shared" si="129"/>
        <v>#N/A</v>
      </c>
      <c r="GH101" t="e">
        <f t="shared" si="139"/>
        <v>#N/A</v>
      </c>
      <c r="GI101" s="8" t="e">
        <f t="shared" si="140"/>
        <v>#N/A</v>
      </c>
      <c r="GJ101" s="8" t="e">
        <f t="shared" si="141"/>
        <v>#N/A</v>
      </c>
      <c r="GK101" s="81" t="e">
        <f t="shared" si="142"/>
        <v>#N/A</v>
      </c>
      <c r="GL101" s="81"/>
      <c r="GM101" s="81"/>
      <c r="GP101" s="32">
        <f t="shared" si="187"/>
        <v>91</v>
      </c>
      <c r="GQ101" s="32">
        <f t="shared" si="188"/>
        <v>92</v>
      </c>
      <c r="GR101" s="32">
        <f t="shared" si="189"/>
        <v>-0.91030098941377435</v>
      </c>
      <c r="GS101" s="32">
        <f t="shared" si="190"/>
        <v>0.26361581581156529</v>
      </c>
      <c r="GT101" s="32" t="e">
        <f t="shared" si="191"/>
        <v>#N/A</v>
      </c>
      <c r="GU101" s="32" t="e">
        <f t="shared" si="192"/>
        <v>#N/A</v>
      </c>
      <c r="GV101" s="32" t="e">
        <f t="shared" si="193"/>
        <v>#N/A</v>
      </c>
      <c r="GW101" s="32" t="b">
        <f t="shared" si="194"/>
        <v>0</v>
      </c>
      <c r="GX101" s="32" t="b">
        <f t="shared" si="195"/>
        <v>1</v>
      </c>
      <c r="GY101" s="32" t="b">
        <f t="shared" si="196"/>
        <v>0</v>
      </c>
      <c r="GZ101" s="32" t="b">
        <f t="shared" si="197"/>
        <v>1</v>
      </c>
      <c r="HA101" s="32">
        <f t="shared" si="198"/>
        <v>0.26361581581156529</v>
      </c>
      <c r="HB101" s="32" t="e">
        <f t="shared" si="199"/>
        <v>#N/A</v>
      </c>
      <c r="HC101" s="32">
        <f t="shared" si="200"/>
        <v>0.26361581581156529</v>
      </c>
      <c r="HD101" s="45" t="str">
        <f t="shared" si="201"/>
        <v/>
      </c>
      <c r="HJ101" s="32">
        <f t="shared" si="202"/>
        <v>91</v>
      </c>
      <c r="HK101" s="32">
        <f t="shared" si="203"/>
        <v>92</v>
      </c>
      <c r="HL101" s="32">
        <f t="shared" si="204"/>
        <v>-1.4096202006841598</v>
      </c>
      <c r="HM101" s="32" t="e">
        <f t="shared" si="205"/>
        <v>#N/A</v>
      </c>
      <c r="HN101" s="32">
        <f t="shared" si="206"/>
        <v>0.14170287181765592</v>
      </c>
      <c r="HO101" s="32" t="e">
        <f t="shared" si="207"/>
        <v>#N/A</v>
      </c>
      <c r="HP101" s="32" t="e">
        <f t="shared" si="208"/>
        <v>#N/A</v>
      </c>
      <c r="HQ101" s="32" t="b">
        <f t="shared" si="209"/>
        <v>1</v>
      </c>
      <c r="HR101" s="32" t="b">
        <f t="shared" si="210"/>
        <v>0</v>
      </c>
      <c r="HS101" s="32" t="b">
        <f t="shared" si="211"/>
        <v>0</v>
      </c>
      <c r="HT101" s="32" t="b">
        <f t="shared" si="212"/>
        <v>1</v>
      </c>
      <c r="HU101" s="32">
        <f t="shared" si="213"/>
        <v>0.14170287181765592</v>
      </c>
      <c r="HV101" s="32">
        <f t="shared" si="214"/>
        <v>0.14170287181765592</v>
      </c>
      <c r="HW101" s="32" t="e">
        <f t="shared" si="215"/>
        <v>#N/A</v>
      </c>
      <c r="HX101" s="45" t="str">
        <f t="shared" si="216"/>
        <v/>
      </c>
    </row>
    <row r="102" spans="78:232" x14ac:dyDescent="0.2">
      <c r="BZ102" s="32">
        <f t="shared" si="143"/>
        <v>92</v>
      </c>
      <c r="CA102" s="32">
        <f>Eu_tabel_g[[#This Row],[Indeks]]+1</f>
        <v>93</v>
      </c>
      <c r="CB102" s="32">
        <f t="shared" si="144"/>
        <v>-0.88634570021867498</v>
      </c>
      <c r="CC102" s="32">
        <f t="shared" si="145"/>
        <v>0.26935020107061902</v>
      </c>
      <c r="CD102" s="32" t="e">
        <f t="shared" si="146"/>
        <v>#N/A</v>
      </c>
      <c r="CE102" s="32" t="e">
        <f t="shared" si="147"/>
        <v>#N/A</v>
      </c>
      <c r="CF102" s="32" t="e">
        <f t="shared" si="148"/>
        <v>#N/A</v>
      </c>
      <c r="CG102" s="32" t="b">
        <f t="shared" si="149"/>
        <v>0</v>
      </c>
      <c r="CH102" s="32" t="b">
        <f t="shared" si="150"/>
        <v>1</v>
      </c>
      <c r="CI102" s="32" t="b">
        <f t="shared" si="151"/>
        <v>0</v>
      </c>
      <c r="CJ102" s="32" t="b">
        <f t="shared" si="152"/>
        <v>1</v>
      </c>
      <c r="CK102" s="32">
        <f t="shared" si="217"/>
        <v>0.26935020107061902</v>
      </c>
      <c r="CL102" s="32" t="e">
        <f t="shared" si="153"/>
        <v>#N/A</v>
      </c>
      <c r="CM102" s="32">
        <f t="shared" si="154"/>
        <v>0.26935020107061902</v>
      </c>
      <c r="CN102" s="45" t="str">
        <f t="shared" si="155"/>
        <v/>
      </c>
      <c r="CO102" s="32">
        <f>_xlfn.NORM.DIST(_xlfn.NORM.INV(1-Eu_g_konfidensniveau,0,1)-Eu_tabel_g[[#This Row],[x base]],0,1,TRUE)</f>
        <v>0.22407348473684655</v>
      </c>
      <c r="CP102" s="32">
        <f>1-_xlfn.NORM.DIST(_xlfn.NORM.INV(Eu_g_konfidensniveau,0,1)-Eu_tabel_g[[#This Row],[x base]],0,1,TRUE)</f>
        <v>5.6836614795620077E-3</v>
      </c>
      <c r="CQ102" s="32">
        <f>_xlfn.NORM.DIST(_xlfn.NORM.INV((1-Eu_g_konfidensniveau)/2,0,1)-Eu_tabel_g[[#This Row],[x base]],0,1,TRUE)+1-_xlfn.NORM.DIST(_xlfn.NORM.INV(1-(1-Eu_g_konfidensniveau)/2,0,1)-Eu_tabel_g[[#This Row],[x base]],0,1,TRUE)</f>
        <v>0.14370835754319311</v>
      </c>
      <c r="CR102" s="32" t="e" cm="1">
        <f t="array" ref="CR102">IF($CR$3,INDEX(Eu_tabel_g[[#This Row],[Styrke venstre]:[Styrke tosidet]],CR$7),NA())</f>
        <v>#N/A</v>
      </c>
      <c r="CS102" s="52" t="e">
        <f>Eu_tabel_g[[#This Row],[Falsk positiv
Nulhypotese accepteres
Fejltype 1]]</f>
        <v>#N/A</v>
      </c>
      <c r="CT102" s="52" t="e">
        <f>IF(CHOOSE(CR$7,Eu_tabel_g[[#This Row],[x base]]&gt;0,Eu_tabel_g[[#This Row],[x base]]&lt;0,Eu_tabel_g[[#This Row],[x base]]=0),Eu_tabel_g[[#This Row],[Styrke, aktiv]],NA())</f>
        <v>#N/A</v>
      </c>
      <c r="CU102" s="52" t="e">
        <f>IFERROR(IF($CR$3,Eu_tabel_g[[#This Row],[Styrke, aktiv]],NA()),NA())</f>
        <v>#N/A</v>
      </c>
      <c r="CV102" s="52" t="e">
        <f>IF(ISNA(Eu_tabel_g[[#This Row],[Sand negativ
Nulhypotese afvises
Korrekt]]),NA(),IF($CR$3,1,NA()))</f>
        <v>#N/A</v>
      </c>
      <c r="CW102" s="34" t="str" cm="1">
        <f t="array" ref="CW102">_xlfn.SWITCH(BZ102,_xlfn.IFNA(CU$2,-99),CU$5,_xlfn.IFNA(CU$3,-99),CU$6,_xlfn.IFNA(CU$4,-99),CU$7,"")</f>
        <v/>
      </c>
      <c r="DA102" s="7">
        <f t="shared" si="156"/>
        <v>0.8</v>
      </c>
      <c r="DB102">
        <f>IF(ROW(Styrkeberegning_G[[#This Row],[X base venstre]])=ROW(Styrkeberegning_G[[#Headers],[X base venstre]])+1,DB$7/(DA$7/$B$67),DB101/(DA101/$B$67))</f>
        <v>-2.8015817870135784</v>
      </c>
      <c r="DC102">
        <f>Styrkeberegning_G[[#This Row],[X base venstre]]*-1</f>
        <v>2.8015817870135784</v>
      </c>
      <c r="DN102" s="32">
        <f t="shared" si="157"/>
        <v>92</v>
      </c>
      <c r="DO102" s="32">
        <f t="shared" si="158"/>
        <v>93</v>
      </c>
      <c r="DP102" s="32">
        <f t="shared" si="159"/>
        <v>12.328371455017782</v>
      </c>
      <c r="DQ102" s="32" t="e">
        <f t="shared" si="160"/>
        <v>#N/A</v>
      </c>
      <c r="DR102" s="32" t="e">
        <f t="shared" si="161"/>
        <v>#N/A</v>
      </c>
      <c r="DS102" s="32">
        <f t="shared" si="162"/>
        <v>7.2024808295626394E-2</v>
      </c>
      <c r="DT102" s="32" t="e">
        <f t="shared" si="163"/>
        <v>#N/A</v>
      </c>
      <c r="DU102" s="32" t="b">
        <f t="shared" si="164"/>
        <v>0</v>
      </c>
      <c r="DV102" s="32" t="b">
        <f t="shared" si="165"/>
        <v>1</v>
      </c>
      <c r="DW102" s="32" t="b">
        <f t="shared" si="166"/>
        <v>0</v>
      </c>
      <c r="DX102" s="32" t="b">
        <f t="shared" si="167"/>
        <v>1</v>
      </c>
      <c r="DY102" s="32">
        <f t="shared" si="168"/>
        <v>7.2024808295626394E-2</v>
      </c>
      <c r="DZ102" s="32" t="e">
        <f t="shared" si="169"/>
        <v>#N/A</v>
      </c>
      <c r="EA102" s="32">
        <f t="shared" si="170"/>
        <v>7.2024808295626394E-2</v>
      </c>
      <c r="EB102" s="45" t="str">
        <f t="shared" si="171"/>
        <v/>
      </c>
      <c r="EG102" s="32">
        <f t="shared" si="172"/>
        <v>92</v>
      </c>
      <c r="EH102" s="32">
        <f t="shared" si="173"/>
        <v>93</v>
      </c>
      <c r="EI102" s="32">
        <f t="shared" si="174"/>
        <v>-0.88634570021867498</v>
      </c>
      <c r="EJ102" s="32">
        <f t="shared" si="175"/>
        <v>0.26935020107061902</v>
      </c>
      <c r="EK102" s="32" t="e">
        <f t="shared" si="176"/>
        <v>#N/A</v>
      </c>
      <c r="EL102" s="32" t="e">
        <f t="shared" si="177"/>
        <v>#N/A</v>
      </c>
      <c r="EM102" s="32" t="e">
        <f t="shared" si="178"/>
        <v>#N/A</v>
      </c>
      <c r="EN102" s="32" t="b">
        <f t="shared" si="179"/>
        <v>0</v>
      </c>
      <c r="EO102" s="32" t="b">
        <f t="shared" si="180"/>
        <v>1</v>
      </c>
      <c r="EP102" s="32" t="b">
        <f t="shared" si="181"/>
        <v>0</v>
      </c>
      <c r="EQ102" s="32" t="b">
        <f t="shared" si="182"/>
        <v>1</v>
      </c>
      <c r="ER102" s="32">
        <f t="shared" si="183"/>
        <v>0.26935020107061902</v>
      </c>
      <c r="ES102" s="32" t="e">
        <f t="shared" si="184"/>
        <v>#N/A</v>
      </c>
      <c r="ET102" s="32">
        <f t="shared" si="185"/>
        <v>0.26935020107061902</v>
      </c>
      <c r="EU102" s="45" t="str">
        <f t="shared" si="186"/>
        <v/>
      </c>
      <c r="EV10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2" s="32" t="e" cm="1">
        <f t="array" ref="EY102">IF($CR$3,INDEX(Eu_tabel_a[[#This Row],[Styrke venstre]:[Styrke tosidet]],EY$7),NA())</f>
        <v>#N/A</v>
      </c>
      <c r="EZ102" s="32" t="e">
        <f>IF(EY$3,IF(CHOOSE(EY$7,Eu_tabel_a[[#This Row],[x base]]&gt;0,Eu_tabel_a[[#This Row],[x base]]&lt;0,Eu_tabel_a[[#This Row],[x base]]=0),1,NA()),NA())</f>
        <v>#N/A</v>
      </c>
      <c r="FA102" s="32" t="e">
        <f>IF(CHOOSE(EY$7,Eu_tabel_a[[#This Row],[x base]]&gt;0,Eu_tabel_a[[#This Row],[x base]]&lt;0,Eu_tabel_a[[#This Row],[x base]]=0),Eu_tabel_a[[#This Row],[Styrke, aktiv]],NA())</f>
        <v>#N/A</v>
      </c>
      <c r="FB102" s="32" t="e">
        <f>IFERROR(IF($EY$3,Eu_tabel_a[[#This Row],[Styrke, aktiv]],NA()),NA())</f>
        <v>#N/A</v>
      </c>
      <c r="FC102" s="32" t="e">
        <f>IF(ISNA(Eu_tabel_a[[#This Row],[Sand negativ
Nulhypotese afvises
Korrekt]]),NA(),IF(EY$3,1,NA()))</f>
        <v>#N/A</v>
      </c>
      <c r="FD102" s="33" t="str" cm="1">
        <f t="array" ref="FD102">IFERROR(_xlfn.SWITCH(Eu_tabel_a[[#This Row],[Indeks]],_xlfn.IFNA(FB$2,-99),FB$5,_xlfn.IFNA(FB$3,-99),FB$6,_xlfn.IFNA(FB$4,-99),FB$7,""),"")</f>
        <v/>
      </c>
      <c r="FE102" s="32">
        <f>Eu_tabel_a[[#This Row],[x base]]*SQRT(Eu_a_h0_x*(1-Eu_a_h0_x)/Eu_a_n_x)+Eu_a_h0_x</f>
        <v>0</v>
      </c>
      <c r="FJ102" s="74" t="e">
        <f t="shared" si="130"/>
        <v>#N/A</v>
      </c>
      <c r="FK102" s="82" t="e">
        <f t="shared" si="218"/>
        <v>#DIV/0!</v>
      </c>
      <c r="FL102" s="7" t="e">
        <f t="shared" si="124"/>
        <v>#DIV/0!</v>
      </c>
      <c r="FM102" t="e">
        <f t="shared" si="219"/>
        <v>#DIV/0!</v>
      </c>
      <c r="FN102" s="8" t="e">
        <f t="shared" si="220"/>
        <v>#DIV/0!</v>
      </c>
      <c r="FO102" s="8" t="e">
        <f t="shared" si="221"/>
        <v>#DIV/0!</v>
      </c>
      <c r="FP102" s="81" t="e">
        <f t="shared" si="222"/>
        <v>#DIV/0!</v>
      </c>
      <c r="FQ102" s="74" t="e">
        <f t="shared" ca="1" si="125"/>
        <v>#N/A</v>
      </c>
      <c r="FR102" s="82" t="e" vm="3">
        <f t="shared" ca="1" si="131"/>
        <v>#VALUE!</v>
      </c>
      <c r="FS102" s="7" t="e" vm="3">
        <f t="shared" ca="1" si="126"/>
        <v>#VALUE!</v>
      </c>
      <c r="FT102" t="e" vm="3">
        <f t="shared" ca="1" si="120"/>
        <v>#VALUE!</v>
      </c>
      <c r="FU102" s="8" t="e" vm="3">
        <f t="shared" ca="1" si="121"/>
        <v>#VALUE!</v>
      </c>
      <c r="FV102" s="8" t="e" vm="3">
        <f t="shared" ca="1" si="122"/>
        <v>#VALUE!</v>
      </c>
      <c r="FW102" s="81" t="e" vm="3">
        <f t="shared" ca="1" si="123"/>
        <v>#VALUE!</v>
      </c>
      <c r="FX102" s="74" t="e">
        <f t="shared" si="127"/>
        <v>#N/A</v>
      </c>
      <c r="FY102" s="82" t="e">
        <f t="shared" si="132"/>
        <v>#N/A</v>
      </c>
      <c r="FZ102" s="7" t="e">
        <f t="shared" si="128"/>
        <v>#N/A</v>
      </c>
      <c r="GA102" t="e">
        <f t="shared" si="133"/>
        <v>#N/A</v>
      </c>
      <c r="GB102" s="8" t="e">
        <f t="shared" si="134"/>
        <v>#N/A</v>
      </c>
      <c r="GC102" s="8" t="e">
        <f t="shared" si="135"/>
        <v>#N/A</v>
      </c>
      <c r="GD102" s="81" t="e">
        <f t="shared" si="136"/>
        <v>#N/A</v>
      </c>
      <c r="GE102" s="74" t="e">
        <f t="shared" si="137"/>
        <v>#N/A</v>
      </c>
      <c r="GF102" s="82" t="e">
        <f t="shared" si="138"/>
        <v>#N/A</v>
      </c>
      <c r="GG102" s="7" t="e">
        <f t="shared" si="129"/>
        <v>#N/A</v>
      </c>
      <c r="GH102" t="e">
        <f t="shared" si="139"/>
        <v>#N/A</v>
      </c>
      <c r="GI102" s="8" t="e">
        <f t="shared" si="140"/>
        <v>#N/A</v>
      </c>
      <c r="GJ102" s="8" t="e">
        <f t="shared" si="141"/>
        <v>#N/A</v>
      </c>
      <c r="GK102" s="81" t="e">
        <f t="shared" si="142"/>
        <v>#N/A</v>
      </c>
      <c r="GL102" s="81"/>
      <c r="GM102" s="81"/>
      <c r="GP102" s="32">
        <f t="shared" si="187"/>
        <v>92</v>
      </c>
      <c r="GQ102" s="32">
        <f t="shared" si="188"/>
        <v>93</v>
      </c>
      <c r="GR102" s="32">
        <f t="shared" si="189"/>
        <v>-0.88634570021867498</v>
      </c>
      <c r="GS102" s="32">
        <f t="shared" si="190"/>
        <v>0.26935020107061902</v>
      </c>
      <c r="GT102" s="32" t="e">
        <f t="shared" si="191"/>
        <v>#N/A</v>
      </c>
      <c r="GU102" s="32" t="e">
        <f t="shared" si="192"/>
        <v>#N/A</v>
      </c>
      <c r="GV102" s="32" t="e">
        <f t="shared" si="193"/>
        <v>#N/A</v>
      </c>
      <c r="GW102" s="32" t="b">
        <f t="shared" si="194"/>
        <v>0</v>
      </c>
      <c r="GX102" s="32" t="b">
        <f t="shared" si="195"/>
        <v>1</v>
      </c>
      <c r="GY102" s="32" t="b">
        <f t="shared" si="196"/>
        <v>0</v>
      </c>
      <c r="GZ102" s="32" t="b">
        <f t="shared" si="197"/>
        <v>1</v>
      </c>
      <c r="HA102" s="32">
        <f t="shared" si="198"/>
        <v>0.26935020107061902</v>
      </c>
      <c r="HB102" s="32" t="e">
        <f t="shared" si="199"/>
        <v>#N/A</v>
      </c>
      <c r="HC102" s="32">
        <f t="shared" si="200"/>
        <v>0.26935020107061902</v>
      </c>
      <c r="HD102" s="45" t="str">
        <f t="shared" si="201"/>
        <v/>
      </c>
      <c r="HJ102" s="32">
        <f t="shared" si="202"/>
        <v>92</v>
      </c>
      <c r="HK102" s="32">
        <f t="shared" si="203"/>
        <v>93</v>
      </c>
      <c r="HL102" s="32">
        <f t="shared" si="204"/>
        <v>-1.3725249322451032</v>
      </c>
      <c r="HM102" s="32" t="e">
        <f t="shared" si="205"/>
        <v>#N/A</v>
      </c>
      <c r="HN102" s="32">
        <f t="shared" si="206"/>
        <v>0.1484032208531284</v>
      </c>
      <c r="HO102" s="32" t="e">
        <f t="shared" si="207"/>
        <v>#N/A</v>
      </c>
      <c r="HP102" s="32" t="e">
        <f t="shared" si="208"/>
        <v>#N/A</v>
      </c>
      <c r="HQ102" s="32" t="b">
        <f t="shared" si="209"/>
        <v>1</v>
      </c>
      <c r="HR102" s="32" t="b">
        <f t="shared" si="210"/>
        <v>0</v>
      </c>
      <c r="HS102" s="32" t="b">
        <f t="shared" si="211"/>
        <v>0</v>
      </c>
      <c r="HT102" s="32" t="b">
        <f t="shared" si="212"/>
        <v>1</v>
      </c>
      <c r="HU102" s="32">
        <f t="shared" si="213"/>
        <v>0.1484032208531284</v>
      </c>
      <c r="HV102" s="32">
        <f t="shared" si="214"/>
        <v>0.1484032208531284</v>
      </c>
      <c r="HW102" s="32" t="e">
        <f t="shared" si="215"/>
        <v>#N/A</v>
      </c>
      <c r="HX102" s="45" t="str">
        <f t="shared" si="216"/>
        <v/>
      </c>
    </row>
    <row r="103" spans="78:232" x14ac:dyDescent="0.2">
      <c r="BZ103" s="32">
        <f t="shared" si="143"/>
        <v>93</v>
      </c>
      <c r="CA103" s="32">
        <f>Eu_tabel_g[[#This Row],[Indeks]]+1</f>
        <v>94</v>
      </c>
      <c r="CB103" s="32">
        <f t="shared" si="144"/>
        <v>-0.86239041102357561</v>
      </c>
      <c r="CC103" s="32">
        <f t="shared" si="145"/>
        <v>0.27505144014997257</v>
      </c>
      <c r="CD103" s="32" t="e">
        <f t="shared" si="146"/>
        <v>#N/A</v>
      </c>
      <c r="CE103" s="32" t="e">
        <f t="shared" si="147"/>
        <v>#N/A</v>
      </c>
      <c r="CF103" s="32" t="e">
        <f t="shared" si="148"/>
        <v>#N/A</v>
      </c>
      <c r="CG103" s="32" t="b">
        <f t="shared" si="149"/>
        <v>0</v>
      </c>
      <c r="CH103" s="32" t="b">
        <f t="shared" si="150"/>
        <v>1</v>
      </c>
      <c r="CI103" s="32" t="b">
        <f t="shared" si="151"/>
        <v>0</v>
      </c>
      <c r="CJ103" s="32" t="b">
        <f t="shared" si="152"/>
        <v>1</v>
      </c>
      <c r="CK103" s="32">
        <f t="shared" si="217"/>
        <v>0.27505144014997257</v>
      </c>
      <c r="CL103" s="32" t="e">
        <f t="shared" si="153"/>
        <v>#N/A</v>
      </c>
      <c r="CM103" s="32">
        <f t="shared" si="154"/>
        <v>0.27505144014997257</v>
      </c>
      <c r="CN103" s="45" t="str">
        <f t="shared" si="155"/>
        <v/>
      </c>
      <c r="CO103" s="32">
        <f>_xlfn.NORM.DIST(_xlfn.NORM.INV(1-Eu_g_konfidensniveau,0,1)-Eu_tabel_g[[#This Row],[x base]],0,1,TRUE)</f>
        <v>0.2169711974485582</v>
      </c>
      <c r="CP103" s="32">
        <f>1-_xlfn.NORM.DIST(_xlfn.NORM.INV(Eu_g_konfidensniveau,0,1)-Eu_tabel_g[[#This Row],[x base]],0,1,TRUE)</f>
        <v>6.0838336081612265E-3</v>
      </c>
      <c r="CQ103" s="32">
        <f>_xlfn.NORM.DIST(_xlfn.NORM.INV((1-Eu_g_konfidensniveau)/2,0,1)-Eu_tabel_g[[#This Row],[x base]],0,1,TRUE)+1-_xlfn.NORM.DIST(_xlfn.NORM.INV(1-(1-Eu_g_konfidensniveau)/2,0,1)-Eu_tabel_g[[#This Row],[x base]],0,1,TRUE)</f>
        <v>0.13857899198909518</v>
      </c>
      <c r="CR103" s="32" t="e" cm="1">
        <f t="array" ref="CR103">IF($CR$3,INDEX(Eu_tabel_g[[#This Row],[Styrke venstre]:[Styrke tosidet]],CR$7),NA())</f>
        <v>#N/A</v>
      </c>
      <c r="CS103" s="52" t="e">
        <f>Eu_tabel_g[[#This Row],[Falsk positiv
Nulhypotese accepteres
Fejltype 1]]</f>
        <v>#N/A</v>
      </c>
      <c r="CT103" s="52" t="e">
        <f>IF(CHOOSE(CR$7,Eu_tabel_g[[#This Row],[x base]]&gt;0,Eu_tabel_g[[#This Row],[x base]]&lt;0,Eu_tabel_g[[#This Row],[x base]]=0),Eu_tabel_g[[#This Row],[Styrke, aktiv]],NA())</f>
        <v>#N/A</v>
      </c>
      <c r="CU103" s="52" t="e">
        <f>IFERROR(IF($CR$3,Eu_tabel_g[[#This Row],[Styrke, aktiv]],NA()),NA())</f>
        <v>#N/A</v>
      </c>
      <c r="CV103" s="52" t="e">
        <f>IF(ISNA(Eu_tabel_g[[#This Row],[Sand negativ
Nulhypotese afvises
Korrekt]]),NA(),IF($CR$3,1,NA()))</f>
        <v>#N/A</v>
      </c>
      <c r="CW103" s="34" t="str" cm="1">
        <f t="array" ref="CW103">_xlfn.SWITCH(BZ103,_xlfn.IFNA(CU$2,-99),CU$5,_xlfn.IFNA(CU$3,-99),CU$6,_xlfn.IFNA(CU$4,-99),CU$7,"")</f>
        <v/>
      </c>
      <c r="DA103" s="7">
        <f t="shared" si="156"/>
        <v>0.8</v>
      </c>
      <c r="DB103">
        <f>IF(ROW(Styrkeberegning_G[[#This Row],[X base venstre]])=ROW(Styrkeberegning_G[[#Headers],[X base venstre]])+1,DB$7/(DA$7/$B$67),DB102/(DA102/$B$67))</f>
        <v>-2.8015817870135784</v>
      </c>
      <c r="DC103">
        <f>Styrkeberegning_G[[#This Row],[X base venstre]]*-1</f>
        <v>2.8015817870135784</v>
      </c>
      <c r="DN103" s="32">
        <f t="shared" si="157"/>
        <v>93</v>
      </c>
      <c r="DO103" s="32">
        <f t="shared" si="158"/>
        <v>94</v>
      </c>
      <c r="DP103" s="32">
        <f t="shared" si="159"/>
        <v>12.442442311434784</v>
      </c>
      <c r="DQ103" s="32" t="e">
        <f t="shared" si="160"/>
        <v>#N/A</v>
      </c>
      <c r="DR103" s="32" t="e">
        <f t="shared" si="161"/>
        <v>#N/A</v>
      </c>
      <c r="DS103" s="32">
        <f t="shared" si="162"/>
        <v>7.0910671820293661E-2</v>
      </c>
      <c r="DT103" s="32" t="e">
        <f t="shared" si="163"/>
        <v>#N/A</v>
      </c>
      <c r="DU103" s="32" t="b">
        <f t="shared" si="164"/>
        <v>0</v>
      </c>
      <c r="DV103" s="32" t="b">
        <f t="shared" si="165"/>
        <v>1</v>
      </c>
      <c r="DW103" s="32" t="b">
        <f t="shared" si="166"/>
        <v>0</v>
      </c>
      <c r="DX103" s="32" t="b">
        <f t="shared" si="167"/>
        <v>1</v>
      </c>
      <c r="DY103" s="32">
        <f t="shared" si="168"/>
        <v>7.0910671820293661E-2</v>
      </c>
      <c r="DZ103" s="32" t="e">
        <f t="shared" si="169"/>
        <v>#N/A</v>
      </c>
      <c r="EA103" s="32">
        <f t="shared" si="170"/>
        <v>7.0910671820293661E-2</v>
      </c>
      <c r="EB103" s="45" t="str">
        <f t="shared" si="171"/>
        <v/>
      </c>
      <c r="EG103" s="32">
        <f t="shared" si="172"/>
        <v>93</v>
      </c>
      <c r="EH103" s="32">
        <f t="shared" si="173"/>
        <v>94</v>
      </c>
      <c r="EI103" s="32">
        <f t="shared" si="174"/>
        <v>-0.86239041102357561</v>
      </c>
      <c r="EJ103" s="32">
        <f t="shared" si="175"/>
        <v>0.27505144014997257</v>
      </c>
      <c r="EK103" s="32" t="e">
        <f t="shared" si="176"/>
        <v>#N/A</v>
      </c>
      <c r="EL103" s="32" t="e">
        <f t="shared" si="177"/>
        <v>#N/A</v>
      </c>
      <c r="EM103" s="32" t="e">
        <f t="shared" si="178"/>
        <v>#N/A</v>
      </c>
      <c r="EN103" s="32" t="b">
        <f t="shared" si="179"/>
        <v>0</v>
      </c>
      <c r="EO103" s="32" t="b">
        <f t="shared" si="180"/>
        <v>1</v>
      </c>
      <c r="EP103" s="32" t="b">
        <f t="shared" si="181"/>
        <v>0</v>
      </c>
      <c r="EQ103" s="32" t="b">
        <f t="shared" si="182"/>
        <v>1</v>
      </c>
      <c r="ER103" s="32">
        <f t="shared" si="183"/>
        <v>0.27505144014997257</v>
      </c>
      <c r="ES103" s="32" t="e">
        <f t="shared" si="184"/>
        <v>#N/A</v>
      </c>
      <c r="ET103" s="32">
        <f t="shared" si="185"/>
        <v>0.27505144014997257</v>
      </c>
      <c r="EU103" s="45" t="str">
        <f t="shared" si="186"/>
        <v/>
      </c>
      <c r="EV10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3" s="32" t="e" cm="1">
        <f t="array" ref="EY103">IF($CR$3,INDEX(Eu_tabel_a[[#This Row],[Styrke venstre]:[Styrke tosidet]],EY$7),NA())</f>
        <v>#N/A</v>
      </c>
      <c r="EZ103" s="32" t="e">
        <f>IF(EY$3,IF(CHOOSE(EY$7,Eu_tabel_a[[#This Row],[x base]]&gt;0,Eu_tabel_a[[#This Row],[x base]]&lt;0,Eu_tabel_a[[#This Row],[x base]]=0),1,NA()),NA())</f>
        <v>#N/A</v>
      </c>
      <c r="FA103" s="32" t="e">
        <f>IF(CHOOSE(EY$7,Eu_tabel_a[[#This Row],[x base]]&gt;0,Eu_tabel_a[[#This Row],[x base]]&lt;0,Eu_tabel_a[[#This Row],[x base]]=0),Eu_tabel_a[[#This Row],[Styrke, aktiv]],NA())</f>
        <v>#N/A</v>
      </c>
      <c r="FB103" s="32" t="e">
        <f>IFERROR(IF($EY$3,Eu_tabel_a[[#This Row],[Styrke, aktiv]],NA()),NA())</f>
        <v>#N/A</v>
      </c>
      <c r="FC103" s="32" t="e">
        <f>IF(ISNA(Eu_tabel_a[[#This Row],[Sand negativ
Nulhypotese afvises
Korrekt]]),NA(),IF(EY$3,1,NA()))</f>
        <v>#N/A</v>
      </c>
      <c r="FD103" s="33" t="str" cm="1">
        <f t="array" ref="FD103">IFERROR(_xlfn.SWITCH(Eu_tabel_a[[#This Row],[Indeks]],_xlfn.IFNA(FB$2,-99),FB$5,_xlfn.IFNA(FB$3,-99),FB$6,_xlfn.IFNA(FB$4,-99),FB$7,""),"")</f>
        <v/>
      </c>
      <c r="FE103" s="32">
        <f>Eu_tabel_a[[#This Row],[x base]]*SQRT(Eu_a_h0_x*(1-Eu_a_h0_x)/Eu_a_n_x)+Eu_a_h0_x</f>
        <v>0</v>
      </c>
      <c r="FJ103" s="74" t="e">
        <f t="shared" si="130"/>
        <v>#N/A</v>
      </c>
      <c r="FK103" s="82" t="e">
        <f t="shared" si="218"/>
        <v>#DIV/0!</v>
      </c>
      <c r="FL103" s="7" t="e">
        <f t="shared" si="124"/>
        <v>#DIV/0!</v>
      </c>
      <c r="FM103" t="e">
        <f t="shared" si="219"/>
        <v>#DIV/0!</v>
      </c>
      <c r="FN103" s="8" t="e">
        <f t="shared" si="220"/>
        <v>#DIV/0!</v>
      </c>
      <c r="FO103" s="8" t="e">
        <f t="shared" si="221"/>
        <v>#DIV/0!</v>
      </c>
      <c r="FP103" s="81" t="e">
        <f t="shared" si="222"/>
        <v>#DIV/0!</v>
      </c>
      <c r="FQ103" s="74" t="e">
        <f t="shared" ca="1" si="125"/>
        <v>#N/A</v>
      </c>
      <c r="FR103" s="82" t="e" vm="3">
        <f t="shared" ca="1" si="131"/>
        <v>#VALUE!</v>
      </c>
      <c r="FS103" s="7" t="e" vm="3">
        <f t="shared" ca="1" si="126"/>
        <v>#VALUE!</v>
      </c>
      <c r="FT103" t="e" vm="3">
        <f t="shared" ca="1" si="120"/>
        <v>#VALUE!</v>
      </c>
      <c r="FU103" s="8" t="e" vm="3">
        <f t="shared" ca="1" si="121"/>
        <v>#VALUE!</v>
      </c>
      <c r="FV103" s="8" t="e" vm="3">
        <f t="shared" ca="1" si="122"/>
        <v>#VALUE!</v>
      </c>
      <c r="FW103" s="81" t="e" vm="3">
        <f t="shared" ca="1" si="123"/>
        <v>#VALUE!</v>
      </c>
      <c r="FX103" s="74" t="e">
        <f t="shared" si="127"/>
        <v>#N/A</v>
      </c>
      <c r="FY103" s="82" t="e">
        <f t="shared" si="132"/>
        <v>#N/A</v>
      </c>
      <c r="FZ103" s="7" t="e">
        <f t="shared" si="128"/>
        <v>#N/A</v>
      </c>
      <c r="GA103" t="e">
        <f t="shared" si="133"/>
        <v>#N/A</v>
      </c>
      <c r="GB103" s="8" t="e">
        <f t="shared" si="134"/>
        <v>#N/A</v>
      </c>
      <c r="GC103" s="8" t="e">
        <f t="shared" si="135"/>
        <v>#N/A</v>
      </c>
      <c r="GD103" s="81" t="e">
        <f t="shared" si="136"/>
        <v>#N/A</v>
      </c>
      <c r="GE103" s="74" t="e">
        <f t="shared" si="137"/>
        <v>#N/A</v>
      </c>
      <c r="GF103" s="82" t="e">
        <f t="shared" si="138"/>
        <v>#N/A</v>
      </c>
      <c r="GG103" s="7" t="e">
        <f t="shared" si="129"/>
        <v>#N/A</v>
      </c>
      <c r="GH103" t="e">
        <f t="shared" si="139"/>
        <v>#N/A</v>
      </c>
      <c r="GI103" s="8" t="e">
        <f t="shared" si="140"/>
        <v>#N/A</v>
      </c>
      <c r="GJ103" s="8" t="e">
        <f t="shared" si="141"/>
        <v>#N/A</v>
      </c>
      <c r="GK103" s="81" t="e">
        <f t="shared" si="142"/>
        <v>#N/A</v>
      </c>
      <c r="GL103" s="81"/>
      <c r="GM103" s="81"/>
      <c r="GP103" s="32">
        <f t="shared" si="187"/>
        <v>93</v>
      </c>
      <c r="GQ103" s="32">
        <f t="shared" si="188"/>
        <v>94</v>
      </c>
      <c r="GR103" s="32">
        <f t="shared" si="189"/>
        <v>-0.86239041102357561</v>
      </c>
      <c r="GS103" s="32">
        <f t="shared" si="190"/>
        <v>0.27505144014997257</v>
      </c>
      <c r="GT103" s="32" t="e">
        <f t="shared" si="191"/>
        <v>#N/A</v>
      </c>
      <c r="GU103" s="32" t="e">
        <f t="shared" si="192"/>
        <v>#N/A</v>
      </c>
      <c r="GV103" s="32" t="e">
        <f t="shared" si="193"/>
        <v>#N/A</v>
      </c>
      <c r="GW103" s="32" t="b">
        <f t="shared" si="194"/>
        <v>0</v>
      </c>
      <c r="GX103" s="32" t="b">
        <f t="shared" si="195"/>
        <v>1</v>
      </c>
      <c r="GY103" s="32" t="b">
        <f t="shared" si="196"/>
        <v>0</v>
      </c>
      <c r="GZ103" s="32" t="b">
        <f t="shared" si="197"/>
        <v>1</v>
      </c>
      <c r="HA103" s="32">
        <f t="shared" si="198"/>
        <v>0.27505144014997257</v>
      </c>
      <c r="HB103" s="32" t="e">
        <f t="shared" si="199"/>
        <v>#N/A</v>
      </c>
      <c r="HC103" s="32">
        <f t="shared" si="200"/>
        <v>0.27505144014997257</v>
      </c>
      <c r="HD103" s="45" t="str">
        <f t="shared" si="201"/>
        <v/>
      </c>
      <c r="HJ103" s="32">
        <f t="shared" si="202"/>
        <v>93</v>
      </c>
      <c r="HK103" s="32">
        <f t="shared" si="203"/>
        <v>94</v>
      </c>
      <c r="HL103" s="32">
        <f t="shared" si="204"/>
        <v>-1.3354296638060461</v>
      </c>
      <c r="HM103" s="32" t="e">
        <f t="shared" si="205"/>
        <v>#N/A</v>
      </c>
      <c r="HN103" s="32">
        <f t="shared" si="206"/>
        <v>0.15530951457528158</v>
      </c>
      <c r="HO103" s="32" t="e">
        <f t="shared" si="207"/>
        <v>#N/A</v>
      </c>
      <c r="HP103" s="32" t="e">
        <f t="shared" si="208"/>
        <v>#N/A</v>
      </c>
      <c r="HQ103" s="32" t="b">
        <f t="shared" si="209"/>
        <v>1</v>
      </c>
      <c r="HR103" s="32" t="b">
        <f t="shared" si="210"/>
        <v>0</v>
      </c>
      <c r="HS103" s="32" t="b">
        <f t="shared" si="211"/>
        <v>0</v>
      </c>
      <c r="HT103" s="32" t="b">
        <f t="shared" si="212"/>
        <v>1</v>
      </c>
      <c r="HU103" s="32">
        <f t="shared" si="213"/>
        <v>0.15530951457528158</v>
      </c>
      <c r="HV103" s="32">
        <f t="shared" si="214"/>
        <v>0.15530951457528158</v>
      </c>
      <c r="HW103" s="32" t="e">
        <f t="shared" si="215"/>
        <v>#N/A</v>
      </c>
      <c r="HX103" s="45" t="str">
        <f t="shared" si="216"/>
        <v/>
      </c>
    </row>
    <row r="104" spans="78:232" x14ac:dyDescent="0.2">
      <c r="BZ104" s="32">
        <f t="shared" si="143"/>
        <v>94</v>
      </c>
      <c r="CA104" s="32">
        <f>Eu_tabel_g[[#This Row],[Indeks]]+1</f>
        <v>95</v>
      </c>
      <c r="CB104" s="32">
        <f t="shared" si="144"/>
        <v>-0.83843512182847668</v>
      </c>
      <c r="CC104" s="32">
        <f t="shared" si="145"/>
        <v>0.28071222072349411</v>
      </c>
      <c r="CD104" s="32" t="e">
        <f t="shared" si="146"/>
        <v>#N/A</v>
      </c>
      <c r="CE104" s="32" t="e">
        <f t="shared" si="147"/>
        <v>#N/A</v>
      </c>
      <c r="CF104" s="32" t="e">
        <f t="shared" si="148"/>
        <v>#N/A</v>
      </c>
      <c r="CG104" s="32" t="b">
        <f t="shared" si="149"/>
        <v>0</v>
      </c>
      <c r="CH104" s="32" t="b">
        <f t="shared" si="150"/>
        <v>1</v>
      </c>
      <c r="CI104" s="32" t="b">
        <f t="shared" si="151"/>
        <v>0</v>
      </c>
      <c r="CJ104" s="32" t="b">
        <f t="shared" si="152"/>
        <v>1</v>
      </c>
      <c r="CK104" s="32">
        <f t="shared" si="217"/>
        <v>0.28071222072349411</v>
      </c>
      <c r="CL104" s="32" t="e">
        <f t="shared" si="153"/>
        <v>#N/A</v>
      </c>
      <c r="CM104" s="32">
        <f t="shared" si="154"/>
        <v>0.28071222072349411</v>
      </c>
      <c r="CN104" s="45" t="str">
        <f t="shared" si="155"/>
        <v/>
      </c>
      <c r="CO104" s="32">
        <f>_xlfn.NORM.DIST(_xlfn.NORM.INV(1-Eu_g_konfidensniveau,0,1)-Eu_tabel_g[[#This Row],[x base]],0,1,TRUE)</f>
        <v>0.21000079021859852</v>
      </c>
      <c r="CP104" s="32">
        <f>1-_xlfn.NORM.DIST(_xlfn.NORM.INV(Eu_g_konfidensniveau,0,1)-Eu_tabel_g[[#This Row],[x base]],0,1,TRUE)</f>
        <v>6.5087760207921397E-3</v>
      </c>
      <c r="CQ104" s="32">
        <f>_xlfn.NORM.DIST(_xlfn.NORM.INV((1-Eu_g_konfidensniveau)/2,0,1)-Eu_tabel_g[[#This Row],[x base]],0,1,TRUE)+1-_xlfn.NORM.DIST(_xlfn.NORM.INV(1-(1-Eu_g_konfidensniveau)/2,0,1)-Eu_tabel_g[[#This Row],[x base]],0,1,TRUE)</f>
        <v>0.13359923699915444</v>
      </c>
      <c r="CR104" s="32" t="e" cm="1">
        <f t="array" ref="CR104">IF($CR$3,INDEX(Eu_tabel_g[[#This Row],[Styrke venstre]:[Styrke tosidet]],CR$7),NA())</f>
        <v>#N/A</v>
      </c>
      <c r="CS104" s="52" t="e">
        <f>Eu_tabel_g[[#This Row],[Falsk positiv
Nulhypotese accepteres
Fejltype 1]]</f>
        <v>#N/A</v>
      </c>
      <c r="CT104" s="52" t="e">
        <f>IF(CHOOSE(CR$7,Eu_tabel_g[[#This Row],[x base]]&gt;0,Eu_tabel_g[[#This Row],[x base]]&lt;0,Eu_tabel_g[[#This Row],[x base]]=0),Eu_tabel_g[[#This Row],[Styrke, aktiv]],NA())</f>
        <v>#N/A</v>
      </c>
      <c r="CU104" s="52" t="e">
        <f>IFERROR(IF($CR$3,Eu_tabel_g[[#This Row],[Styrke, aktiv]],NA()),NA())</f>
        <v>#N/A</v>
      </c>
      <c r="CV104" s="52" t="e">
        <f>IF(ISNA(Eu_tabel_g[[#This Row],[Sand negativ
Nulhypotese afvises
Korrekt]]),NA(),IF($CR$3,1,NA()))</f>
        <v>#N/A</v>
      </c>
      <c r="CW104" s="34" t="str" cm="1">
        <f t="array" ref="CW104">_xlfn.SWITCH(BZ104,_xlfn.IFNA(CU$2,-99),CU$5,_xlfn.IFNA(CU$3,-99),CU$6,_xlfn.IFNA(CU$4,-99),CU$7,"")</f>
        <v/>
      </c>
      <c r="DA104" s="7">
        <f t="shared" si="156"/>
        <v>0.8</v>
      </c>
      <c r="DB104">
        <f>IF(ROW(Styrkeberegning_G[[#This Row],[X base venstre]])=ROW(Styrkeberegning_G[[#Headers],[X base venstre]])+1,DB$7/(DA$7/$B$67),DB103/(DA103/$B$67))</f>
        <v>-2.8015817870135784</v>
      </c>
      <c r="DC104">
        <f>Styrkeberegning_G[[#This Row],[X base venstre]]*-1</f>
        <v>2.8015817870135784</v>
      </c>
      <c r="DN104" s="32">
        <f t="shared" si="157"/>
        <v>94</v>
      </c>
      <c r="DO104" s="32">
        <f t="shared" si="158"/>
        <v>95</v>
      </c>
      <c r="DP104" s="32">
        <f t="shared" si="159"/>
        <v>12.556513167851785</v>
      </c>
      <c r="DQ104" s="32" t="e">
        <f t="shared" si="160"/>
        <v>#N/A</v>
      </c>
      <c r="DR104" s="32" t="e">
        <f t="shared" si="161"/>
        <v>#N/A</v>
      </c>
      <c r="DS104" s="32">
        <f t="shared" si="162"/>
        <v>6.9787368231036304E-2</v>
      </c>
      <c r="DT104" s="32" t="e">
        <f t="shared" si="163"/>
        <v>#N/A</v>
      </c>
      <c r="DU104" s="32" t="b">
        <f t="shared" si="164"/>
        <v>0</v>
      </c>
      <c r="DV104" s="32" t="b">
        <f t="shared" si="165"/>
        <v>1</v>
      </c>
      <c r="DW104" s="32" t="b">
        <f t="shared" si="166"/>
        <v>0</v>
      </c>
      <c r="DX104" s="32" t="b">
        <f t="shared" si="167"/>
        <v>1</v>
      </c>
      <c r="DY104" s="32">
        <f t="shared" si="168"/>
        <v>6.9787368231036304E-2</v>
      </c>
      <c r="DZ104" s="32" t="e">
        <f t="shared" si="169"/>
        <v>#N/A</v>
      </c>
      <c r="EA104" s="32">
        <f t="shared" si="170"/>
        <v>6.9787368231036304E-2</v>
      </c>
      <c r="EB104" s="45" t="str">
        <f t="shared" si="171"/>
        <v/>
      </c>
      <c r="EG104" s="32">
        <f t="shared" si="172"/>
        <v>94</v>
      </c>
      <c r="EH104" s="32">
        <f t="shared" si="173"/>
        <v>95</v>
      </c>
      <c r="EI104" s="32">
        <f t="shared" si="174"/>
        <v>-0.83843512182847668</v>
      </c>
      <c r="EJ104" s="32">
        <f t="shared" si="175"/>
        <v>0.28071222072349411</v>
      </c>
      <c r="EK104" s="32" t="e">
        <f t="shared" si="176"/>
        <v>#N/A</v>
      </c>
      <c r="EL104" s="32" t="e">
        <f t="shared" si="177"/>
        <v>#N/A</v>
      </c>
      <c r="EM104" s="32" t="e">
        <f t="shared" si="178"/>
        <v>#N/A</v>
      </c>
      <c r="EN104" s="32" t="b">
        <f t="shared" si="179"/>
        <v>0</v>
      </c>
      <c r="EO104" s="32" t="b">
        <f t="shared" si="180"/>
        <v>1</v>
      </c>
      <c r="EP104" s="32" t="b">
        <f t="shared" si="181"/>
        <v>0</v>
      </c>
      <c r="EQ104" s="32" t="b">
        <f t="shared" si="182"/>
        <v>1</v>
      </c>
      <c r="ER104" s="32">
        <f t="shared" si="183"/>
        <v>0.28071222072349411</v>
      </c>
      <c r="ES104" s="32" t="e">
        <f t="shared" si="184"/>
        <v>#N/A</v>
      </c>
      <c r="ET104" s="32">
        <f t="shared" si="185"/>
        <v>0.28071222072349411</v>
      </c>
      <c r="EU104" s="45" t="str">
        <f t="shared" si="186"/>
        <v/>
      </c>
      <c r="EV10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4" s="32" t="e" cm="1">
        <f t="array" ref="EY104">IF($CR$3,INDEX(Eu_tabel_a[[#This Row],[Styrke venstre]:[Styrke tosidet]],EY$7),NA())</f>
        <v>#N/A</v>
      </c>
      <c r="EZ104" s="32" t="e">
        <f>IF(EY$3,IF(CHOOSE(EY$7,Eu_tabel_a[[#This Row],[x base]]&gt;0,Eu_tabel_a[[#This Row],[x base]]&lt;0,Eu_tabel_a[[#This Row],[x base]]=0),1,NA()),NA())</f>
        <v>#N/A</v>
      </c>
      <c r="FA104" s="32" t="e">
        <f>IF(CHOOSE(EY$7,Eu_tabel_a[[#This Row],[x base]]&gt;0,Eu_tabel_a[[#This Row],[x base]]&lt;0,Eu_tabel_a[[#This Row],[x base]]=0),Eu_tabel_a[[#This Row],[Styrke, aktiv]],NA())</f>
        <v>#N/A</v>
      </c>
      <c r="FB104" s="32" t="e">
        <f>IFERROR(IF($EY$3,Eu_tabel_a[[#This Row],[Styrke, aktiv]],NA()),NA())</f>
        <v>#N/A</v>
      </c>
      <c r="FC104" s="32" t="e">
        <f>IF(ISNA(Eu_tabel_a[[#This Row],[Sand negativ
Nulhypotese afvises
Korrekt]]),NA(),IF(EY$3,1,NA()))</f>
        <v>#N/A</v>
      </c>
      <c r="FD104" s="33" t="str" cm="1">
        <f t="array" ref="FD104">IFERROR(_xlfn.SWITCH(Eu_tabel_a[[#This Row],[Indeks]],_xlfn.IFNA(FB$2,-99),FB$5,_xlfn.IFNA(FB$3,-99),FB$6,_xlfn.IFNA(FB$4,-99),FB$7,""),"")</f>
        <v/>
      </c>
      <c r="FE104" s="32">
        <f>Eu_tabel_a[[#This Row],[x base]]*SQRT(Eu_a_h0_x*(1-Eu_a_h0_x)/Eu_a_n_x)+Eu_a_h0_x</f>
        <v>0</v>
      </c>
      <c r="FJ104" s="74" t="e">
        <f t="shared" si="130"/>
        <v>#N/A</v>
      </c>
      <c r="FK104" s="82" t="e">
        <f t="shared" si="218"/>
        <v>#DIV/0!</v>
      </c>
      <c r="FL104" s="7" t="e">
        <f t="shared" si="124"/>
        <v>#DIV/0!</v>
      </c>
      <c r="FM104" t="e">
        <f t="shared" si="219"/>
        <v>#DIV/0!</v>
      </c>
      <c r="FN104" s="8" t="e">
        <f t="shared" si="220"/>
        <v>#DIV/0!</v>
      </c>
      <c r="FO104" s="8" t="e">
        <f t="shared" si="221"/>
        <v>#DIV/0!</v>
      </c>
      <c r="FP104" s="81" t="e">
        <f t="shared" si="222"/>
        <v>#DIV/0!</v>
      </c>
      <c r="FQ104" s="74" t="e">
        <f t="shared" ca="1" si="125"/>
        <v>#N/A</v>
      </c>
      <c r="FR104" s="82" t="e" vm="3">
        <f t="shared" ca="1" si="131"/>
        <v>#VALUE!</v>
      </c>
      <c r="FS104" s="7" t="e" vm="3">
        <f t="shared" ca="1" si="126"/>
        <v>#VALUE!</v>
      </c>
      <c r="FT104" t="e" vm="3">
        <f t="shared" ca="1" si="120"/>
        <v>#VALUE!</v>
      </c>
      <c r="FU104" s="8" t="e" vm="3">
        <f t="shared" ca="1" si="121"/>
        <v>#VALUE!</v>
      </c>
      <c r="FV104" s="8" t="e" vm="3">
        <f t="shared" ca="1" si="122"/>
        <v>#VALUE!</v>
      </c>
      <c r="FW104" s="81" t="e" vm="3">
        <f t="shared" ca="1" si="123"/>
        <v>#VALUE!</v>
      </c>
      <c r="FX104" s="74" t="e">
        <f t="shared" si="127"/>
        <v>#N/A</v>
      </c>
      <c r="FY104" s="82" t="e">
        <f t="shared" si="132"/>
        <v>#N/A</v>
      </c>
      <c r="FZ104" s="7" t="e">
        <f t="shared" si="128"/>
        <v>#N/A</v>
      </c>
      <c r="GA104" t="e">
        <f t="shared" si="133"/>
        <v>#N/A</v>
      </c>
      <c r="GB104" s="8" t="e">
        <f t="shared" si="134"/>
        <v>#N/A</v>
      </c>
      <c r="GC104" s="8" t="e">
        <f t="shared" si="135"/>
        <v>#N/A</v>
      </c>
      <c r="GD104" s="81" t="e">
        <f t="shared" si="136"/>
        <v>#N/A</v>
      </c>
      <c r="GE104" s="74" t="e">
        <f t="shared" si="137"/>
        <v>#N/A</v>
      </c>
      <c r="GF104" s="82" t="e">
        <f t="shared" si="138"/>
        <v>#N/A</v>
      </c>
      <c r="GG104" s="7" t="e">
        <f t="shared" si="129"/>
        <v>#N/A</v>
      </c>
      <c r="GH104" t="e">
        <f t="shared" si="139"/>
        <v>#N/A</v>
      </c>
      <c r="GI104" s="8" t="e">
        <f t="shared" si="140"/>
        <v>#N/A</v>
      </c>
      <c r="GJ104" s="8" t="e">
        <f t="shared" si="141"/>
        <v>#N/A</v>
      </c>
      <c r="GK104" s="81" t="e">
        <f t="shared" si="142"/>
        <v>#N/A</v>
      </c>
      <c r="GL104" s="81"/>
      <c r="GM104" s="81"/>
      <c r="GP104" s="32">
        <f t="shared" si="187"/>
        <v>94</v>
      </c>
      <c r="GQ104" s="32">
        <f t="shared" si="188"/>
        <v>95</v>
      </c>
      <c r="GR104" s="32">
        <f t="shared" si="189"/>
        <v>-0.83843512182847668</v>
      </c>
      <c r="GS104" s="32">
        <f t="shared" si="190"/>
        <v>0.28071222072349411</v>
      </c>
      <c r="GT104" s="32" t="e">
        <f t="shared" si="191"/>
        <v>#N/A</v>
      </c>
      <c r="GU104" s="32" t="e">
        <f t="shared" si="192"/>
        <v>#N/A</v>
      </c>
      <c r="GV104" s="32" t="e">
        <f t="shared" si="193"/>
        <v>#N/A</v>
      </c>
      <c r="GW104" s="32" t="b">
        <f t="shared" si="194"/>
        <v>0</v>
      </c>
      <c r="GX104" s="32" t="b">
        <f t="shared" si="195"/>
        <v>1</v>
      </c>
      <c r="GY104" s="32" t="b">
        <f t="shared" si="196"/>
        <v>0</v>
      </c>
      <c r="GZ104" s="32" t="b">
        <f t="shared" si="197"/>
        <v>1</v>
      </c>
      <c r="HA104" s="32">
        <f t="shared" si="198"/>
        <v>0.28071222072349411</v>
      </c>
      <c r="HB104" s="32" t="e">
        <f t="shared" si="199"/>
        <v>#N/A</v>
      </c>
      <c r="HC104" s="32">
        <f t="shared" si="200"/>
        <v>0.28071222072349411</v>
      </c>
      <c r="HD104" s="45" t="str">
        <f t="shared" si="201"/>
        <v/>
      </c>
      <c r="HJ104" s="32">
        <f t="shared" si="202"/>
        <v>94</v>
      </c>
      <c r="HK104" s="32">
        <f t="shared" si="203"/>
        <v>95</v>
      </c>
      <c r="HL104" s="32">
        <f t="shared" si="204"/>
        <v>-1.2983343953669895</v>
      </c>
      <c r="HM104" s="32" t="e">
        <f t="shared" si="205"/>
        <v>#N/A</v>
      </c>
      <c r="HN104" s="32">
        <f t="shared" si="206"/>
        <v>0.16241625995329936</v>
      </c>
      <c r="HO104" s="32" t="e">
        <f t="shared" si="207"/>
        <v>#N/A</v>
      </c>
      <c r="HP104" s="32" t="e">
        <f t="shared" si="208"/>
        <v>#N/A</v>
      </c>
      <c r="HQ104" s="32" t="b">
        <f t="shared" si="209"/>
        <v>1</v>
      </c>
      <c r="HR104" s="32" t="b">
        <f t="shared" si="210"/>
        <v>0</v>
      </c>
      <c r="HS104" s="32" t="b">
        <f t="shared" si="211"/>
        <v>0</v>
      </c>
      <c r="HT104" s="32" t="b">
        <f t="shared" si="212"/>
        <v>1</v>
      </c>
      <c r="HU104" s="32">
        <f t="shared" si="213"/>
        <v>0.16241625995329936</v>
      </c>
      <c r="HV104" s="32">
        <f t="shared" si="214"/>
        <v>0.16241625995329936</v>
      </c>
      <c r="HW104" s="32" t="e">
        <f t="shared" si="215"/>
        <v>#N/A</v>
      </c>
      <c r="HX104" s="45" t="str">
        <f t="shared" si="216"/>
        <v/>
      </c>
    </row>
    <row r="105" spans="78:232" x14ac:dyDescent="0.2">
      <c r="BZ105" s="32">
        <f t="shared" si="143"/>
        <v>95</v>
      </c>
      <c r="CA105" s="32">
        <f>Eu_tabel_g[[#This Row],[Indeks]]+1</f>
        <v>96</v>
      </c>
      <c r="CB105" s="32">
        <f t="shared" si="144"/>
        <v>-0.81447983263337731</v>
      </c>
      <c r="CC105" s="32">
        <f t="shared" si="145"/>
        <v>0.28632514820484678</v>
      </c>
      <c r="CD105" s="32" t="e">
        <f t="shared" si="146"/>
        <v>#N/A</v>
      </c>
      <c r="CE105" s="32" t="e">
        <f t="shared" si="147"/>
        <v>#N/A</v>
      </c>
      <c r="CF105" s="32" t="e">
        <f t="shared" si="148"/>
        <v>#N/A</v>
      </c>
      <c r="CG105" s="32" t="b">
        <f t="shared" si="149"/>
        <v>0</v>
      </c>
      <c r="CH105" s="32" t="b">
        <f t="shared" si="150"/>
        <v>1</v>
      </c>
      <c r="CI105" s="32" t="b">
        <f t="shared" si="151"/>
        <v>0</v>
      </c>
      <c r="CJ105" s="32" t="b">
        <f t="shared" si="152"/>
        <v>1</v>
      </c>
      <c r="CK105" s="32">
        <f t="shared" si="217"/>
        <v>0.28632514820484678</v>
      </c>
      <c r="CL105" s="32" t="e">
        <f t="shared" si="153"/>
        <v>#N/A</v>
      </c>
      <c r="CM105" s="32">
        <f t="shared" si="154"/>
        <v>0.28632514820484678</v>
      </c>
      <c r="CN105" s="45" t="str">
        <f t="shared" si="155"/>
        <v/>
      </c>
      <c r="CO105" s="32">
        <f>_xlfn.NORM.DIST(_xlfn.NORM.INV(1-Eu_g_konfidensniveau,0,1)-Eu_tabel_g[[#This Row],[x base]],0,1,TRUE)</f>
        <v>0.2031637386296424</v>
      </c>
      <c r="CP105" s="32">
        <f>1-_xlfn.NORM.DIST(_xlfn.NORM.INV(Eu_g_konfidensniveau,0,1)-Eu_tabel_g[[#This Row],[x base]],0,1,TRUE)</f>
        <v>6.959763111603845E-3</v>
      </c>
      <c r="CQ105" s="32">
        <f>_xlfn.NORM.DIST(_xlfn.NORM.INV((1-Eu_g_konfidensniveau)/2,0,1)-Eu_tabel_g[[#This Row],[x base]],0,1,TRUE)+1-_xlfn.NORM.DIST(_xlfn.NORM.INV(1-(1-Eu_g_konfidensniveau)/2,0,1)-Eu_tabel_g[[#This Row],[x base]],0,1,TRUE)</f>
        <v>0.12876913755707786</v>
      </c>
      <c r="CR105" s="32" t="e" cm="1">
        <f t="array" ref="CR105">IF($CR$3,INDEX(Eu_tabel_g[[#This Row],[Styrke venstre]:[Styrke tosidet]],CR$7),NA())</f>
        <v>#N/A</v>
      </c>
      <c r="CS105" s="52" t="e">
        <f>Eu_tabel_g[[#This Row],[Falsk positiv
Nulhypotese accepteres
Fejltype 1]]</f>
        <v>#N/A</v>
      </c>
      <c r="CT105" s="52" t="e">
        <f>IF(CHOOSE(CR$7,Eu_tabel_g[[#This Row],[x base]]&gt;0,Eu_tabel_g[[#This Row],[x base]]&lt;0,Eu_tabel_g[[#This Row],[x base]]=0),Eu_tabel_g[[#This Row],[Styrke, aktiv]],NA())</f>
        <v>#N/A</v>
      </c>
      <c r="CU105" s="52" t="e">
        <f>IFERROR(IF($CR$3,Eu_tabel_g[[#This Row],[Styrke, aktiv]],NA()),NA())</f>
        <v>#N/A</v>
      </c>
      <c r="CV105" s="52" t="e">
        <f>IF(ISNA(Eu_tabel_g[[#This Row],[Sand negativ
Nulhypotese afvises
Korrekt]]),NA(),IF($CR$3,1,NA()))</f>
        <v>#N/A</v>
      </c>
      <c r="CW105" s="34" t="str" cm="1">
        <f t="array" ref="CW105">_xlfn.SWITCH(BZ105,_xlfn.IFNA(CU$2,-99),CU$5,_xlfn.IFNA(CU$3,-99),CU$6,_xlfn.IFNA(CU$4,-99),CU$7,"")</f>
        <v/>
      </c>
      <c r="DA105" s="7">
        <f t="shared" si="156"/>
        <v>0.8</v>
      </c>
      <c r="DB105">
        <f>IF(ROW(Styrkeberegning_G[[#This Row],[X base venstre]])=ROW(Styrkeberegning_G[[#Headers],[X base venstre]])+1,DB$7/(DA$7/$B$67),DB104/(DA104/$B$67))</f>
        <v>-2.8015817870135784</v>
      </c>
      <c r="DC105">
        <f>Styrkeberegning_G[[#This Row],[X base venstre]]*-1</f>
        <v>2.8015817870135784</v>
      </c>
      <c r="DN105" s="32">
        <f t="shared" si="157"/>
        <v>95</v>
      </c>
      <c r="DO105" s="32">
        <f t="shared" si="158"/>
        <v>96</v>
      </c>
      <c r="DP105" s="32">
        <f t="shared" si="159"/>
        <v>12.670584024268786</v>
      </c>
      <c r="DQ105" s="32" t="e">
        <f t="shared" si="160"/>
        <v>#N/A</v>
      </c>
      <c r="DR105" s="32" t="e">
        <f t="shared" si="161"/>
        <v>#N/A</v>
      </c>
      <c r="DS105" s="32">
        <f t="shared" si="162"/>
        <v>6.8656355318932036E-2</v>
      </c>
      <c r="DT105" s="32" t="e">
        <f t="shared" si="163"/>
        <v>#N/A</v>
      </c>
      <c r="DU105" s="32" t="b">
        <f t="shared" si="164"/>
        <v>0</v>
      </c>
      <c r="DV105" s="32" t="b">
        <f t="shared" si="165"/>
        <v>1</v>
      </c>
      <c r="DW105" s="32" t="b">
        <f t="shared" si="166"/>
        <v>0</v>
      </c>
      <c r="DX105" s="32" t="b">
        <f t="shared" si="167"/>
        <v>1</v>
      </c>
      <c r="DY105" s="32">
        <f t="shared" si="168"/>
        <v>6.8656355318932036E-2</v>
      </c>
      <c r="DZ105" s="32" t="e">
        <f t="shared" si="169"/>
        <v>#N/A</v>
      </c>
      <c r="EA105" s="32">
        <f t="shared" si="170"/>
        <v>6.8656355318932036E-2</v>
      </c>
      <c r="EB105" s="45" t="str">
        <f t="shared" si="171"/>
        <v/>
      </c>
      <c r="EG105" s="32">
        <f t="shared" si="172"/>
        <v>95</v>
      </c>
      <c r="EH105" s="32">
        <f t="shared" si="173"/>
        <v>96</v>
      </c>
      <c r="EI105" s="32">
        <f t="shared" si="174"/>
        <v>-0.81447983263337731</v>
      </c>
      <c r="EJ105" s="32">
        <f t="shared" si="175"/>
        <v>0.28632514820484678</v>
      </c>
      <c r="EK105" s="32" t="e">
        <f t="shared" si="176"/>
        <v>#N/A</v>
      </c>
      <c r="EL105" s="32" t="e">
        <f t="shared" si="177"/>
        <v>#N/A</v>
      </c>
      <c r="EM105" s="32" t="e">
        <f t="shared" si="178"/>
        <v>#N/A</v>
      </c>
      <c r="EN105" s="32" t="b">
        <f t="shared" si="179"/>
        <v>0</v>
      </c>
      <c r="EO105" s="32" t="b">
        <f t="shared" si="180"/>
        <v>1</v>
      </c>
      <c r="EP105" s="32" t="b">
        <f t="shared" si="181"/>
        <v>0</v>
      </c>
      <c r="EQ105" s="32" t="b">
        <f t="shared" si="182"/>
        <v>1</v>
      </c>
      <c r="ER105" s="32">
        <f t="shared" si="183"/>
        <v>0.28632514820484678</v>
      </c>
      <c r="ES105" s="32" t="e">
        <f t="shared" si="184"/>
        <v>#N/A</v>
      </c>
      <c r="ET105" s="32">
        <f t="shared" si="185"/>
        <v>0.28632514820484678</v>
      </c>
      <c r="EU105" s="45" t="str">
        <f t="shared" si="186"/>
        <v/>
      </c>
      <c r="EV10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5" s="32" t="e" cm="1">
        <f t="array" ref="EY105">IF($CR$3,INDEX(Eu_tabel_a[[#This Row],[Styrke venstre]:[Styrke tosidet]],EY$7),NA())</f>
        <v>#N/A</v>
      </c>
      <c r="EZ105" s="32" t="e">
        <f>IF(EY$3,IF(CHOOSE(EY$7,Eu_tabel_a[[#This Row],[x base]]&gt;0,Eu_tabel_a[[#This Row],[x base]]&lt;0,Eu_tabel_a[[#This Row],[x base]]=0),1,NA()),NA())</f>
        <v>#N/A</v>
      </c>
      <c r="FA105" s="32" t="e">
        <f>IF(CHOOSE(EY$7,Eu_tabel_a[[#This Row],[x base]]&gt;0,Eu_tabel_a[[#This Row],[x base]]&lt;0,Eu_tabel_a[[#This Row],[x base]]=0),Eu_tabel_a[[#This Row],[Styrke, aktiv]],NA())</f>
        <v>#N/A</v>
      </c>
      <c r="FB105" s="32" t="e">
        <f>IFERROR(IF($EY$3,Eu_tabel_a[[#This Row],[Styrke, aktiv]],NA()),NA())</f>
        <v>#N/A</v>
      </c>
      <c r="FC105" s="32" t="e">
        <f>IF(ISNA(Eu_tabel_a[[#This Row],[Sand negativ
Nulhypotese afvises
Korrekt]]),NA(),IF(EY$3,1,NA()))</f>
        <v>#N/A</v>
      </c>
      <c r="FD105" s="33" t="str" cm="1">
        <f t="array" ref="FD105">IFERROR(_xlfn.SWITCH(Eu_tabel_a[[#This Row],[Indeks]],_xlfn.IFNA(FB$2,-99),FB$5,_xlfn.IFNA(FB$3,-99),FB$6,_xlfn.IFNA(FB$4,-99),FB$7,""),"")</f>
        <v/>
      </c>
      <c r="FE105" s="32">
        <f>Eu_tabel_a[[#This Row],[x base]]*SQRT(Eu_a_h0_x*(1-Eu_a_h0_x)/Eu_a_n_x)+Eu_a_h0_x</f>
        <v>0</v>
      </c>
      <c r="FJ105" s="74" t="e">
        <f t="shared" si="130"/>
        <v>#N/A</v>
      </c>
      <c r="FK105" s="82" t="e">
        <f t="shared" si="218"/>
        <v>#DIV/0!</v>
      </c>
      <c r="FL105" s="7" t="e">
        <f t="shared" si="124"/>
        <v>#DIV/0!</v>
      </c>
      <c r="FM105" t="e">
        <f t="shared" si="219"/>
        <v>#DIV/0!</v>
      </c>
      <c r="FN105" s="8" t="e">
        <f t="shared" si="220"/>
        <v>#DIV/0!</v>
      </c>
      <c r="FO105" s="8" t="e">
        <f t="shared" si="221"/>
        <v>#DIV/0!</v>
      </c>
      <c r="FP105" s="81" t="e">
        <f t="shared" si="222"/>
        <v>#DIV/0!</v>
      </c>
      <c r="FQ105" s="74" t="e">
        <f t="shared" ca="1" si="125"/>
        <v>#N/A</v>
      </c>
      <c r="FR105" s="82" t="e" vm="3">
        <f t="shared" ca="1" si="131"/>
        <v>#VALUE!</v>
      </c>
      <c r="FS105" s="7" t="e" vm="3">
        <f t="shared" ca="1" si="126"/>
        <v>#VALUE!</v>
      </c>
      <c r="FT105" t="e" vm="3">
        <f t="shared" ca="1" si="120"/>
        <v>#VALUE!</v>
      </c>
      <c r="FU105" s="8" t="e" vm="3">
        <f t="shared" ca="1" si="121"/>
        <v>#VALUE!</v>
      </c>
      <c r="FV105" s="8" t="e" vm="3">
        <f t="shared" ca="1" si="122"/>
        <v>#VALUE!</v>
      </c>
      <c r="FW105" s="81" t="e" vm="3">
        <f t="shared" ca="1" si="123"/>
        <v>#VALUE!</v>
      </c>
      <c r="FX105" s="74" t="e">
        <f t="shared" si="127"/>
        <v>#N/A</v>
      </c>
      <c r="FY105" s="82" t="e">
        <f t="shared" si="132"/>
        <v>#N/A</v>
      </c>
      <c r="FZ105" s="7" t="e">
        <f t="shared" si="128"/>
        <v>#N/A</v>
      </c>
      <c r="GA105" t="e">
        <f t="shared" si="133"/>
        <v>#N/A</v>
      </c>
      <c r="GB105" s="8" t="e">
        <f t="shared" si="134"/>
        <v>#N/A</v>
      </c>
      <c r="GC105" s="8" t="e">
        <f t="shared" si="135"/>
        <v>#N/A</v>
      </c>
      <c r="GD105" s="81" t="e">
        <f t="shared" si="136"/>
        <v>#N/A</v>
      </c>
      <c r="GE105" s="74" t="e">
        <f t="shared" si="137"/>
        <v>#N/A</v>
      </c>
      <c r="GF105" s="82" t="e">
        <f t="shared" si="138"/>
        <v>#N/A</v>
      </c>
      <c r="GG105" s="7" t="e">
        <f t="shared" si="129"/>
        <v>#N/A</v>
      </c>
      <c r="GH105" t="e">
        <f t="shared" si="139"/>
        <v>#N/A</v>
      </c>
      <c r="GI105" s="8" t="e">
        <f t="shared" si="140"/>
        <v>#N/A</v>
      </c>
      <c r="GJ105" s="8" t="e">
        <f t="shared" si="141"/>
        <v>#N/A</v>
      </c>
      <c r="GK105" s="81" t="e">
        <f t="shared" si="142"/>
        <v>#N/A</v>
      </c>
      <c r="GL105" s="81"/>
      <c r="GM105" s="81"/>
      <c r="GP105" s="32">
        <f t="shared" si="187"/>
        <v>95</v>
      </c>
      <c r="GQ105" s="32">
        <f t="shared" si="188"/>
        <v>96</v>
      </c>
      <c r="GR105" s="32">
        <f t="shared" si="189"/>
        <v>-0.81447983263337731</v>
      </c>
      <c r="GS105" s="32">
        <f t="shared" si="190"/>
        <v>0.28632514820484678</v>
      </c>
      <c r="GT105" s="32" t="e">
        <f t="shared" si="191"/>
        <v>#N/A</v>
      </c>
      <c r="GU105" s="32" t="e">
        <f t="shared" si="192"/>
        <v>#N/A</v>
      </c>
      <c r="GV105" s="32" t="e">
        <f t="shared" si="193"/>
        <v>#N/A</v>
      </c>
      <c r="GW105" s="32" t="b">
        <f t="shared" si="194"/>
        <v>0</v>
      </c>
      <c r="GX105" s="32" t="b">
        <f t="shared" si="195"/>
        <v>1</v>
      </c>
      <c r="GY105" s="32" t="b">
        <f t="shared" si="196"/>
        <v>0</v>
      </c>
      <c r="GZ105" s="32" t="b">
        <f t="shared" si="197"/>
        <v>1</v>
      </c>
      <c r="HA105" s="32">
        <f t="shared" si="198"/>
        <v>0.28632514820484678</v>
      </c>
      <c r="HB105" s="32" t="e">
        <f t="shared" si="199"/>
        <v>#N/A</v>
      </c>
      <c r="HC105" s="32">
        <f t="shared" si="200"/>
        <v>0.28632514820484678</v>
      </c>
      <c r="HD105" s="45" t="str">
        <f t="shared" si="201"/>
        <v/>
      </c>
      <c r="HJ105" s="32">
        <f t="shared" si="202"/>
        <v>95</v>
      </c>
      <c r="HK105" s="32">
        <f t="shared" si="203"/>
        <v>96</v>
      </c>
      <c r="HL105" s="32">
        <f t="shared" si="204"/>
        <v>-1.2612391269279324</v>
      </c>
      <c r="HM105" s="32" t="e">
        <f t="shared" si="205"/>
        <v>#N/A</v>
      </c>
      <c r="HN105" s="32">
        <f t="shared" si="206"/>
        <v>0.16971653355867566</v>
      </c>
      <c r="HO105" s="32" t="e">
        <f t="shared" si="207"/>
        <v>#N/A</v>
      </c>
      <c r="HP105" s="32" t="e">
        <f t="shared" si="208"/>
        <v>#N/A</v>
      </c>
      <c r="HQ105" s="32" t="b">
        <f t="shared" si="209"/>
        <v>1</v>
      </c>
      <c r="HR105" s="32" t="b">
        <f t="shared" si="210"/>
        <v>0</v>
      </c>
      <c r="HS105" s="32" t="b">
        <f t="shared" si="211"/>
        <v>0</v>
      </c>
      <c r="HT105" s="32" t="b">
        <f t="shared" si="212"/>
        <v>1</v>
      </c>
      <c r="HU105" s="32">
        <f t="shared" si="213"/>
        <v>0.16971653355867566</v>
      </c>
      <c r="HV105" s="32">
        <f t="shared" si="214"/>
        <v>0.16971653355867566</v>
      </c>
      <c r="HW105" s="32" t="e">
        <f t="shared" si="215"/>
        <v>#N/A</v>
      </c>
      <c r="HX105" s="45" t="str">
        <f t="shared" si="216"/>
        <v/>
      </c>
    </row>
    <row r="106" spans="78:232" x14ac:dyDescent="0.2">
      <c r="BZ106" s="32">
        <f t="shared" si="143"/>
        <v>96</v>
      </c>
      <c r="CA106" s="32">
        <f>Eu_tabel_g[[#This Row],[Indeks]]+1</f>
        <v>97</v>
      </c>
      <c r="CB106" s="32">
        <f t="shared" si="144"/>
        <v>-0.79052454343827794</v>
      </c>
      <c r="CC106" s="32">
        <f t="shared" si="145"/>
        <v>0.29188276119520318</v>
      </c>
      <c r="CD106" s="32" t="e">
        <f t="shared" si="146"/>
        <v>#N/A</v>
      </c>
      <c r="CE106" s="32" t="e">
        <f t="shared" si="147"/>
        <v>#N/A</v>
      </c>
      <c r="CF106" s="32" t="e">
        <f t="shared" si="148"/>
        <v>#N/A</v>
      </c>
      <c r="CG106" s="32" t="b">
        <f t="shared" si="149"/>
        <v>0</v>
      </c>
      <c r="CH106" s="32" t="b">
        <f t="shared" si="150"/>
        <v>1</v>
      </c>
      <c r="CI106" s="32" t="b">
        <f t="shared" si="151"/>
        <v>0</v>
      </c>
      <c r="CJ106" s="32" t="b">
        <f t="shared" si="152"/>
        <v>1</v>
      </c>
      <c r="CK106" s="32">
        <f t="shared" si="217"/>
        <v>0.29188276119520318</v>
      </c>
      <c r="CL106" s="32" t="e">
        <f t="shared" si="153"/>
        <v>#N/A</v>
      </c>
      <c r="CM106" s="32">
        <f t="shared" si="154"/>
        <v>0.29188276119520318</v>
      </c>
      <c r="CN106" s="45" t="str">
        <f t="shared" si="155"/>
        <v/>
      </c>
      <c r="CO106" s="32">
        <f>_xlfn.NORM.DIST(_xlfn.NORM.INV(1-Eu_g_konfidensniveau,0,1)-Eu_tabel_g[[#This Row],[x base]],0,1,TRUE)</f>
        <v>0.19646133849496453</v>
      </c>
      <c r="CP106" s="32">
        <f>1-_xlfn.NORM.DIST(_xlfn.NORM.INV(Eu_g_konfidensniveau,0,1)-Eu_tabel_g[[#This Row],[x base]],0,1,TRUE)</f>
        <v>7.4381165847303699E-3</v>
      </c>
      <c r="CQ106" s="32">
        <f>_xlfn.NORM.DIST(_xlfn.NORM.INV((1-Eu_g_konfidensniveau)/2,0,1)-Eu_tabel_g[[#This Row],[x base]],0,1,TRUE)+1-_xlfn.NORM.DIST(_xlfn.NORM.INV(1-(1-Eu_g_konfidensniveau)/2,0,1)-Eu_tabel_g[[#This Row],[x base]],0,1,TRUE)</f>
        <v>0.12408863721087593</v>
      </c>
      <c r="CR106" s="32" t="e" cm="1">
        <f t="array" ref="CR106">IF($CR$3,INDEX(Eu_tabel_g[[#This Row],[Styrke venstre]:[Styrke tosidet]],CR$7),NA())</f>
        <v>#N/A</v>
      </c>
      <c r="CS106" s="52" t="e">
        <f>Eu_tabel_g[[#This Row],[Falsk positiv
Nulhypotese accepteres
Fejltype 1]]</f>
        <v>#N/A</v>
      </c>
      <c r="CT106" s="52" t="e">
        <f>IF(CHOOSE(CR$7,Eu_tabel_g[[#This Row],[x base]]&gt;0,Eu_tabel_g[[#This Row],[x base]]&lt;0,Eu_tabel_g[[#This Row],[x base]]=0),Eu_tabel_g[[#This Row],[Styrke, aktiv]],NA())</f>
        <v>#N/A</v>
      </c>
      <c r="CU106" s="52" t="e">
        <f>IFERROR(IF($CR$3,Eu_tabel_g[[#This Row],[Styrke, aktiv]],NA()),NA())</f>
        <v>#N/A</v>
      </c>
      <c r="CV106" s="52" t="e">
        <f>IF(ISNA(Eu_tabel_g[[#This Row],[Sand negativ
Nulhypotese afvises
Korrekt]]),NA(),IF($CR$3,1,NA()))</f>
        <v>#N/A</v>
      </c>
      <c r="CW106" s="34" t="str" cm="1">
        <f t="array" ref="CW106">_xlfn.SWITCH(BZ106,_xlfn.IFNA(CU$2,-99),CU$5,_xlfn.IFNA(CU$3,-99),CU$6,_xlfn.IFNA(CU$4,-99),CU$7,"")</f>
        <v/>
      </c>
      <c r="DA106" s="7">
        <f t="shared" si="156"/>
        <v>0.8</v>
      </c>
      <c r="DB106">
        <f>IF(ROW(Styrkeberegning_G[[#This Row],[X base venstre]])=ROW(Styrkeberegning_G[[#Headers],[X base venstre]])+1,DB$7/(DA$7/$B$67),DB105/(DA105/$B$67))</f>
        <v>-2.8015817870135784</v>
      </c>
      <c r="DC106">
        <f>Styrkeberegning_G[[#This Row],[X base venstre]]*-1</f>
        <v>2.8015817870135784</v>
      </c>
      <c r="DN106" s="32">
        <f t="shared" si="157"/>
        <v>96</v>
      </c>
      <c r="DO106" s="32">
        <f t="shared" si="158"/>
        <v>97</v>
      </c>
      <c r="DP106" s="32">
        <f t="shared" si="159"/>
        <v>12.784654880685787</v>
      </c>
      <c r="DQ106" s="32" t="e">
        <f t="shared" si="160"/>
        <v>#N/A</v>
      </c>
      <c r="DR106" s="32" t="e">
        <f t="shared" si="161"/>
        <v>#N/A</v>
      </c>
      <c r="DS106" s="32">
        <f t="shared" si="162"/>
        <v>6.7519040682468889E-2</v>
      </c>
      <c r="DT106" s="32" t="e">
        <f t="shared" si="163"/>
        <v>#N/A</v>
      </c>
      <c r="DU106" s="32" t="b">
        <f t="shared" si="164"/>
        <v>0</v>
      </c>
      <c r="DV106" s="32" t="b">
        <f t="shared" si="165"/>
        <v>1</v>
      </c>
      <c r="DW106" s="32" t="b">
        <f t="shared" si="166"/>
        <v>0</v>
      </c>
      <c r="DX106" s="32" t="b">
        <f t="shared" si="167"/>
        <v>1</v>
      </c>
      <c r="DY106" s="32">
        <f t="shared" si="168"/>
        <v>6.7519040682468889E-2</v>
      </c>
      <c r="DZ106" s="32" t="e">
        <f t="shared" si="169"/>
        <v>#N/A</v>
      </c>
      <c r="EA106" s="32">
        <f t="shared" si="170"/>
        <v>6.7519040682468889E-2</v>
      </c>
      <c r="EB106" s="45" t="str">
        <f t="shared" si="171"/>
        <v/>
      </c>
      <c r="EG106" s="32">
        <f t="shared" si="172"/>
        <v>96</v>
      </c>
      <c r="EH106" s="32">
        <f t="shared" si="173"/>
        <v>97</v>
      </c>
      <c r="EI106" s="32">
        <f t="shared" si="174"/>
        <v>-0.79052454343827794</v>
      </c>
      <c r="EJ106" s="32">
        <f t="shared" si="175"/>
        <v>0.29188276119520318</v>
      </c>
      <c r="EK106" s="32" t="e">
        <f t="shared" si="176"/>
        <v>#N/A</v>
      </c>
      <c r="EL106" s="32" t="e">
        <f t="shared" si="177"/>
        <v>#N/A</v>
      </c>
      <c r="EM106" s="32" t="e">
        <f t="shared" si="178"/>
        <v>#N/A</v>
      </c>
      <c r="EN106" s="32" t="b">
        <f t="shared" si="179"/>
        <v>0</v>
      </c>
      <c r="EO106" s="32" t="b">
        <f t="shared" si="180"/>
        <v>1</v>
      </c>
      <c r="EP106" s="32" t="b">
        <f t="shared" si="181"/>
        <v>0</v>
      </c>
      <c r="EQ106" s="32" t="b">
        <f t="shared" si="182"/>
        <v>1</v>
      </c>
      <c r="ER106" s="32">
        <f t="shared" si="183"/>
        <v>0.29188276119520318</v>
      </c>
      <c r="ES106" s="32" t="e">
        <f t="shared" si="184"/>
        <v>#N/A</v>
      </c>
      <c r="ET106" s="32">
        <f t="shared" si="185"/>
        <v>0.29188276119520318</v>
      </c>
      <c r="EU106" s="45" t="str">
        <f t="shared" si="186"/>
        <v/>
      </c>
      <c r="EV10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6" s="32" t="e" cm="1">
        <f t="array" ref="EY106">IF($CR$3,INDEX(Eu_tabel_a[[#This Row],[Styrke venstre]:[Styrke tosidet]],EY$7),NA())</f>
        <v>#N/A</v>
      </c>
      <c r="EZ106" s="32" t="e">
        <f>IF(EY$3,IF(CHOOSE(EY$7,Eu_tabel_a[[#This Row],[x base]]&gt;0,Eu_tabel_a[[#This Row],[x base]]&lt;0,Eu_tabel_a[[#This Row],[x base]]=0),1,NA()),NA())</f>
        <v>#N/A</v>
      </c>
      <c r="FA106" s="32" t="e">
        <f>IF(CHOOSE(EY$7,Eu_tabel_a[[#This Row],[x base]]&gt;0,Eu_tabel_a[[#This Row],[x base]]&lt;0,Eu_tabel_a[[#This Row],[x base]]=0),Eu_tabel_a[[#This Row],[Styrke, aktiv]],NA())</f>
        <v>#N/A</v>
      </c>
      <c r="FB106" s="32" t="e">
        <f>IFERROR(IF($EY$3,Eu_tabel_a[[#This Row],[Styrke, aktiv]],NA()),NA())</f>
        <v>#N/A</v>
      </c>
      <c r="FC106" s="32" t="e">
        <f>IF(ISNA(Eu_tabel_a[[#This Row],[Sand negativ
Nulhypotese afvises
Korrekt]]),NA(),IF(EY$3,1,NA()))</f>
        <v>#N/A</v>
      </c>
      <c r="FD106" s="33" t="str" cm="1">
        <f t="array" ref="FD106">IFERROR(_xlfn.SWITCH(Eu_tabel_a[[#This Row],[Indeks]],_xlfn.IFNA(FB$2,-99),FB$5,_xlfn.IFNA(FB$3,-99),FB$6,_xlfn.IFNA(FB$4,-99),FB$7,""),"")</f>
        <v/>
      </c>
      <c r="FE106" s="32">
        <f>Eu_tabel_a[[#This Row],[x base]]*SQRT(Eu_a_h0_x*(1-Eu_a_h0_x)/Eu_a_n_x)+Eu_a_h0_x</f>
        <v>0</v>
      </c>
      <c r="FJ106" s="74" t="e">
        <f t="shared" si="130"/>
        <v>#N/A</v>
      </c>
      <c r="FK106" s="82" t="e">
        <f t="shared" si="218"/>
        <v>#DIV/0!</v>
      </c>
      <c r="FL106" s="7" t="e">
        <f t="shared" si="124"/>
        <v>#DIV/0!</v>
      </c>
      <c r="FM106" t="e">
        <f t="shared" si="219"/>
        <v>#DIV/0!</v>
      </c>
      <c r="FN106" s="8" t="e">
        <f t="shared" si="220"/>
        <v>#DIV/0!</v>
      </c>
      <c r="FO106" s="8" t="e">
        <f t="shared" si="221"/>
        <v>#DIV/0!</v>
      </c>
      <c r="FP106" s="81" t="e">
        <f t="shared" si="222"/>
        <v>#DIV/0!</v>
      </c>
      <c r="FQ106" s="74" t="e">
        <f t="shared" ca="1" si="125"/>
        <v>#N/A</v>
      </c>
      <c r="FR106" s="82" t="e" vm="3">
        <f t="shared" ca="1" si="131"/>
        <v>#VALUE!</v>
      </c>
      <c r="FS106" s="7" t="e" vm="3">
        <f t="shared" ca="1" si="126"/>
        <v>#VALUE!</v>
      </c>
      <c r="FT106" t="e" vm="3">
        <f t="shared" ca="1" si="120"/>
        <v>#VALUE!</v>
      </c>
      <c r="FU106" s="8" t="e" vm="3">
        <f t="shared" ca="1" si="121"/>
        <v>#VALUE!</v>
      </c>
      <c r="FV106" s="8" t="e" vm="3">
        <f t="shared" ca="1" si="122"/>
        <v>#VALUE!</v>
      </c>
      <c r="FW106" s="81" t="e" vm="3">
        <f t="shared" ca="1" si="123"/>
        <v>#VALUE!</v>
      </c>
      <c r="FX106" s="74" t="e">
        <f t="shared" si="127"/>
        <v>#N/A</v>
      </c>
      <c r="FY106" s="82" t="e">
        <f t="shared" si="132"/>
        <v>#N/A</v>
      </c>
      <c r="FZ106" s="7" t="e">
        <f t="shared" si="128"/>
        <v>#N/A</v>
      </c>
      <c r="GA106" t="e">
        <f t="shared" si="133"/>
        <v>#N/A</v>
      </c>
      <c r="GB106" s="8" t="e">
        <f t="shared" si="134"/>
        <v>#N/A</v>
      </c>
      <c r="GC106" s="8" t="e">
        <f t="shared" si="135"/>
        <v>#N/A</v>
      </c>
      <c r="GD106" s="81" t="e">
        <f t="shared" si="136"/>
        <v>#N/A</v>
      </c>
      <c r="GE106" s="74" t="e">
        <f t="shared" si="137"/>
        <v>#N/A</v>
      </c>
      <c r="GF106" s="82" t="e">
        <f t="shared" si="138"/>
        <v>#N/A</v>
      </c>
      <c r="GG106" s="7" t="e">
        <f t="shared" si="129"/>
        <v>#N/A</v>
      </c>
      <c r="GH106" t="e">
        <f t="shared" si="139"/>
        <v>#N/A</v>
      </c>
      <c r="GI106" s="8" t="e">
        <f t="shared" si="140"/>
        <v>#N/A</v>
      </c>
      <c r="GJ106" s="8" t="e">
        <f t="shared" si="141"/>
        <v>#N/A</v>
      </c>
      <c r="GK106" s="81" t="e">
        <f t="shared" si="142"/>
        <v>#N/A</v>
      </c>
      <c r="GL106" s="81"/>
      <c r="GM106" s="81"/>
      <c r="GP106" s="32">
        <f t="shared" si="187"/>
        <v>96</v>
      </c>
      <c r="GQ106" s="32">
        <f t="shared" si="188"/>
        <v>97</v>
      </c>
      <c r="GR106" s="32">
        <f t="shared" si="189"/>
        <v>-0.79052454343827794</v>
      </c>
      <c r="GS106" s="32">
        <f t="shared" si="190"/>
        <v>0.29188276119520318</v>
      </c>
      <c r="GT106" s="32" t="e">
        <f t="shared" si="191"/>
        <v>#N/A</v>
      </c>
      <c r="GU106" s="32" t="e">
        <f t="shared" si="192"/>
        <v>#N/A</v>
      </c>
      <c r="GV106" s="32" t="e">
        <f t="shared" si="193"/>
        <v>#N/A</v>
      </c>
      <c r="GW106" s="32" t="b">
        <f t="shared" si="194"/>
        <v>0</v>
      </c>
      <c r="GX106" s="32" t="b">
        <f t="shared" si="195"/>
        <v>1</v>
      </c>
      <c r="GY106" s="32" t="b">
        <f t="shared" si="196"/>
        <v>0</v>
      </c>
      <c r="GZ106" s="32" t="b">
        <f t="shared" si="197"/>
        <v>1</v>
      </c>
      <c r="HA106" s="32">
        <f t="shared" si="198"/>
        <v>0.29188276119520318</v>
      </c>
      <c r="HB106" s="32" t="e">
        <f t="shared" si="199"/>
        <v>#N/A</v>
      </c>
      <c r="HC106" s="32">
        <f t="shared" si="200"/>
        <v>0.29188276119520318</v>
      </c>
      <c r="HD106" s="45" t="str">
        <f t="shared" si="201"/>
        <v/>
      </c>
      <c r="HJ106" s="32">
        <f t="shared" si="202"/>
        <v>96</v>
      </c>
      <c r="HK106" s="32">
        <f t="shared" si="203"/>
        <v>97</v>
      </c>
      <c r="HL106" s="32">
        <f t="shared" si="204"/>
        <v>-1.2241438584888757</v>
      </c>
      <c r="HM106" s="32" t="e">
        <f t="shared" si="205"/>
        <v>#N/A</v>
      </c>
      <c r="HN106" s="32">
        <f t="shared" si="206"/>
        <v>0.17720189794105068</v>
      </c>
      <c r="HO106" s="32" t="e">
        <f t="shared" si="207"/>
        <v>#N/A</v>
      </c>
      <c r="HP106" s="32" t="e">
        <f t="shared" si="208"/>
        <v>#N/A</v>
      </c>
      <c r="HQ106" s="32" t="b">
        <f t="shared" si="209"/>
        <v>1</v>
      </c>
      <c r="HR106" s="32" t="b">
        <f t="shared" si="210"/>
        <v>0</v>
      </c>
      <c r="HS106" s="32" t="b">
        <f t="shared" si="211"/>
        <v>0</v>
      </c>
      <c r="HT106" s="32" t="b">
        <f t="shared" si="212"/>
        <v>1</v>
      </c>
      <c r="HU106" s="32">
        <f t="shared" si="213"/>
        <v>0.17720189794105068</v>
      </c>
      <c r="HV106" s="32">
        <f t="shared" si="214"/>
        <v>0.17720189794105068</v>
      </c>
      <c r="HW106" s="32" t="e">
        <f t="shared" si="215"/>
        <v>#N/A</v>
      </c>
      <c r="HX106" s="45" t="str">
        <f t="shared" si="216"/>
        <v/>
      </c>
    </row>
    <row r="107" spans="78:232" x14ac:dyDescent="0.2">
      <c r="BZ107" s="32">
        <f t="shared" si="143"/>
        <v>97</v>
      </c>
      <c r="CA107" s="32">
        <f>Eu_tabel_g[[#This Row],[Indeks]]+1</f>
        <v>98</v>
      </c>
      <c r="CB107" s="32">
        <f t="shared" si="144"/>
        <v>-0.76656925424317857</v>
      </c>
      <c r="CC107" s="32">
        <f t="shared" si="145"/>
        <v>0.29737754743782796</v>
      </c>
      <c r="CD107" s="32" t="e">
        <f t="shared" si="146"/>
        <v>#N/A</v>
      </c>
      <c r="CE107" s="32" t="e">
        <f t="shared" si="147"/>
        <v>#N/A</v>
      </c>
      <c r="CF107" s="32" t="e">
        <f t="shared" si="148"/>
        <v>#N/A</v>
      </c>
      <c r="CG107" s="32" t="b">
        <f t="shared" si="149"/>
        <v>0</v>
      </c>
      <c r="CH107" s="32" t="b">
        <f t="shared" si="150"/>
        <v>1</v>
      </c>
      <c r="CI107" s="32" t="b">
        <f t="shared" si="151"/>
        <v>0</v>
      </c>
      <c r="CJ107" s="32" t="b">
        <f t="shared" si="152"/>
        <v>1</v>
      </c>
      <c r="CK107" s="32">
        <f t="shared" si="217"/>
        <v>0.29737754743782796</v>
      </c>
      <c r="CL107" s="32" t="e">
        <f t="shared" si="153"/>
        <v>#N/A</v>
      </c>
      <c r="CM107" s="32">
        <f t="shared" si="154"/>
        <v>0.29737754743782796</v>
      </c>
      <c r="CN107" s="45" t="str">
        <f t="shared" si="155"/>
        <v/>
      </c>
      <c r="CO107" s="32">
        <f>_xlfn.NORM.DIST(_xlfn.NORM.INV(1-Eu_g_konfidensniveau,0,1)-Eu_tabel_g[[#This Row],[x base]],0,1,TRUE)</f>
        <v>0.18989470713955475</v>
      </c>
      <c r="CP107" s="32">
        <f>1-_xlfn.NORM.DIST(_xlfn.NORM.INV(Eu_g_konfidensniveau,0,1)-Eu_tabel_g[[#This Row],[x base]],0,1,TRUE)</f>
        <v>7.9452059958896593E-3</v>
      </c>
      <c r="CQ107" s="32">
        <f>_xlfn.NORM.DIST(_xlfn.NORM.INV((1-Eu_g_konfidensniveau)/2,0,1)-Eu_tabel_g[[#This Row],[x base]],0,1,TRUE)+1-_xlfn.NORM.DIST(_xlfn.NORM.INV(1-(1-Eu_g_konfidensniveau)/2,0,1)-Eu_tabel_g[[#This Row],[x base]],0,1,TRUE)</f>
        <v>0.1195575842137484</v>
      </c>
      <c r="CR107" s="32" t="e" cm="1">
        <f t="array" ref="CR107">IF($CR$3,INDEX(Eu_tabel_g[[#This Row],[Styrke venstre]:[Styrke tosidet]],CR$7),NA())</f>
        <v>#N/A</v>
      </c>
      <c r="CS107" s="52" t="e">
        <f>Eu_tabel_g[[#This Row],[Falsk positiv
Nulhypotese accepteres
Fejltype 1]]</f>
        <v>#N/A</v>
      </c>
      <c r="CT107" s="52" t="e">
        <f>IF(CHOOSE(CR$7,Eu_tabel_g[[#This Row],[x base]]&gt;0,Eu_tabel_g[[#This Row],[x base]]&lt;0,Eu_tabel_g[[#This Row],[x base]]=0),Eu_tabel_g[[#This Row],[Styrke, aktiv]],NA())</f>
        <v>#N/A</v>
      </c>
      <c r="CU107" s="52" t="e">
        <f>IFERROR(IF($CR$3,Eu_tabel_g[[#This Row],[Styrke, aktiv]],NA()),NA())</f>
        <v>#N/A</v>
      </c>
      <c r="CV107" s="52" t="e">
        <f>IF(ISNA(Eu_tabel_g[[#This Row],[Sand negativ
Nulhypotese afvises
Korrekt]]),NA(),IF($CR$3,1,NA()))</f>
        <v>#N/A</v>
      </c>
      <c r="CW107" s="34" t="str" cm="1">
        <f t="array" ref="CW107">_xlfn.SWITCH(BZ107,_xlfn.IFNA(CU$2,-99),CU$5,_xlfn.IFNA(CU$3,-99),CU$6,_xlfn.IFNA(CU$4,-99),CU$7,"")</f>
        <v/>
      </c>
      <c r="DA107" s="7">
        <f t="shared" si="156"/>
        <v>0.8</v>
      </c>
      <c r="DB107">
        <f>IF(ROW(Styrkeberegning_G[[#This Row],[X base venstre]])=ROW(Styrkeberegning_G[[#Headers],[X base venstre]])+1,DB$7/(DA$7/$B$67),DB106/(DA106/$B$67))</f>
        <v>-2.8015817870135784</v>
      </c>
      <c r="DC107">
        <f>Styrkeberegning_G[[#This Row],[X base venstre]]*-1</f>
        <v>2.8015817870135784</v>
      </c>
      <c r="DN107" s="32">
        <f t="shared" si="157"/>
        <v>97</v>
      </c>
      <c r="DO107" s="32">
        <f t="shared" si="158"/>
        <v>98</v>
      </c>
      <c r="DP107" s="32">
        <f t="shared" si="159"/>
        <v>12.898725737102788</v>
      </c>
      <c r="DQ107" s="32" t="e">
        <f t="shared" si="160"/>
        <v>#N/A</v>
      </c>
      <c r="DR107" s="32" t="e">
        <f t="shared" si="161"/>
        <v>#N/A</v>
      </c>
      <c r="DS107" s="32">
        <f t="shared" si="162"/>
        <v>6.6376781466230855E-2</v>
      </c>
      <c r="DT107" s="32" t="e">
        <f t="shared" si="163"/>
        <v>#N/A</v>
      </c>
      <c r="DU107" s="32" t="b">
        <f t="shared" si="164"/>
        <v>0</v>
      </c>
      <c r="DV107" s="32" t="b">
        <f t="shared" si="165"/>
        <v>1</v>
      </c>
      <c r="DW107" s="32" t="b">
        <f t="shared" si="166"/>
        <v>0</v>
      </c>
      <c r="DX107" s="32" t="b">
        <f t="shared" si="167"/>
        <v>1</v>
      </c>
      <c r="DY107" s="32">
        <f t="shared" si="168"/>
        <v>6.6376781466230855E-2</v>
      </c>
      <c r="DZ107" s="32" t="e">
        <f t="shared" si="169"/>
        <v>#N/A</v>
      </c>
      <c r="EA107" s="32">
        <f t="shared" si="170"/>
        <v>6.6376781466230855E-2</v>
      </c>
      <c r="EB107" s="45" t="str">
        <f t="shared" si="171"/>
        <v/>
      </c>
      <c r="EG107" s="32">
        <f t="shared" si="172"/>
        <v>97</v>
      </c>
      <c r="EH107" s="32">
        <f t="shared" si="173"/>
        <v>98</v>
      </c>
      <c r="EI107" s="32">
        <f t="shared" si="174"/>
        <v>-0.76656925424317857</v>
      </c>
      <c r="EJ107" s="32">
        <f t="shared" si="175"/>
        <v>0.29737754743782796</v>
      </c>
      <c r="EK107" s="32" t="e">
        <f t="shared" si="176"/>
        <v>#N/A</v>
      </c>
      <c r="EL107" s="32" t="e">
        <f t="shared" si="177"/>
        <v>#N/A</v>
      </c>
      <c r="EM107" s="32" t="e">
        <f t="shared" si="178"/>
        <v>#N/A</v>
      </c>
      <c r="EN107" s="32" t="b">
        <f t="shared" si="179"/>
        <v>0</v>
      </c>
      <c r="EO107" s="32" t="b">
        <f t="shared" si="180"/>
        <v>1</v>
      </c>
      <c r="EP107" s="32" t="b">
        <f t="shared" si="181"/>
        <v>0</v>
      </c>
      <c r="EQ107" s="32" t="b">
        <f t="shared" si="182"/>
        <v>1</v>
      </c>
      <c r="ER107" s="32">
        <f t="shared" si="183"/>
        <v>0.29737754743782796</v>
      </c>
      <c r="ES107" s="32" t="e">
        <f t="shared" si="184"/>
        <v>#N/A</v>
      </c>
      <c r="ET107" s="32">
        <f t="shared" si="185"/>
        <v>0.29737754743782796</v>
      </c>
      <c r="EU107" s="45" t="str">
        <f t="shared" si="186"/>
        <v/>
      </c>
      <c r="EV10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7" s="32" t="e" cm="1">
        <f t="array" ref="EY107">IF($CR$3,INDEX(Eu_tabel_a[[#This Row],[Styrke venstre]:[Styrke tosidet]],EY$7),NA())</f>
        <v>#N/A</v>
      </c>
      <c r="EZ107" s="32" t="e">
        <f>IF(EY$3,IF(CHOOSE(EY$7,Eu_tabel_a[[#This Row],[x base]]&gt;0,Eu_tabel_a[[#This Row],[x base]]&lt;0,Eu_tabel_a[[#This Row],[x base]]=0),1,NA()),NA())</f>
        <v>#N/A</v>
      </c>
      <c r="FA107" s="32" t="e">
        <f>IF(CHOOSE(EY$7,Eu_tabel_a[[#This Row],[x base]]&gt;0,Eu_tabel_a[[#This Row],[x base]]&lt;0,Eu_tabel_a[[#This Row],[x base]]=0),Eu_tabel_a[[#This Row],[Styrke, aktiv]],NA())</f>
        <v>#N/A</v>
      </c>
      <c r="FB107" s="32" t="e">
        <f>IFERROR(IF($EY$3,Eu_tabel_a[[#This Row],[Styrke, aktiv]],NA()),NA())</f>
        <v>#N/A</v>
      </c>
      <c r="FC107" s="32" t="e">
        <f>IF(ISNA(Eu_tabel_a[[#This Row],[Sand negativ
Nulhypotese afvises
Korrekt]]),NA(),IF(EY$3,1,NA()))</f>
        <v>#N/A</v>
      </c>
      <c r="FD107" s="33" t="str" cm="1">
        <f t="array" ref="FD107">IFERROR(_xlfn.SWITCH(Eu_tabel_a[[#This Row],[Indeks]],_xlfn.IFNA(FB$2,-99),FB$5,_xlfn.IFNA(FB$3,-99),FB$6,_xlfn.IFNA(FB$4,-99),FB$7,""),"")</f>
        <v/>
      </c>
      <c r="FE107" s="32">
        <f>Eu_tabel_a[[#This Row],[x base]]*SQRT(Eu_a_h0_x*(1-Eu_a_h0_x)/Eu_a_n_x)+Eu_a_h0_x</f>
        <v>0</v>
      </c>
      <c r="FJ107" s="74" t="e">
        <f t="shared" si="130"/>
        <v>#N/A</v>
      </c>
      <c r="FK107" s="82" t="e">
        <f t="shared" si="218"/>
        <v>#DIV/0!</v>
      </c>
      <c r="FL107" s="7" t="e">
        <f t="shared" si="124"/>
        <v>#DIV/0!</v>
      </c>
      <c r="FM107" t="e">
        <f t="shared" si="219"/>
        <v>#DIV/0!</v>
      </c>
      <c r="FN107" s="8" t="e">
        <f t="shared" si="220"/>
        <v>#DIV/0!</v>
      </c>
      <c r="FO107" s="8" t="e">
        <f t="shared" si="221"/>
        <v>#DIV/0!</v>
      </c>
      <c r="FP107" s="81" t="e">
        <f t="shared" si="222"/>
        <v>#DIV/0!</v>
      </c>
      <c r="FQ107" s="74" t="e">
        <f t="shared" ca="1" si="125"/>
        <v>#N/A</v>
      </c>
      <c r="FR107" s="82" t="e" vm="3">
        <f t="shared" ca="1" si="131"/>
        <v>#VALUE!</v>
      </c>
      <c r="FS107" s="7" t="e" vm="3">
        <f t="shared" ca="1" si="126"/>
        <v>#VALUE!</v>
      </c>
      <c r="FT107" t="e" vm="3">
        <f t="shared" ca="1" si="120"/>
        <v>#VALUE!</v>
      </c>
      <c r="FU107" s="8" t="e" vm="3">
        <f t="shared" ca="1" si="121"/>
        <v>#VALUE!</v>
      </c>
      <c r="FV107" s="8" t="e" vm="3">
        <f t="shared" ca="1" si="122"/>
        <v>#VALUE!</v>
      </c>
      <c r="FW107" s="81" t="e" vm="3">
        <f t="shared" ca="1" si="123"/>
        <v>#VALUE!</v>
      </c>
      <c r="FX107" s="74" t="e">
        <f t="shared" si="127"/>
        <v>#N/A</v>
      </c>
      <c r="FY107" s="82" t="e">
        <f t="shared" si="132"/>
        <v>#N/A</v>
      </c>
      <c r="FZ107" s="7" t="e">
        <f t="shared" si="128"/>
        <v>#N/A</v>
      </c>
      <c r="GA107" t="e">
        <f t="shared" si="133"/>
        <v>#N/A</v>
      </c>
      <c r="GB107" s="8" t="e">
        <f t="shared" si="134"/>
        <v>#N/A</v>
      </c>
      <c r="GC107" s="8" t="e">
        <f t="shared" si="135"/>
        <v>#N/A</v>
      </c>
      <c r="GD107" s="81" t="e">
        <f t="shared" si="136"/>
        <v>#N/A</v>
      </c>
      <c r="GE107" s="74" t="e">
        <f t="shared" si="137"/>
        <v>#N/A</v>
      </c>
      <c r="GF107" s="82" t="e">
        <f t="shared" si="138"/>
        <v>#N/A</v>
      </c>
      <c r="GG107" s="7" t="e">
        <f t="shared" si="129"/>
        <v>#N/A</v>
      </c>
      <c r="GH107" t="e">
        <f t="shared" si="139"/>
        <v>#N/A</v>
      </c>
      <c r="GI107" s="8" t="e">
        <f t="shared" si="140"/>
        <v>#N/A</v>
      </c>
      <c r="GJ107" s="8" t="e">
        <f t="shared" si="141"/>
        <v>#N/A</v>
      </c>
      <c r="GK107" s="81" t="e">
        <f t="shared" si="142"/>
        <v>#N/A</v>
      </c>
      <c r="GL107" s="81"/>
      <c r="GM107" s="81"/>
      <c r="GP107" s="32">
        <f t="shared" si="187"/>
        <v>97</v>
      </c>
      <c r="GQ107" s="32">
        <f t="shared" si="188"/>
        <v>98</v>
      </c>
      <c r="GR107" s="32">
        <f t="shared" si="189"/>
        <v>-0.76656925424317857</v>
      </c>
      <c r="GS107" s="32">
        <f t="shared" si="190"/>
        <v>0.29737754743782796</v>
      </c>
      <c r="GT107" s="32" t="e">
        <f t="shared" si="191"/>
        <v>#N/A</v>
      </c>
      <c r="GU107" s="32" t="e">
        <f t="shared" si="192"/>
        <v>#N/A</v>
      </c>
      <c r="GV107" s="32" t="e">
        <f t="shared" si="193"/>
        <v>#N/A</v>
      </c>
      <c r="GW107" s="32" t="b">
        <f t="shared" si="194"/>
        <v>0</v>
      </c>
      <c r="GX107" s="32" t="b">
        <f t="shared" si="195"/>
        <v>1</v>
      </c>
      <c r="GY107" s="32" t="b">
        <f t="shared" si="196"/>
        <v>0</v>
      </c>
      <c r="GZ107" s="32" t="b">
        <f t="shared" si="197"/>
        <v>1</v>
      </c>
      <c r="HA107" s="32">
        <f t="shared" si="198"/>
        <v>0.29737754743782796</v>
      </c>
      <c r="HB107" s="32" t="e">
        <f t="shared" si="199"/>
        <v>#N/A</v>
      </c>
      <c r="HC107" s="32">
        <f t="shared" si="200"/>
        <v>0.29737754743782796</v>
      </c>
      <c r="HD107" s="45" t="str">
        <f t="shared" si="201"/>
        <v/>
      </c>
      <c r="HJ107" s="32">
        <f t="shared" si="202"/>
        <v>97</v>
      </c>
      <c r="HK107" s="32">
        <f t="shared" si="203"/>
        <v>98</v>
      </c>
      <c r="HL107" s="32">
        <f t="shared" si="204"/>
        <v>-1.1870485900498191</v>
      </c>
      <c r="HM107" s="32" t="e">
        <f t="shared" si="205"/>
        <v>#N/A</v>
      </c>
      <c r="HN107" s="32">
        <f t="shared" si="206"/>
        <v>0.18486232434663522</v>
      </c>
      <c r="HO107" s="32" t="e">
        <f t="shared" si="207"/>
        <v>#N/A</v>
      </c>
      <c r="HP107" s="32" t="e">
        <f t="shared" si="208"/>
        <v>#N/A</v>
      </c>
      <c r="HQ107" s="32" t="b">
        <f t="shared" si="209"/>
        <v>1</v>
      </c>
      <c r="HR107" s="32" t="b">
        <f t="shared" si="210"/>
        <v>0</v>
      </c>
      <c r="HS107" s="32" t="b">
        <f t="shared" si="211"/>
        <v>0</v>
      </c>
      <c r="HT107" s="32" t="b">
        <f t="shared" si="212"/>
        <v>1</v>
      </c>
      <c r="HU107" s="32">
        <f t="shared" si="213"/>
        <v>0.18486232434663522</v>
      </c>
      <c r="HV107" s="32">
        <f t="shared" si="214"/>
        <v>0.18486232434663522</v>
      </c>
      <c r="HW107" s="32" t="e">
        <f t="shared" si="215"/>
        <v>#N/A</v>
      </c>
      <c r="HX107" s="45" t="str">
        <f t="shared" si="216"/>
        <v/>
      </c>
    </row>
    <row r="108" spans="78:232" x14ac:dyDescent="0.2">
      <c r="BZ108" s="32">
        <f t="shared" si="143"/>
        <v>98</v>
      </c>
      <c r="CA108" s="32">
        <f>Eu_tabel_g[[#This Row],[Indeks]]+1</f>
        <v>99</v>
      </c>
      <c r="CB108" s="32">
        <f t="shared" si="144"/>
        <v>-0.74261396504807919</v>
      </c>
      <c r="CC108" s="32">
        <f t="shared" si="145"/>
        <v>0.30280196023421319</v>
      </c>
      <c r="CD108" s="32" t="e">
        <f t="shared" si="146"/>
        <v>#N/A</v>
      </c>
      <c r="CE108" s="32" t="e">
        <f t="shared" si="147"/>
        <v>#N/A</v>
      </c>
      <c r="CF108" s="32" t="e">
        <f t="shared" si="148"/>
        <v>#N/A</v>
      </c>
      <c r="CG108" s="32" t="b">
        <f t="shared" si="149"/>
        <v>0</v>
      </c>
      <c r="CH108" s="32" t="b">
        <f t="shared" si="150"/>
        <v>1</v>
      </c>
      <c r="CI108" s="32" t="b">
        <f t="shared" si="151"/>
        <v>0</v>
      </c>
      <c r="CJ108" s="32" t="b">
        <f t="shared" si="152"/>
        <v>1</v>
      </c>
      <c r="CK108" s="32">
        <f t="shared" si="217"/>
        <v>0.30280196023421319</v>
      </c>
      <c r="CL108" s="32" t="e">
        <f t="shared" si="153"/>
        <v>#N/A</v>
      </c>
      <c r="CM108" s="32">
        <f t="shared" si="154"/>
        <v>0.30280196023421319</v>
      </c>
      <c r="CN108" s="45" t="str">
        <f t="shared" si="155"/>
        <v/>
      </c>
      <c r="CO108" s="32">
        <f>_xlfn.NORM.DIST(_xlfn.NORM.INV(1-Eu_g_konfidensniveau,0,1)-Eu_tabel_g[[#This Row],[x base]],0,1,TRUE)</f>
        <v>0.18346478506147446</v>
      </c>
      <c r="CP108" s="32">
        <f>1-_xlfn.NORM.DIST(_xlfn.NORM.INV(Eu_g_konfidensniveau,0,1)-Eu_tabel_g[[#This Row],[x base]],0,1,TRUE)</f>
        <v>8.4824492137562935E-3</v>
      </c>
      <c r="CQ108" s="32">
        <f>_xlfn.NORM.DIST(_xlfn.NORM.INV((1-Eu_g_konfidensniveau)/2,0,1)-Eu_tabel_g[[#This Row],[x base]],0,1,TRUE)+1-_xlfn.NORM.DIST(_xlfn.NORM.INV(1-(1-Eu_g_konfidensniveau)/2,0,1)-Eu_tabel_g[[#This Row],[x base]],0,1,TRUE)</f>
        <v>0.11517573781410373</v>
      </c>
      <c r="CR108" s="32" t="e" cm="1">
        <f t="array" ref="CR108">IF($CR$3,INDEX(Eu_tabel_g[[#This Row],[Styrke venstre]:[Styrke tosidet]],CR$7),NA())</f>
        <v>#N/A</v>
      </c>
      <c r="CS108" s="52" t="e">
        <f>Eu_tabel_g[[#This Row],[Falsk positiv
Nulhypotese accepteres
Fejltype 1]]</f>
        <v>#N/A</v>
      </c>
      <c r="CT108" s="52" t="e">
        <f>IF(CHOOSE(CR$7,Eu_tabel_g[[#This Row],[x base]]&gt;0,Eu_tabel_g[[#This Row],[x base]]&lt;0,Eu_tabel_g[[#This Row],[x base]]=0),Eu_tabel_g[[#This Row],[Styrke, aktiv]],NA())</f>
        <v>#N/A</v>
      </c>
      <c r="CU108" s="52" t="e">
        <f>IFERROR(IF($CR$3,Eu_tabel_g[[#This Row],[Styrke, aktiv]],NA()),NA())</f>
        <v>#N/A</v>
      </c>
      <c r="CV108" s="52" t="e">
        <f>IF(ISNA(Eu_tabel_g[[#This Row],[Sand negativ
Nulhypotese afvises
Korrekt]]),NA(),IF($CR$3,1,NA()))</f>
        <v>#N/A</v>
      </c>
      <c r="CW108" s="34" t="str" cm="1">
        <f t="array" ref="CW108">_xlfn.SWITCH(BZ108,_xlfn.IFNA(CU$2,-99),CU$5,_xlfn.IFNA(CU$3,-99),CU$6,_xlfn.IFNA(CU$4,-99),CU$7,"")</f>
        <v/>
      </c>
      <c r="DA108" s="7">
        <f t="shared" si="156"/>
        <v>0.8</v>
      </c>
      <c r="DB108">
        <f>IF(ROW(Styrkeberegning_G[[#This Row],[X base venstre]])=ROW(Styrkeberegning_G[[#Headers],[X base venstre]])+1,DB$7/(DA$7/$B$67),DB107/(DA107/$B$67))</f>
        <v>-2.8015817870135784</v>
      </c>
      <c r="DC108">
        <f>Styrkeberegning_G[[#This Row],[X base venstre]]*-1</f>
        <v>2.8015817870135784</v>
      </c>
      <c r="DN108" s="32">
        <f t="shared" si="157"/>
        <v>98</v>
      </c>
      <c r="DO108" s="32">
        <f t="shared" si="158"/>
        <v>99</v>
      </c>
      <c r="DP108" s="32">
        <f t="shared" si="159"/>
        <v>13.01279659351979</v>
      </c>
      <c r="DQ108" s="32" t="e">
        <f t="shared" si="160"/>
        <v>#N/A</v>
      </c>
      <c r="DR108" s="32" t="e">
        <f t="shared" si="161"/>
        <v>#N/A</v>
      </c>
      <c r="DS108" s="32">
        <f t="shared" si="162"/>
        <v>6.5230884240782203E-2</v>
      </c>
      <c r="DT108" s="32" t="e">
        <f t="shared" si="163"/>
        <v>#N/A</v>
      </c>
      <c r="DU108" s="32" t="b">
        <f t="shared" si="164"/>
        <v>0</v>
      </c>
      <c r="DV108" s="32" t="b">
        <f t="shared" si="165"/>
        <v>1</v>
      </c>
      <c r="DW108" s="32" t="b">
        <f t="shared" si="166"/>
        <v>0</v>
      </c>
      <c r="DX108" s="32" t="b">
        <f t="shared" si="167"/>
        <v>1</v>
      </c>
      <c r="DY108" s="32">
        <f t="shared" si="168"/>
        <v>6.5230884240782203E-2</v>
      </c>
      <c r="DZ108" s="32" t="e">
        <f t="shared" si="169"/>
        <v>#N/A</v>
      </c>
      <c r="EA108" s="32">
        <f t="shared" si="170"/>
        <v>6.5230884240782203E-2</v>
      </c>
      <c r="EB108" s="45" t="str">
        <f t="shared" si="171"/>
        <v/>
      </c>
      <c r="EG108" s="32">
        <f t="shared" si="172"/>
        <v>98</v>
      </c>
      <c r="EH108" s="32">
        <f t="shared" si="173"/>
        <v>99</v>
      </c>
      <c r="EI108" s="32">
        <f t="shared" si="174"/>
        <v>-0.74261396504807919</v>
      </c>
      <c r="EJ108" s="32">
        <f t="shared" si="175"/>
        <v>0.30280196023421319</v>
      </c>
      <c r="EK108" s="32" t="e">
        <f t="shared" si="176"/>
        <v>#N/A</v>
      </c>
      <c r="EL108" s="32" t="e">
        <f t="shared" si="177"/>
        <v>#N/A</v>
      </c>
      <c r="EM108" s="32" t="e">
        <f t="shared" si="178"/>
        <v>#N/A</v>
      </c>
      <c r="EN108" s="32" t="b">
        <f t="shared" si="179"/>
        <v>0</v>
      </c>
      <c r="EO108" s="32" t="b">
        <f t="shared" si="180"/>
        <v>1</v>
      </c>
      <c r="EP108" s="32" t="b">
        <f t="shared" si="181"/>
        <v>0</v>
      </c>
      <c r="EQ108" s="32" t="b">
        <f t="shared" si="182"/>
        <v>1</v>
      </c>
      <c r="ER108" s="32">
        <f t="shared" si="183"/>
        <v>0.30280196023421319</v>
      </c>
      <c r="ES108" s="32" t="e">
        <f t="shared" si="184"/>
        <v>#N/A</v>
      </c>
      <c r="ET108" s="32">
        <f t="shared" si="185"/>
        <v>0.30280196023421319</v>
      </c>
      <c r="EU108" s="45" t="str">
        <f t="shared" si="186"/>
        <v/>
      </c>
      <c r="EV10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8" s="32" t="e" cm="1">
        <f t="array" ref="EY108">IF($CR$3,INDEX(Eu_tabel_a[[#This Row],[Styrke venstre]:[Styrke tosidet]],EY$7),NA())</f>
        <v>#N/A</v>
      </c>
      <c r="EZ108" s="32" t="e">
        <f>IF(EY$3,IF(CHOOSE(EY$7,Eu_tabel_a[[#This Row],[x base]]&gt;0,Eu_tabel_a[[#This Row],[x base]]&lt;0,Eu_tabel_a[[#This Row],[x base]]=0),1,NA()),NA())</f>
        <v>#N/A</v>
      </c>
      <c r="FA108" s="32" t="e">
        <f>IF(CHOOSE(EY$7,Eu_tabel_a[[#This Row],[x base]]&gt;0,Eu_tabel_a[[#This Row],[x base]]&lt;0,Eu_tabel_a[[#This Row],[x base]]=0),Eu_tabel_a[[#This Row],[Styrke, aktiv]],NA())</f>
        <v>#N/A</v>
      </c>
      <c r="FB108" s="32" t="e">
        <f>IFERROR(IF($EY$3,Eu_tabel_a[[#This Row],[Styrke, aktiv]],NA()),NA())</f>
        <v>#N/A</v>
      </c>
      <c r="FC108" s="32" t="e">
        <f>IF(ISNA(Eu_tabel_a[[#This Row],[Sand negativ
Nulhypotese afvises
Korrekt]]),NA(),IF(EY$3,1,NA()))</f>
        <v>#N/A</v>
      </c>
      <c r="FD108" s="33" t="str" cm="1">
        <f t="array" ref="FD108">IFERROR(_xlfn.SWITCH(Eu_tabel_a[[#This Row],[Indeks]],_xlfn.IFNA(FB$2,-99),FB$5,_xlfn.IFNA(FB$3,-99),FB$6,_xlfn.IFNA(FB$4,-99),FB$7,""),"")</f>
        <v/>
      </c>
      <c r="FE108" s="32">
        <f>Eu_tabel_a[[#This Row],[x base]]*SQRT(Eu_a_h0_x*(1-Eu_a_h0_x)/Eu_a_n_x)+Eu_a_h0_x</f>
        <v>0</v>
      </c>
      <c r="FJ108" s="74" t="e">
        <f t="shared" si="130"/>
        <v>#N/A</v>
      </c>
      <c r="FK108" s="82" t="e">
        <f t="shared" si="218"/>
        <v>#DIV/0!</v>
      </c>
      <c r="FL108" s="7" t="e">
        <f t="shared" si="124"/>
        <v>#DIV/0!</v>
      </c>
      <c r="FM108" t="e">
        <f t="shared" si="219"/>
        <v>#DIV/0!</v>
      </c>
      <c r="FN108" s="8" t="e">
        <f t="shared" si="220"/>
        <v>#DIV/0!</v>
      </c>
      <c r="FO108" s="8" t="e">
        <f t="shared" si="221"/>
        <v>#DIV/0!</v>
      </c>
      <c r="FP108" s="81" t="e">
        <f t="shared" si="222"/>
        <v>#DIV/0!</v>
      </c>
      <c r="FQ108" s="74" t="e">
        <f t="shared" ca="1" si="125"/>
        <v>#N/A</v>
      </c>
      <c r="FR108" s="82" t="e" vm="3">
        <f t="shared" ca="1" si="131"/>
        <v>#VALUE!</v>
      </c>
      <c r="FS108" s="7" t="e" vm="3">
        <f t="shared" ca="1" si="126"/>
        <v>#VALUE!</v>
      </c>
      <c r="FT108" t="e" vm="3">
        <f t="shared" ca="1" si="120"/>
        <v>#VALUE!</v>
      </c>
      <c r="FU108" s="8" t="e" vm="3">
        <f t="shared" ca="1" si="121"/>
        <v>#VALUE!</v>
      </c>
      <c r="FV108" s="8" t="e" vm="3">
        <f t="shared" ca="1" si="122"/>
        <v>#VALUE!</v>
      </c>
      <c r="FW108" s="81" t="e" vm="3">
        <f t="shared" ca="1" si="123"/>
        <v>#VALUE!</v>
      </c>
      <c r="FX108" s="74" t="e">
        <f t="shared" si="127"/>
        <v>#N/A</v>
      </c>
      <c r="FY108" s="82" t="e">
        <f t="shared" si="132"/>
        <v>#N/A</v>
      </c>
      <c r="FZ108" s="7" t="e">
        <f t="shared" si="128"/>
        <v>#N/A</v>
      </c>
      <c r="GA108" t="e">
        <f t="shared" si="133"/>
        <v>#N/A</v>
      </c>
      <c r="GB108" s="8" t="e">
        <f t="shared" si="134"/>
        <v>#N/A</v>
      </c>
      <c r="GC108" s="8" t="e">
        <f t="shared" si="135"/>
        <v>#N/A</v>
      </c>
      <c r="GD108" s="81" t="e">
        <f t="shared" si="136"/>
        <v>#N/A</v>
      </c>
      <c r="GE108" s="74" t="e">
        <f t="shared" si="137"/>
        <v>#N/A</v>
      </c>
      <c r="GF108" s="82" t="e">
        <f t="shared" si="138"/>
        <v>#N/A</v>
      </c>
      <c r="GG108" s="7" t="e">
        <f t="shared" si="129"/>
        <v>#N/A</v>
      </c>
      <c r="GH108" t="e">
        <f t="shared" si="139"/>
        <v>#N/A</v>
      </c>
      <c r="GI108" s="8" t="e">
        <f t="shared" si="140"/>
        <v>#N/A</v>
      </c>
      <c r="GJ108" s="8" t="e">
        <f t="shared" si="141"/>
        <v>#N/A</v>
      </c>
      <c r="GK108" s="81" t="e">
        <f t="shared" si="142"/>
        <v>#N/A</v>
      </c>
      <c r="GL108" s="81"/>
      <c r="GM108" s="81"/>
      <c r="GP108" s="32">
        <f t="shared" si="187"/>
        <v>98</v>
      </c>
      <c r="GQ108" s="32">
        <f t="shared" si="188"/>
        <v>99</v>
      </c>
      <c r="GR108" s="32">
        <f t="shared" si="189"/>
        <v>-0.74261396504807919</v>
      </c>
      <c r="GS108" s="32">
        <f t="shared" si="190"/>
        <v>0.30280196023421319</v>
      </c>
      <c r="GT108" s="32" t="e">
        <f t="shared" si="191"/>
        <v>#N/A</v>
      </c>
      <c r="GU108" s="32" t="e">
        <f t="shared" si="192"/>
        <v>#N/A</v>
      </c>
      <c r="GV108" s="32" t="e">
        <f t="shared" si="193"/>
        <v>#N/A</v>
      </c>
      <c r="GW108" s="32" t="b">
        <f t="shared" si="194"/>
        <v>0</v>
      </c>
      <c r="GX108" s="32" t="b">
        <f t="shared" si="195"/>
        <v>1</v>
      </c>
      <c r="GY108" s="32" t="b">
        <f t="shared" si="196"/>
        <v>0</v>
      </c>
      <c r="GZ108" s="32" t="b">
        <f t="shared" si="197"/>
        <v>1</v>
      </c>
      <c r="HA108" s="32">
        <f t="shared" si="198"/>
        <v>0.30280196023421319</v>
      </c>
      <c r="HB108" s="32" t="e">
        <f t="shared" si="199"/>
        <v>#N/A</v>
      </c>
      <c r="HC108" s="32">
        <f t="shared" si="200"/>
        <v>0.30280196023421319</v>
      </c>
      <c r="HD108" s="45" t="str">
        <f t="shared" si="201"/>
        <v/>
      </c>
      <c r="HJ108" s="32">
        <f t="shared" si="202"/>
        <v>98</v>
      </c>
      <c r="HK108" s="32">
        <f t="shared" si="203"/>
        <v>99</v>
      </c>
      <c r="HL108" s="32">
        <f t="shared" si="204"/>
        <v>-1.149953321610762</v>
      </c>
      <c r="HM108" s="32" t="e">
        <f t="shared" si="205"/>
        <v>#N/A</v>
      </c>
      <c r="HN108" s="32">
        <f t="shared" si="206"/>
        <v>0.19268612352727205</v>
      </c>
      <c r="HO108" s="32" t="e">
        <f t="shared" si="207"/>
        <v>#N/A</v>
      </c>
      <c r="HP108" s="32" t="e">
        <f t="shared" si="208"/>
        <v>#N/A</v>
      </c>
      <c r="HQ108" s="32" t="b">
        <f t="shared" si="209"/>
        <v>1</v>
      </c>
      <c r="HR108" s="32" t="b">
        <f t="shared" si="210"/>
        <v>0</v>
      </c>
      <c r="HS108" s="32" t="b">
        <f t="shared" si="211"/>
        <v>0</v>
      </c>
      <c r="HT108" s="32" t="b">
        <f t="shared" si="212"/>
        <v>1</v>
      </c>
      <c r="HU108" s="32">
        <f t="shared" si="213"/>
        <v>0.19268612352727205</v>
      </c>
      <c r="HV108" s="32">
        <f t="shared" si="214"/>
        <v>0.19268612352727205</v>
      </c>
      <c r="HW108" s="32" t="e">
        <f t="shared" si="215"/>
        <v>#N/A</v>
      </c>
      <c r="HX108" s="45" t="str">
        <f t="shared" si="216"/>
        <v/>
      </c>
    </row>
    <row r="109" spans="78:232" x14ac:dyDescent="0.2">
      <c r="BZ109" s="32">
        <f t="shared" si="143"/>
        <v>99</v>
      </c>
      <c r="CA109" s="32">
        <f>Eu_tabel_g[[#This Row],[Indeks]]+1</f>
        <v>100</v>
      </c>
      <c r="CB109" s="32">
        <f t="shared" si="144"/>
        <v>-0.71865867585297982</v>
      </c>
      <c r="CC109" s="32">
        <f t="shared" si="145"/>
        <v>0.30814843527368829</v>
      </c>
      <c r="CD109" s="32" t="e">
        <f t="shared" si="146"/>
        <v>#N/A</v>
      </c>
      <c r="CE109" s="32" t="e">
        <f t="shared" si="147"/>
        <v>#N/A</v>
      </c>
      <c r="CF109" s="32" t="e">
        <f t="shared" si="148"/>
        <v>#N/A</v>
      </c>
      <c r="CG109" s="32" t="b">
        <f t="shared" si="149"/>
        <v>0</v>
      </c>
      <c r="CH109" s="32" t="b">
        <f t="shared" si="150"/>
        <v>1</v>
      </c>
      <c r="CI109" s="32" t="b">
        <f t="shared" si="151"/>
        <v>0</v>
      </c>
      <c r="CJ109" s="32" t="b">
        <f t="shared" si="152"/>
        <v>1</v>
      </c>
      <c r="CK109" s="32">
        <f t="shared" si="217"/>
        <v>0.30814843527368829</v>
      </c>
      <c r="CL109" s="32" t="e">
        <f t="shared" si="153"/>
        <v>#N/A</v>
      </c>
      <c r="CM109" s="32">
        <f t="shared" si="154"/>
        <v>0.30814843527368829</v>
      </c>
      <c r="CN109" s="45" t="str">
        <f t="shared" si="155"/>
        <v/>
      </c>
      <c r="CO109" s="32">
        <f>_xlfn.NORM.DIST(_xlfn.NORM.INV(1-Eu_g_konfidensniveau,0,1)-Eu_tabel_g[[#This Row],[x base]],0,1,TRUE)</f>
        <v>0.17717233796114054</v>
      </c>
      <c r="CP109" s="32">
        <f>1-_xlfn.NORM.DIST(_xlfn.NORM.INV(Eu_g_konfidensniveau,0,1)-Eu_tabel_g[[#This Row],[x base]],0,1,TRUE)</f>
        <v>9.0513127949021221E-3</v>
      </c>
      <c r="CQ109" s="32">
        <f>_xlfn.NORM.DIST(_xlfn.NORM.INV((1-Eu_g_konfidensniveau)/2,0,1)-Eu_tabel_g[[#This Row],[x base]],0,1,TRUE)+1-_xlfn.NORM.DIST(_xlfn.NORM.INV(1-(1-Eu_g_konfidensniveau)/2,0,1)-Eu_tabel_g[[#This Row],[x base]],0,1,TRUE)</f>
        <v>0.11094277467154023</v>
      </c>
      <c r="CR109" s="32" t="e" cm="1">
        <f t="array" ref="CR109">IF($CR$3,INDEX(Eu_tabel_g[[#This Row],[Styrke venstre]:[Styrke tosidet]],CR$7),NA())</f>
        <v>#N/A</v>
      </c>
      <c r="CS109" s="52" t="e">
        <f>Eu_tabel_g[[#This Row],[Falsk positiv
Nulhypotese accepteres
Fejltype 1]]</f>
        <v>#N/A</v>
      </c>
      <c r="CT109" s="52" t="e">
        <f>IF(CHOOSE(CR$7,Eu_tabel_g[[#This Row],[x base]]&gt;0,Eu_tabel_g[[#This Row],[x base]]&lt;0,Eu_tabel_g[[#This Row],[x base]]=0),Eu_tabel_g[[#This Row],[Styrke, aktiv]],NA())</f>
        <v>#N/A</v>
      </c>
      <c r="CU109" s="52" t="e">
        <f>IFERROR(IF($CR$3,Eu_tabel_g[[#This Row],[Styrke, aktiv]],NA()),NA())</f>
        <v>#N/A</v>
      </c>
      <c r="CV109" s="52" t="e">
        <f>IF(ISNA(Eu_tabel_g[[#This Row],[Sand negativ
Nulhypotese afvises
Korrekt]]),NA(),IF($CR$3,1,NA()))</f>
        <v>#N/A</v>
      </c>
      <c r="CW109" s="34" t="str" cm="1">
        <f t="array" ref="CW109">_xlfn.SWITCH(BZ109,_xlfn.IFNA(CU$2,-99),CU$5,_xlfn.IFNA(CU$3,-99),CU$6,_xlfn.IFNA(CU$4,-99),CU$7,"")</f>
        <v/>
      </c>
      <c r="DA109" s="7">
        <f t="shared" si="156"/>
        <v>0.8</v>
      </c>
      <c r="DB109">
        <f>IF(ROW(Styrkeberegning_G[[#This Row],[X base venstre]])=ROW(Styrkeberegning_G[[#Headers],[X base venstre]])+1,DB$7/(DA$7/$B$67),DB108/(DA108/$B$67))</f>
        <v>-2.8015817870135784</v>
      </c>
      <c r="DC109">
        <f>Styrkeberegning_G[[#This Row],[X base venstre]]*-1</f>
        <v>2.8015817870135784</v>
      </c>
      <c r="DN109" s="32">
        <f t="shared" si="157"/>
        <v>99</v>
      </c>
      <c r="DO109" s="32">
        <f t="shared" si="158"/>
        <v>100</v>
      </c>
      <c r="DP109" s="32">
        <f t="shared" si="159"/>
        <v>13.126867449936789</v>
      </c>
      <c r="DQ109" s="32" t="e">
        <f t="shared" si="160"/>
        <v>#N/A</v>
      </c>
      <c r="DR109" s="32" t="e">
        <f t="shared" si="161"/>
        <v>#N/A</v>
      </c>
      <c r="DS109" s="32">
        <f t="shared" si="162"/>
        <v>6.4082605014498681E-2</v>
      </c>
      <c r="DT109" s="32" t="e">
        <f t="shared" si="163"/>
        <v>#N/A</v>
      </c>
      <c r="DU109" s="32" t="b">
        <f t="shared" si="164"/>
        <v>0</v>
      </c>
      <c r="DV109" s="32" t="b">
        <f t="shared" si="165"/>
        <v>1</v>
      </c>
      <c r="DW109" s="32" t="b">
        <f t="shared" si="166"/>
        <v>0</v>
      </c>
      <c r="DX109" s="32" t="b">
        <f t="shared" si="167"/>
        <v>1</v>
      </c>
      <c r="DY109" s="32">
        <f t="shared" si="168"/>
        <v>6.4082605014498681E-2</v>
      </c>
      <c r="DZ109" s="32" t="e">
        <f t="shared" si="169"/>
        <v>#N/A</v>
      </c>
      <c r="EA109" s="32">
        <f t="shared" si="170"/>
        <v>6.4082605014498681E-2</v>
      </c>
      <c r="EB109" s="45" t="str">
        <f t="shared" si="171"/>
        <v/>
      </c>
      <c r="EG109" s="32">
        <f t="shared" si="172"/>
        <v>99</v>
      </c>
      <c r="EH109" s="32">
        <f t="shared" si="173"/>
        <v>100</v>
      </c>
      <c r="EI109" s="32">
        <f t="shared" si="174"/>
        <v>-0.71865867585297982</v>
      </c>
      <c r="EJ109" s="32">
        <f t="shared" si="175"/>
        <v>0.30814843527368829</v>
      </c>
      <c r="EK109" s="32" t="e">
        <f t="shared" si="176"/>
        <v>#N/A</v>
      </c>
      <c r="EL109" s="32" t="e">
        <f t="shared" si="177"/>
        <v>#N/A</v>
      </c>
      <c r="EM109" s="32" t="e">
        <f t="shared" si="178"/>
        <v>#N/A</v>
      </c>
      <c r="EN109" s="32" t="b">
        <f t="shared" si="179"/>
        <v>0</v>
      </c>
      <c r="EO109" s="32" t="b">
        <f t="shared" si="180"/>
        <v>1</v>
      </c>
      <c r="EP109" s="32" t="b">
        <f t="shared" si="181"/>
        <v>0</v>
      </c>
      <c r="EQ109" s="32" t="b">
        <f t="shared" si="182"/>
        <v>1</v>
      </c>
      <c r="ER109" s="32">
        <f t="shared" si="183"/>
        <v>0.30814843527368829</v>
      </c>
      <c r="ES109" s="32" t="e">
        <f t="shared" si="184"/>
        <v>#N/A</v>
      </c>
      <c r="ET109" s="32">
        <f t="shared" si="185"/>
        <v>0.30814843527368829</v>
      </c>
      <c r="EU109" s="45" t="str">
        <f t="shared" si="186"/>
        <v/>
      </c>
      <c r="EV10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9" s="32" t="e" cm="1">
        <f t="array" ref="EY109">IF($CR$3,INDEX(Eu_tabel_a[[#This Row],[Styrke venstre]:[Styrke tosidet]],EY$7),NA())</f>
        <v>#N/A</v>
      </c>
      <c r="EZ109" s="32" t="e">
        <f>IF(EY$3,IF(CHOOSE(EY$7,Eu_tabel_a[[#This Row],[x base]]&gt;0,Eu_tabel_a[[#This Row],[x base]]&lt;0,Eu_tabel_a[[#This Row],[x base]]=0),1,NA()),NA())</f>
        <v>#N/A</v>
      </c>
      <c r="FA109" s="32" t="e">
        <f>IF(CHOOSE(EY$7,Eu_tabel_a[[#This Row],[x base]]&gt;0,Eu_tabel_a[[#This Row],[x base]]&lt;0,Eu_tabel_a[[#This Row],[x base]]=0),Eu_tabel_a[[#This Row],[Styrke, aktiv]],NA())</f>
        <v>#N/A</v>
      </c>
      <c r="FB109" s="32" t="e">
        <f>IFERROR(IF($EY$3,Eu_tabel_a[[#This Row],[Styrke, aktiv]],NA()),NA())</f>
        <v>#N/A</v>
      </c>
      <c r="FC109" s="32" t="e">
        <f>IF(ISNA(Eu_tabel_a[[#This Row],[Sand negativ
Nulhypotese afvises
Korrekt]]),NA(),IF(EY$3,1,NA()))</f>
        <v>#N/A</v>
      </c>
      <c r="FD109" s="33" t="str" cm="1">
        <f t="array" ref="FD109">IFERROR(_xlfn.SWITCH(Eu_tabel_a[[#This Row],[Indeks]],_xlfn.IFNA(FB$2,-99),FB$5,_xlfn.IFNA(FB$3,-99),FB$6,_xlfn.IFNA(FB$4,-99),FB$7,""),"")</f>
        <v/>
      </c>
      <c r="FE109" s="32">
        <f>Eu_tabel_a[[#This Row],[x base]]*SQRT(Eu_a_h0_x*(1-Eu_a_h0_x)/Eu_a_n_x)+Eu_a_h0_x</f>
        <v>0</v>
      </c>
      <c r="FJ109" s="74" t="e">
        <f t="shared" si="130"/>
        <v>#N/A</v>
      </c>
      <c r="FK109" s="82" t="e">
        <f t="shared" si="218"/>
        <v>#DIV/0!</v>
      </c>
      <c r="FL109" s="7" t="e">
        <f t="shared" si="124"/>
        <v>#DIV/0!</v>
      </c>
      <c r="FM109" t="e">
        <f t="shared" si="219"/>
        <v>#DIV/0!</v>
      </c>
      <c r="FN109" s="8" t="e">
        <f t="shared" si="220"/>
        <v>#DIV/0!</v>
      </c>
      <c r="FO109" s="8" t="e">
        <f t="shared" si="221"/>
        <v>#DIV/0!</v>
      </c>
      <c r="FP109" s="81" t="e">
        <f t="shared" si="222"/>
        <v>#DIV/0!</v>
      </c>
      <c r="FQ109" s="74" t="e">
        <f t="shared" ca="1" si="125"/>
        <v>#N/A</v>
      </c>
      <c r="FR109" s="82" t="e" vm="3">
        <f t="shared" ca="1" si="131"/>
        <v>#VALUE!</v>
      </c>
      <c r="FS109" s="7" t="e" vm="3">
        <f t="shared" ca="1" si="126"/>
        <v>#VALUE!</v>
      </c>
      <c r="FT109" t="e" vm="3">
        <f t="shared" ca="1" si="120"/>
        <v>#VALUE!</v>
      </c>
      <c r="FU109" s="8" t="e" vm="3">
        <f t="shared" ca="1" si="121"/>
        <v>#VALUE!</v>
      </c>
      <c r="FV109" s="8" t="e" vm="3">
        <f t="shared" ca="1" si="122"/>
        <v>#VALUE!</v>
      </c>
      <c r="FW109" s="81" t="e" vm="3">
        <f t="shared" ca="1" si="123"/>
        <v>#VALUE!</v>
      </c>
      <c r="FX109" s="74" t="e">
        <f t="shared" si="127"/>
        <v>#N/A</v>
      </c>
      <c r="FY109" s="82" t="e">
        <f t="shared" si="132"/>
        <v>#N/A</v>
      </c>
      <c r="FZ109" s="7" t="e">
        <f t="shared" si="128"/>
        <v>#N/A</v>
      </c>
      <c r="GA109" t="e">
        <f t="shared" si="133"/>
        <v>#N/A</v>
      </c>
      <c r="GB109" s="8" t="e">
        <f t="shared" si="134"/>
        <v>#N/A</v>
      </c>
      <c r="GC109" s="8" t="e">
        <f t="shared" si="135"/>
        <v>#N/A</v>
      </c>
      <c r="GD109" s="81" t="e">
        <f t="shared" si="136"/>
        <v>#N/A</v>
      </c>
      <c r="GE109" s="74" t="e">
        <f t="shared" si="137"/>
        <v>#N/A</v>
      </c>
      <c r="GF109" s="82" t="e">
        <f t="shared" si="138"/>
        <v>#N/A</v>
      </c>
      <c r="GG109" s="7" t="e">
        <f t="shared" si="129"/>
        <v>#N/A</v>
      </c>
      <c r="GH109" t="e">
        <f t="shared" si="139"/>
        <v>#N/A</v>
      </c>
      <c r="GI109" s="8" t="e">
        <f t="shared" si="140"/>
        <v>#N/A</v>
      </c>
      <c r="GJ109" s="8" t="e">
        <f t="shared" si="141"/>
        <v>#N/A</v>
      </c>
      <c r="GK109" s="81" t="e">
        <f t="shared" si="142"/>
        <v>#N/A</v>
      </c>
      <c r="GL109" s="81"/>
      <c r="GM109" s="81"/>
      <c r="GP109" s="32">
        <f t="shared" si="187"/>
        <v>99</v>
      </c>
      <c r="GQ109" s="32">
        <f t="shared" si="188"/>
        <v>100</v>
      </c>
      <c r="GR109" s="32">
        <f t="shared" si="189"/>
        <v>-0.71865867585297982</v>
      </c>
      <c r="GS109" s="32">
        <f t="shared" si="190"/>
        <v>0.30814843527368829</v>
      </c>
      <c r="GT109" s="32" t="e">
        <f t="shared" si="191"/>
        <v>#N/A</v>
      </c>
      <c r="GU109" s="32" t="e">
        <f t="shared" si="192"/>
        <v>#N/A</v>
      </c>
      <c r="GV109" s="32" t="e">
        <f t="shared" si="193"/>
        <v>#N/A</v>
      </c>
      <c r="GW109" s="32" t="b">
        <f t="shared" si="194"/>
        <v>0</v>
      </c>
      <c r="GX109" s="32" t="b">
        <f t="shared" si="195"/>
        <v>1</v>
      </c>
      <c r="GY109" s="32" t="b">
        <f t="shared" si="196"/>
        <v>0</v>
      </c>
      <c r="GZ109" s="32" t="b">
        <f t="shared" si="197"/>
        <v>1</v>
      </c>
      <c r="HA109" s="32">
        <f t="shared" si="198"/>
        <v>0.30814843527368829</v>
      </c>
      <c r="HB109" s="32" t="e">
        <f t="shared" si="199"/>
        <v>#N/A</v>
      </c>
      <c r="HC109" s="32">
        <f t="shared" si="200"/>
        <v>0.30814843527368829</v>
      </c>
      <c r="HD109" s="45" t="str">
        <f t="shared" si="201"/>
        <v/>
      </c>
      <c r="HJ109" s="32">
        <f t="shared" si="202"/>
        <v>99</v>
      </c>
      <c r="HK109" s="32">
        <f t="shared" si="203"/>
        <v>100</v>
      </c>
      <c r="HL109" s="32">
        <f t="shared" si="204"/>
        <v>-1.1128580531717054</v>
      </c>
      <c r="HM109" s="32" t="e">
        <f t="shared" si="205"/>
        <v>#N/A</v>
      </c>
      <c r="HN109" s="32">
        <f t="shared" si="206"/>
        <v>0.20065988647559618</v>
      </c>
      <c r="HO109" s="32" t="e">
        <f t="shared" si="207"/>
        <v>#N/A</v>
      </c>
      <c r="HP109" s="32" t="e">
        <f t="shared" si="208"/>
        <v>#N/A</v>
      </c>
      <c r="HQ109" s="32" t="b">
        <f t="shared" si="209"/>
        <v>1</v>
      </c>
      <c r="HR109" s="32" t="b">
        <f t="shared" si="210"/>
        <v>0</v>
      </c>
      <c r="HS109" s="32" t="b">
        <f t="shared" si="211"/>
        <v>0</v>
      </c>
      <c r="HT109" s="32" t="b">
        <f t="shared" si="212"/>
        <v>1</v>
      </c>
      <c r="HU109" s="32">
        <f t="shared" si="213"/>
        <v>0.20065988647559618</v>
      </c>
      <c r="HV109" s="32">
        <f t="shared" si="214"/>
        <v>0.20065988647559618</v>
      </c>
      <c r="HW109" s="32" t="e">
        <f t="shared" si="215"/>
        <v>#N/A</v>
      </c>
      <c r="HX109" s="45" t="str">
        <f t="shared" si="216"/>
        <v/>
      </c>
    </row>
    <row r="110" spans="78:232" x14ac:dyDescent="0.2">
      <c r="BZ110" s="32">
        <f t="shared" si="143"/>
        <v>100</v>
      </c>
      <c r="CA110" s="32">
        <f>Eu_tabel_g[[#This Row],[Indeks]]+1</f>
        <v>101</v>
      </c>
      <c r="CB110" s="32">
        <f t="shared" si="144"/>
        <v>-0.69470338665788045</v>
      </c>
      <c r="CC110" s="32">
        <f t="shared" si="145"/>
        <v>0.31340940782583288</v>
      </c>
      <c r="CD110" s="32" t="e">
        <f t="shared" si="146"/>
        <v>#N/A</v>
      </c>
      <c r="CE110" s="32" t="e">
        <f t="shared" si="147"/>
        <v>#N/A</v>
      </c>
      <c r="CF110" s="32" t="e">
        <f t="shared" si="148"/>
        <v>#N/A</v>
      </c>
      <c r="CG110" s="32" t="b">
        <f t="shared" si="149"/>
        <v>0</v>
      </c>
      <c r="CH110" s="32" t="b">
        <f t="shared" si="150"/>
        <v>1</v>
      </c>
      <c r="CI110" s="32" t="b">
        <f t="shared" si="151"/>
        <v>0</v>
      </c>
      <c r="CJ110" s="32" t="b">
        <f t="shared" si="152"/>
        <v>1</v>
      </c>
      <c r="CK110" s="32">
        <f t="shared" si="217"/>
        <v>0.31340940782583288</v>
      </c>
      <c r="CL110" s="32" t="e">
        <f t="shared" si="153"/>
        <v>#N/A</v>
      </c>
      <c r="CM110" s="32">
        <f t="shared" si="154"/>
        <v>0.31340940782583288</v>
      </c>
      <c r="CN110" s="45" t="str">
        <f t="shared" si="155"/>
        <v/>
      </c>
      <c r="CO110" s="32">
        <f>_xlfn.NORM.DIST(_xlfn.NORM.INV(1-Eu_g_konfidensniveau,0,1)-Eu_tabel_g[[#This Row],[x base]],0,1,TRUE)</f>
        <v>0.17101795912522497</v>
      </c>
      <c r="CP110" s="32">
        <f>1-_xlfn.NORM.DIST(_xlfn.NORM.INV(Eu_g_konfidensniveau,0,1)-Eu_tabel_g[[#This Row],[x base]],0,1,TRUE)</f>
        <v>9.6533122660337201E-3</v>
      </c>
      <c r="CQ110" s="32">
        <f>_xlfn.NORM.DIST(_xlfn.NORM.INV((1-Eu_g_konfidensniveau)/2,0,1)-Eu_tabel_g[[#This Row],[x base]],0,1,TRUE)+1-_xlfn.NORM.DIST(_xlfn.NORM.INV(1-(1-Eu_g_konfidensniveau)/2,0,1)-Eu_tabel_g[[#This Row],[x base]],0,1,TRUE)</f>
        <v>0.10685829537543157</v>
      </c>
      <c r="CR110" s="32" t="e" cm="1">
        <f t="array" ref="CR110">IF($CR$3,INDEX(Eu_tabel_g[[#This Row],[Styrke venstre]:[Styrke tosidet]],CR$7),NA())</f>
        <v>#N/A</v>
      </c>
      <c r="CS110" s="52" t="e">
        <f>Eu_tabel_g[[#This Row],[Falsk positiv
Nulhypotese accepteres
Fejltype 1]]</f>
        <v>#N/A</v>
      </c>
      <c r="CT110" s="52" t="e">
        <f>IF(CHOOSE(CR$7,Eu_tabel_g[[#This Row],[x base]]&gt;0,Eu_tabel_g[[#This Row],[x base]]&lt;0,Eu_tabel_g[[#This Row],[x base]]=0),Eu_tabel_g[[#This Row],[Styrke, aktiv]],NA())</f>
        <v>#N/A</v>
      </c>
      <c r="CU110" s="52" t="e">
        <f>IFERROR(IF($CR$3,Eu_tabel_g[[#This Row],[Styrke, aktiv]],NA()),NA())</f>
        <v>#N/A</v>
      </c>
      <c r="CV110" s="52" t="e">
        <f>IF(ISNA(Eu_tabel_g[[#This Row],[Sand negativ
Nulhypotese afvises
Korrekt]]),NA(),IF($CR$3,1,NA()))</f>
        <v>#N/A</v>
      </c>
      <c r="CW110" s="34" t="str" cm="1">
        <f t="array" ref="CW110">_xlfn.SWITCH(BZ110,_xlfn.IFNA(CU$2,-99),CU$5,_xlfn.IFNA(CU$3,-99),CU$6,_xlfn.IFNA(CU$4,-99),CU$7,"")</f>
        <v/>
      </c>
      <c r="DA110" s="7">
        <f t="shared" si="156"/>
        <v>0.8</v>
      </c>
      <c r="DB110">
        <f>IF(ROW(Styrkeberegning_G[[#This Row],[X base venstre]])=ROW(Styrkeberegning_G[[#Headers],[X base venstre]])+1,DB$7/(DA$7/$B$67),DB109/(DA109/$B$67))</f>
        <v>-2.8015817870135784</v>
      </c>
      <c r="DC110">
        <f>Styrkeberegning_G[[#This Row],[X base venstre]]*-1</f>
        <v>2.8015817870135784</v>
      </c>
      <c r="DN110" s="32">
        <f t="shared" si="157"/>
        <v>100</v>
      </c>
      <c r="DO110" s="32">
        <f t="shared" si="158"/>
        <v>101</v>
      </c>
      <c r="DP110" s="32">
        <f t="shared" si="159"/>
        <v>13.24093830635379</v>
      </c>
      <c r="DQ110" s="32" t="e">
        <f t="shared" si="160"/>
        <v>#N/A</v>
      </c>
      <c r="DR110" s="32" t="e">
        <f t="shared" si="161"/>
        <v>#N/A</v>
      </c>
      <c r="DS110" s="32">
        <f t="shared" si="162"/>
        <v>6.293314936834786E-2</v>
      </c>
      <c r="DT110" s="32" t="e">
        <f t="shared" si="163"/>
        <v>#N/A</v>
      </c>
      <c r="DU110" s="32" t="b">
        <f t="shared" si="164"/>
        <v>0</v>
      </c>
      <c r="DV110" s="32" t="b">
        <f t="shared" si="165"/>
        <v>1</v>
      </c>
      <c r="DW110" s="32" t="b">
        <f t="shared" si="166"/>
        <v>0</v>
      </c>
      <c r="DX110" s="32" t="b">
        <f t="shared" si="167"/>
        <v>1</v>
      </c>
      <c r="DY110" s="32">
        <f t="shared" si="168"/>
        <v>6.293314936834786E-2</v>
      </c>
      <c r="DZ110" s="32" t="e">
        <f t="shared" si="169"/>
        <v>#N/A</v>
      </c>
      <c r="EA110" s="32">
        <f t="shared" si="170"/>
        <v>6.293314936834786E-2</v>
      </c>
      <c r="EB110" s="45" t="str">
        <f t="shared" si="171"/>
        <v/>
      </c>
      <c r="EG110" s="32">
        <f t="shared" si="172"/>
        <v>100</v>
      </c>
      <c r="EH110" s="32">
        <f t="shared" si="173"/>
        <v>101</v>
      </c>
      <c r="EI110" s="32">
        <f t="shared" si="174"/>
        <v>-0.69470338665788045</v>
      </c>
      <c r="EJ110" s="32">
        <f t="shared" si="175"/>
        <v>0.31340940782583288</v>
      </c>
      <c r="EK110" s="32" t="e">
        <f t="shared" si="176"/>
        <v>#N/A</v>
      </c>
      <c r="EL110" s="32" t="e">
        <f t="shared" si="177"/>
        <v>#N/A</v>
      </c>
      <c r="EM110" s="32" t="e">
        <f t="shared" si="178"/>
        <v>#N/A</v>
      </c>
      <c r="EN110" s="32" t="b">
        <f t="shared" si="179"/>
        <v>0</v>
      </c>
      <c r="EO110" s="32" t="b">
        <f t="shared" si="180"/>
        <v>1</v>
      </c>
      <c r="EP110" s="32" t="b">
        <f t="shared" si="181"/>
        <v>0</v>
      </c>
      <c r="EQ110" s="32" t="b">
        <f t="shared" si="182"/>
        <v>1</v>
      </c>
      <c r="ER110" s="32">
        <f t="shared" si="183"/>
        <v>0.31340940782583288</v>
      </c>
      <c r="ES110" s="32" t="e">
        <f t="shared" si="184"/>
        <v>#N/A</v>
      </c>
      <c r="ET110" s="32">
        <f t="shared" si="185"/>
        <v>0.31340940782583288</v>
      </c>
      <c r="EU110" s="45" t="str">
        <f t="shared" si="186"/>
        <v/>
      </c>
      <c r="EV11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0" s="32" t="e" cm="1">
        <f t="array" ref="EY110">IF($CR$3,INDEX(Eu_tabel_a[[#This Row],[Styrke venstre]:[Styrke tosidet]],EY$7),NA())</f>
        <v>#N/A</v>
      </c>
      <c r="EZ110" s="32" t="e">
        <f>IF(EY$3,IF(CHOOSE(EY$7,Eu_tabel_a[[#This Row],[x base]]&gt;0,Eu_tabel_a[[#This Row],[x base]]&lt;0,Eu_tabel_a[[#This Row],[x base]]=0),1,NA()),NA())</f>
        <v>#N/A</v>
      </c>
      <c r="FA110" s="32" t="e">
        <f>IF(CHOOSE(EY$7,Eu_tabel_a[[#This Row],[x base]]&gt;0,Eu_tabel_a[[#This Row],[x base]]&lt;0,Eu_tabel_a[[#This Row],[x base]]=0),Eu_tabel_a[[#This Row],[Styrke, aktiv]],NA())</f>
        <v>#N/A</v>
      </c>
      <c r="FB110" s="32" t="e">
        <f>IFERROR(IF($EY$3,Eu_tabel_a[[#This Row],[Styrke, aktiv]],NA()),NA())</f>
        <v>#N/A</v>
      </c>
      <c r="FC110" s="32" t="e">
        <f>IF(ISNA(Eu_tabel_a[[#This Row],[Sand negativ
Nulhypotese afvises
Korrekt]]),NA(),IF(EY$3,1,NA()))</f>
        <v>#N/A</v>
      </c>
      <c r="FD110" s="33" t="str" cm="1">
        <f t="array" ref="FD110">IFERROR(_xlfn.SWITCH(Eu_tabel_a[[#This Row],[Indeks]],_xlfn.IFNA(FB$2,-99),FB$5,_xlfn.IFNA(FB$3,-99),FB$6,_xlfn.IFNA(FB$4,-99),FB$7,""),"")</f>
        <v/>
      </c>
      <c r="FE110" s="32">
        <f>Eu_tabel_a[[#This Row],[x base]]*SQRT(Eu_a_h0_x*(1-Eu_a_h0_x)/Eu_a_n_x)+Eu_a_h0_x</f>
        <v>0</v>
      </c>
      <c r="FJ110" s="74" t="e">
        <f t="shared" si="130"/>
        <v>#N/A</v>
      </c>
      <c r="FK110" s="82" t="e">
        <f t="shared" si="218"/>
        <v>#DIV/0!</v>
      </c>
      <c r="FL110" s="7" t="e">
        <f t="shared" si="124"/>
        <v>#DIV/0!</v>
      </c>
      <c r="FM110" t="e">
        <f t="shared" si="219"/>
        <v>#DIV/0!</v>
      </c>
      <c r="FN110" s="8" t="e">
        <f t="shared" si="220"/>
        <v>#DIV/0!</v>
      </c>
      <c r="FO110" s="8" t="e">
        <f t="shared" si="221"/>
        <v>#DIV/0!</v>
      </c>
      <c r="FP110" s="81" t="e">
        <f t="shared" si="222"/>
        <v>#DIV/0!</v>
      </c>
      <c r="FQ110" s="74" t="e">
        <f t="shared" ca="1" si="125"/>
        <v>#N/A</v>
      </c>
      <c r="FR110" s="82" t="e" vm="3">
        <f t="shared" ca="1" si="131"/>
        <v>#VALUE!</v>
      </c>
      <c r="FS110" s="7" t="e" vm="3">
        <f t="shared" ca="1" si="126"/>
        <v>#VALUE!</v>
      </c>
      <c r="FT110" t="e" vm="3">
        <f t="shared" ca="1" si="120"/>
        <v>#VALUE!</v>
      </c>
      <c r="FU110" s="8" t="e" vm="3">
        <f t="shared" ca="1" si="121"/>
        <v>#VALUE!</v>
      </c>
      <c r="FV110" s="8" t="e" vm="3">
        <f t="shared" ca="1" si="122"/>
        <v>#VALUE!</v>
      </c>
      <c r="FW110" s="81" t="e" vm="3">
        <f t="shared" ca="1" si="123"/>
        <v>#VALUE!</v>
      </c>
      <c r="FX110" s="74" t="e">
        <f t="shared" si="127"/>
        <v>#N/A</v>
      </c>
      <c r="FY110" s="82" t="e">
        <f t="shared" si="132"/>
        <v>#N/A</v>
      </c>
      <c r="FZ110" s="7" t="e">
        <f t="shared" si="128"/>
        <v>#N/A</v>
      </c>
      <c r="GA110" t="e">
        <f t="shared" si="133"/>
        <v>#N/A</v>
      </c>
      <c r="GB110" s="8" t="e">
        <f t="shared" si="134"/>
        <v>#N/A</v>
      </c>
      <c r="GC110" s="8" t="e">
        <f t="shared" si="135"/>
        <v>#N/A</v>
      </c>
      <c r="GD110" s="81" t="e">
        <f t="shared" si="136"/>
        <v>#N/A</v>
      </c>
      <c r="GE110" s="74" t="e">
        <f t="shared" si="137"/>
        <v>#N/A</v>
      </c>
      <c r="GF110" s="82" t="e">
        <f t="shared" si="138"/>
        <v>#N/A</v>
      </c>
      <c r="GG110" s="7" t="e">
        <f t="shared" si="129"/>
        <v>#N/A</v>
      </c>
      <c r="GH110" t="e">
        <f t="shared" si="139"/>
        <v>#N/A</v>
      </c>
      <c r="GI110" s="8" t="e">
        <f t="shared" si="140"/>
        <v>#N/A</v>
      </c>
      <c r="GJ110" s="8" t="e">
        <f t="shared" si="141"/>
        <v>#N/A</v>
      </c>
      <c r="GK110" s="81" t="e">
        <f t="shared" si="142"/>
        <v>#N/A</v>
      </c>
      <c r="GL110" s="81"/>
      <c r="GM110" s="81"/>
      <c r="GP110" s="32">
        <f t="shared" si="187"/>
        <v>100</v>
      </c>
      <c r="GQ110" s="32">
        <f t="shared" si="188"/>
        <v>101</v>
      </c>
      <c r="GR110" s="32">
        <f t="shared" si="189"/>
        <v>-0.69470338665788045</v>
      </c>
      <c r="GS110" s="32">
        <f t="shared" si="190"/>
        <v>0.31340940782583288</v>
      </c>
      <c r="GT110" s="32" t="e">
        <f t="shared" si="191"/>
        <v>#N/A</v>
      </c>
      <c r="GU110" s="32" t="e">
        <f t="shared" si="192"/>
        <v>#N/A</v>
      </c>
      <c r="GV110" s="32" t="e">
        <f t="shared" si="193"/>
        <v>#N/A</v>
      </c>
      <c r="GW110" s="32" t="b">
        <f t="shared" si="194"/>
        <v>0</v>
      </c>
      <c r="GX110" s="32" t="b">
        <f t="shared" si="195"/>
        <v>1</v>
      </c>
      <c r="GY110" s="32" t="b">
        <f t="shared" si="196"/>
        <v>0</v>
      </c>
      <c r="GZ110" s="32" t="b">
        <f t="shared" si="197"/>
        <v>1</v>
      </c>
      <c r="HA110" s="32">
        <f t="shared" si="198"/>
        <v>0.31340940782583288</v>
      </c>
      <c r="HB110" s="32" t="e">
        <f t="shared" si="199"/>
        <v>#N/A</v>
      </c>
      <c r="HC110" s="32">
        <f t="shared" si="200"/>
        <v>0.31340940782583288</v>
      </c>
      <c r="HD110" s="45" t="str">
        <f t="shared" si="201"/>
        <v/>
      </c>
      <c r="HJ110" s="32">
        <f t="shared" si="202"/>
        <v>100</v>
      </c>
      <c r="HK110" s="32">
        <f t="shared" si="203"/>
        <v>101</v>
      </c>
      <c r="HL110" s="32">
        <f t="shared" si="204"/>
        <v>-1.0757627847326483</v>
      </c>
      <c r="HM110" s="32" t="e">
        <f t="shared" si="205"/>
        <v>#N/A</v>
      </c>
      <c r="HN110" s="32">
        <f t="shared" si="206"/>
        <v>0.20876843698347813</v>
      </c>
      <c r="HO110" s="32" t="e">
        <f t="shared" si="207"/>
        <v>#N/A</v>
      </c>
      <c r="HP110" s="32" t="e">
        <f t="shared" si="208"/>
        <v>#N/A</v>
      </c>
      <c r="HQ110" s="32" t="b">
        <f t="shared" si="209"/>
        <v>1</v>
      </c>
      <c r="HR110" s="32" t="b">
        <f t="shared" si="210"/>
        <v>0</v>
      </c>
      <c r="HS110" s="32" t="b">
        <f t="shared" si="211"/>
        <v>0</v>
      </c>
      <c r="HT110" s="32" t="b">
        <f t="shared" si="212"/>
        <v>1</v>
      </c>
      <c r="HU110" s="32">
        <f t="shared" si="213"/>
        <v>0.20876843698347813</v>
      </c>
      <c r="HV110" s="32">
        <f t="shared" si="214"/>
        <v>0.20876843698347813</v>
      </c>
      <c r="HW110" s="32" t="e">
        <f t="shared" si="215"/>
        <v>#N/A</v>
      </c>
      <c r="HX110" s="45" t="str">
        <f t="shared" si="216"/>
        <v/>
      </c>
    </row>
    <row r="111" spans="78:232" x14ac:dyDescent="0.2">
      <c r="BZ111" s="32">
        <f t="shared" si="143"/>
        <v>101</v>
      </c>
      <c r="CA111" s="32">
        <f>Eu_tabel_g[[#This Row],[Indeks]]+1</f>
        <v>102</v>
      </c>
      <c r="CB111" s="32">
        <f t="shared" si="144"/>
        <v>-0.67074809746278108</v>
      </c>
      <c r="CC111" s="32">
        <f t="shared" si="145"/>
        <v>0.31857733024261109</v>
      </c>
      <c r="CD111" s="32" t="e">
        <f t="shared" si="146"/>
        <v>#N/A</v>
      </c>
      <c r="CE111" s="32" t="e">
        <f t="shared" si="147"/>
        <v>#N/A</v>
      </c>
      <c r="CF111" s="32" t="e">
        <f t="shared" si="148"/>
        <v>#N/A</v>
      </c>
      <c r="CG111" s="32" t="b">
        <f t="shared" si="149"/>
        <v>0</v>
      </c>
      <c r="CH111" s="32" t="b">
        <f t="shared" si="150"/>
        <v>1</v>
      </c>
      <c r="CI111" s="32" t="b">
        <f t="shared" si="151"/>
        <v>0</v>
      </c>
      <c r="CJ111" s="32" t="b">
        <f t="shared" si="152"/>
        <v>1</v>
      </c>
      <c r="CK111" s="32">
        <f t="shared" si="217"/>
        <v>0.31857733024261109</v>
      </c>
      <c r="CL111" s="32" t="e">
        <f t="shared" si="153"/>
        <v>#N/A</v>
      </c>
      <c r="CM111" s="32">
        <f t="shared" si="154"/>
        <v>0.31857733024261109</v>
      </c>
      <c r="CN111" s="45" t="str">
        <f t="shared" si="155"/>
        <v/>
      </c>
      <c r="CO111" s="32">
        <f>_xlfn.NORM.DIST(_xlfn.NORM.INV(1-Eu_g_konfidensniveau,0,1)-Eu_tabel_g[[#This Row],[x base]],0,1,TRUE)</f>
        <v>0.16500207215092594</v>
      </c>
      <c r="CP111" s="32">
        <f>1-_xlfn.NORM.DIST(_xlfn.NORM.INV(Eu_g_konfidensniveau,0,1)-Eu_tabel_g[[#This Row],[x base]],0,1,TRUE)</f>
        <v>1.0290012307210827E-2</v>
      </c>
      <c r="CQ111" s="32">
        <f>_xlfn.NORM.DIST(_xlfn.NORM.INV((1-Eu_g_konfidensniveau)/2,0,1)-Eu_tabel_g[[#This Row],[x base]],0,1,TRUE)+1-_xlfn.NORM.DIST(_xlfn.NORM.INV(1-(1-Eu_g_konfidensniveau)/2,0,1)-Eu_tabel_g[[#This Row],[x base]],0,1,TRUE)</f>
        <v>0.10292183104268382</v>
      </c>
      <c r="CR111" s="32" t="e" cm="1">
        <f t="array" ref="CR111">IF($CR$3,INDEX(Eu_tabel_g[[#This Row],[Styrke venstre]:[Styrke tosidet]],CR$7),NA())</f>
        <v>#N/A</v>
      </c>
      <c r="CS111" s="52" t="e">
        <f>Eu_tabel_g[[#This Row],[Falsk positiv
Nulhypotese accepteres
Fejltype 1]]</f>
        <v>#N/A</v>
      </c>
      <c r="CT111" s="52" t="e">
        <f>IF(CHOOSE(CR$7,Eu_tabel_g[[#This Row],[x base]]&gt;0,Eu_tabel_g[[#This Row],[x base]]&lt;0,Eu_tabel_g[[#This Row],[x base]]=0),Eu_tabel_g[[#This Row],[Styrke, aktiv]],NA())</f>
        <v>#N/A</v>
      </c>
      <c r="CU111" s="52" t="e">
        <f>IFERROR(IF($CR$3,Eu_tabel_g[[#This Row],[Styrke, aktiv]],NA()),NA())</f>
        <v>#N/A</v>
      </c>
      <c r="CV111" s="52" t="e">
        <f>IF(ISNA(Eu_tabel_g[[#This Row],[Sand negativ
Nulhypotese afvises
Korrekt]]),NA(),IF($CR$3,1,NA()))</f>
        <v>#N/A</v>
      </c>
      <c r="CW111" s="34" t="str" cm="1">
        <f t="array" ref="CW111">_xlfn.SWITCH(BZ111,_xlfn.IFNA(CU$2,-99),CU$5,_xlfn.IFNA(CU$3,-99),CU$6,_xlfn.IFNA(CU$4,-99),CU$7,"")</f>
        <v/>
      </c>
      <c r="DA111" s="7">
        <f t="shared" si="156"/>
        <v>0.8</v>
      </c>
      <c r="DB111">
        <f>IF(ROW(Styrkeberegning_G[[#This Row],[X base venstre]])=ROW(Styrkeberegning_G[[#Headers],[X base venstre]])+1,DB$7/(DA$7/$B$67),DB110/(DA110/$B$67))</f>
        <v>-2.8015817870135784</v>
      </c>
      <c r="DC111">
        <f>Styrkeberegning_G[[#This Row],[X base venstre]]*-1</f>
        <v>2.8015817870135784</v>
      </c>
      <c r="DN111" s="32">
        <f t="shared" si="157"/>
        <v>101</v>
      </c>
      <c r="DO111" s="32">
        <f t="shared" si="158"/>
        <v>102</v>
      </c>
      <c r="DP111" s="32">
        <f t="shared" si="159"/>
        <v>13.355009162770791</v>
      </c>
      <c r="DQ111" s="32" t="e">
        <f t="shared" si="160"/>
        <v>#N/A</v>
      </c>
      <c r="DR111" s="32" t="e">
        <f t="shared" si="161"/>
        <v>#N/A</v>
      </c>
      <c r="DS111" s="32">
        <f t="shared" si="162"/>
        <v>6.1783672704887396E-2</v>
      </c>
      <c r="DT111" s="32" t="e">
        <f t="shared" si="163"/>
        <v>#N/A</v>
      </c>
      <c r="DU111" s="32" t="b">
        <f t="shared" si="164"/>
        <v>0</v>
      </c>
      <c r="DV111" s="32" t="b">
        <f t="shared" si="165"/>
        <v>1</v>
      </c>
      <c r="DW111" s="32" t="b">
        <f t="shared" si="166"/>
        <v>0</v>
      </c>
      <c r="DX111" s="32" t="b">
        <f t="shared" si="167"/>
        <v>1</v>
      </c>
      <c r="DY111" s="32">
        <f t="shared" si="168"/>
        <v>6.1783672704887396E-2</v>
      </c>
      <c r="DZ111" s="32" t="e">
        <f t="shared" si="169"/>
        <v>#N/A</v>
      </c>
      <c r="EA111" s="32">
        <f t="shared" si="170"/>
        <v>6.1783672704887396E-2</v>
      </c>
      <c r="EB111" s="45" t="str">
        <f t="shared" si="171"/>
        <v/>
      </c>
      <c r="EG111" s="32">
        <f t="shared" si="172"/>
        <v>101</v>
      </c>
      <c r="EH111" s="32">
        <f t="shared" si="173"/>
        <v>102</v>
      </c>
      <c r="EI111" s="32">
        <f t="shared" si="174"/>
        <v>-0.67074809746278108</v>
      </c>
      <c r="EJ111" s="32">
        <f t="shared" si="175"/>
        <v>0.31857733024261109</v>
      </c>
      <c r="EK111" s="32" t="e">
        <f t="shared" si="176"/>
        <v>#N/A</v>
      </c>
      <c r="EL111" s="32" t="e">
        <f t="shared" si="177"/>
        <v>#N/A</v>
      </c>
      <c r="EM111" s="32" t="e">
        <f t="shared" si="178"/>
        <v>#N/A</v>
      </c>
      <c r="EN111" s="32" t="b">
        <f t="shared" si="179"/>
        <v>0</v>
      </c>
      <c r="EO111" s="32" t="b">
        <f t="shared" si="180"/>
        <v>1</v>
      </c>
      <c r="EP111" s="32" t="b">
        <f t="shared" si="181"/>
        <v>0</v>
      </c>
      <c r="EQ111" s="32" t="b">
        <f t="shared" si="182"/>
        <v>1</v>
      </c>
      <c r="ER111" s="32">
        <f t="shared" si="183"/>
        <v>0.31857733024261109</v>
      </c>
      <c r="ES111" s="32" t="e">
        <f t="shared" si="184"/>
        <v>#N/A</v>
      </c>
      <c r="ET111" s="32">
        <f t="shared" si="185"/>
        <v>0.31857733024261109</v>
      </c>
      <c r="EU111" s="45" t="str">
        <f t="shared" si="186"/>
        <v/>
      </c>
      <c r="EV11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1" s="32" t="e" cm="1">
        <f t="array" ref="EY111">IF($CR$3,INDEX(Eu_tabel_a[[#This Row],[Styrke venstre]:[Styrke tosidet]],EY$7),NA())</f>
        <v>#N/A</v>
      </c>
      <c r="EZ111" s="32" t="e">
        <f>IF(EY$3,IF(CHOOSE(EY$7,Eu_tabel_a[[#This Row],[x base]]&gt;0,Eu_tabel_a[[#This Row],[x base]]&lt;0,Eu_tabel_a[[#This Row],[x base]]=0),1,NA()),NA())</f>
        <v>#N/A</v>
      </c>
      <c r="FA111" s="32" t="e">
        <f>IF(CHOOSE(EY$7,Eu_tabel_a[[#This Row],[x base]]&gt;0,Eu_tabel_a[[#This Row],[x base]]&lt;0,Eu_tabel_a[[#This Row],[x base]]=0),Eu_tabel_a[[#This Row],[Styrke, aktiv]],NA())</f>
        <v>#N/A</v>
      </c>
      <c r="FB111" s="32" t="e">
        <f>IFERROR(IF($EY$3,Eu_tabel_a[[#This Row],[Styrke, aktiv]],NA()),NA())</f>
        <v>#N/A</v>
      </c>
      <c r="FC111" s="32" t="e">
        <f>IF(ISNA(Eu_tabel_a[[#This Row],[Sand negativ
Nulhypotese afvises
Korrekt]]),NA(),IF(EY$3,1,NA()))</f>
        <v>#N/A</v>
      </c>
      <c r="FD111" s="33" t="str" cm="1">
        <f t="array" ref="FD111">IFERROR(_xlfn.SWITCH(Eu_tabel_a[[#This Row],[Indeks]],_xlfn.IFNA(FB$2,-99),FB$5,_xlfn.IFNA(FB$3,-99),FB$6,_xlfn.IFNA(FB$4,-99),FB$7,""),"")</f>
        <v/>
      </c>
      <c r="FE111" s="32">
        <f>Eu_tabel_a[[#This Row],[x base]]*SQRT(Eu_a_h0_x*(1-Eu_a_h0_x)/Eu_a_n_x)+Eu_a_h0_x</f>
        <v>0</v>
      </c>
      <c r="FJ111" s="74" t="e">
        <f t="shared" si="130"/>
        <v>#N/A</v>
      </c>
      <c r="FK111" s="82" t="e">
        <f t="shared" si="218"/>
        <v>#DIV/0!</v>
      </c>
      <c r="FL111" s="7" t="e">
        <f t="shared" si="124"/>
        <v>#DIV/0!</v>
      </c>
      <c r="FM111" t="e">
        <f t="shared" si="219"/>
        <v>#DIV/0!</v>
      </c>
      <c r="FN111" s="8" t="e">
        <f t="shared" si="220"/>
        <v>#DIV/0!</v>
      </c>
      <c r="FO111" s="8" t="e">
        <f t="shared" si="221"/>
        <v>#DIV/0!</v>
      </c>
      <c r="FP111" s="81" t="e">
        <f t="shared" si="222"/>
        <v>#DIV/0!</v>
      </c>
      <c r="FQ111" s="74" t="e">
        <f t="shared" ca="1" si="125"/>
        <v>#N/A</v>
      </c>
      <c r="FR111" s="82" t="e" vm="3">
        <f t="shared" ca="1" si="131"/>
        <v>#VALUE!</v>
      </c>
      <c r="FS111" s="7" t="e" vm="3">
        <f t="shared" ca="1" si="126"/>
        <v>#VALUE!</v>
      </c>
      <c r="FT111" t="e" vm="3">
        <f t="shared" ca="1" si="120"/>
        <v>#VALUE!</v>
      </c>
      <c r="FU111" s="8" t="e" vm="3">
        <f t="shared" ca="1" si="121"/>
        <v>#VALUE!</v>
      </c>
      <c r="FV111" s="8" t="e" vm="3">
        <f t="shared" ca="1" si="122"/>
        <v>#VALUE!</v>
      </c>
      <c r="FW111" s="81" t="e" vm="3">
        <f t="shared" ca="1" si="123"/>
        <v>#VALUE!</v>
      </c>
      <c r="FX111" s="74" t="e">
        <f t="shared" si="127"/>
        <v>#N/A</v>
      </c>
      <c r="FY111" s="82" t="e">
        <f t="shared" si="132"/>
        <v>#N/A</v>
      </c>
      <c r="FZ111" s="7" t="e">
        <f t="shared" si="128"/>
        <v>#N/A</v>
      </c>
      <c r="GA111" t="e">
        <f t="shared" si="133"/>
        <v>#N/A</v>
      </c>
      <c r="GB111" s="8" t="e">
        <f t="shared" si="134"/>
        <v>#N/A</v>
      </c>
      <c r="GC111" s="8" t="e">
        <f t="shared" si="135"/>
        <v>#N/A</v>
      </c>
      <c r="GD111" s="81" t="e">
        <f t="shared" si="136"/>
        <v>#N/A</v>
      </c>
      <c r="GE111" s="74" t="e">
        <f t="shared" si="137"/>
        <v>#N/A</v>
      </c>
      <c r="GF111" s="82" t="e">
        <f t="shared" si="138"/>
        <v>#N/A</v>
      </c>
      <c r="GG111" s="7" t="e">
        <f t="shared" si="129"/>
        <v>#N/A</v>
      </c>
      <c r="GH111" t="e">
        <f t="shared" si="139"/>
        <v>#N/A</v>
      </c>
      <c r="GI111" s="8" t="e">
        <f t="shared" si="140"/>
        <v>#N/A</v>
      </c>
      <c r="GJ111" s="8" t="e">
        <f t="shared" si="141"/>
        <v>#N/A</v>
      </c>
      <c r="GK111" s="81" t="e">
        <f t="shared" si="142"/>
        <v>#N/A</v>
      </c>
      <c r="GL111" s="81"/>
      <c r="GM111" s="81"/>
      <c r="GP111" s="32">
        <f t="shared" si="187"/>
        <v>101</v>
      </c>
      <c r="GQ111" s="32">
        <f t="shared" si="188"/>
        <v>102</v>
      </c>
      <c r="GR111" s="32">
        <f t="shared" si="189"/>
        <v>-0.67074809746278108</v>
      </c>
      <c r="GS111" s="32">
        <f t="shared" si="190"/>
        <v>0.31857733024261109</v>
      </c>
      <c r="GT111" s="32" t="e">
        <f t="shared" si="191"/>
        <v>#N/A</v>
      </c>
      <c r="GU111" s="32" t="e">
        <f t="shared" si="192"/>
        <v>#N/A</v>
      </c>
      <c r="GV111" s="32" t="e">
        <f t="shared" si="193"/>
        <v>#N/A</v>
      </c>
      <c r="GW111" s="32" t="b">
        <f t="shared" si="194"/>
        <v>0</v>
      </c>
      <c r="GX111" s="32" t="b">
        <f t="shared" si="195"/>
        <v>1</v>
      </c>
      <c r="GY111" s="32" t="b">
        <f t="shared" si="196"/>
        <v>0</v>
      </c>
      <c r="GZ111" s="32" t="b">
        <f t="shared" si="197"/>
        <v>1</v>
      </c>
      <c r="HA111" s="32">
        <f t="shared" si="198"/>
        <v>0.31857733024261109</v>
      </c>
      <c r="HB111" s="32" t="e">
        <f t="shared" si="199"/>
        <v>#N/A</v>
      </c>
      <c r="HC111" s="32">
        <f t="shared" si="200"/>
        <v>0.31857733024261109</v>
      </c>
      <c r="HD111" s="45" t="str">
        <f t="shared" si="201"/>
        <v/>
      </c>
      <c r="HJ111" s="32">
        <f t="shared" si="202"/>
        <v>101</v>
      </c>
      <c r="HK111" s="32">
        <f t="shared" si="203"/>
        <v>102</v>
      </c>
      <c r="HL111" s="32">
        <f t="shared" si="204"/>
        <v>-1.0386675162935917</v>
      </c>
      <c r="HM111" s="32" t="e">
        <f t="shared" si="205"/>
        <v>#N/A</v>
      </c>
      <c r="HN111" s="32">
        <f t="shared" si="206"/>
        <v>0.21699479795162499</v>
      </c>
      <c r="HO111" s="32" t="e">
        <f t="shared" si="207"/>
        <v>#N/A</v>
      </c>
      <c r="HP111" s="32" t="e">
        <f t="shared" si="208"/>
        <v>#N/A</v>
      </c>
      <c r="HQ111" s="32" t="b">
        <f t="shared" si="209"/>
        <v>1</v>
      </c>
      <c r="HR111" s="32" t="b">
        <f t="shared" si="210"/>
        <v>0</v>
      </c>
      <c r="HS111" s="32" t="b">
        <f t="shared" si="211"/>
        <v>0</v>
      </c>
      <c r="HT111" s="32" t="b">
        <f t="shared" si="212"/>
        <v>1</v>
      </c>
      <c r="HU111" s="32">
        <f t="shared" si="213"/>
        <v>0.21699479795162499</v>
      </c>
      <c r="HV111" s="32">
        <f t="shared" si="214"/>
        <v>0.21699479795162499</v>
      </c>
      <c r="HW111" s="32" t="e">
        <f t="shared" si="215"/>
        <v>#N/A</v>
      </c>
      <c r="HX111" s="45" t="str">
        <f t="shared" si="216"/>
        <v/>
      </c>
    </row>
    <row r="112" spans="78:232" x14ac:dyDescent="0.2">
      <c r="BZ112" s="32">
        <f t="shared" si="143"/>
        <v>102</v>
      </c>
      <c r="CA112" s="32">
        <f>Eu_tabel_g[[#This Row],[Indeks]]+1</f>
        <v>103</v>
      </c>
      <c r="CB112" s="32">
        <f t="shared" si="144"/>
        <v>-0.64679280826768171</v>
      </c>
      <c r="CC112" s="32">
        <f t="shared" si="145"/>
        <v>0.32364468971493993</v>
      </c>
      <c r="CD112" s="32" t="e">
        <f t="shared" si="146"/>
        <v>#N/A</v>
      </c>
      <c r="CE112" s="32" t="e">
        <f t="shared" si="147"/>
        <v>#N/A</v>
      </c>
      <c r="CF112" s="32" t="e">
        <f t="shared" si="148"/>
        <v>#N/A</v>
      </c>
      <c r="CG112" s="32" t="b">
        <f t="shared" si="149"/>
        <v>0</v>
      </c>
      <c r="CH112" s="32" t="b">
        <f t="shared" si="150"/>
        <v>1</v>
      </c>
      <c r="CI112" s="32" t="b">
        <f t="shared" si="151"/>
        <v>0</v>
      </c>
      <c r="CJ112" s="32" t="b">
        <f t="shared" si="152"/>
        <v>1</v>
      </c>
      <c r="CK112" s="32">
        <f t="shared" si="217"/>
        <v>0.32364468971493993</v>
      </c>
      <c r="CL112" s="32" t="e">
        <f t="shared" si="153"/>
        <v>#N/A</v>
      </c>
      <c r="CM112" s="32">
        <f t="shared" si="154"/>
        <v>0.32364468971493993</v>
      </c>
      <c r="CN112" s="45" t="str">
        <f t="shared" si="155"/>
        <v/>
      </c>
      <c r="CO112" s="32">
        <f>_xlfn.NORM.DIST(_xlfn.NORM.INV(1-Eu_g_konfidensniveau,0,1)-Eu_tabel_g[[#This Row],[x base]],0,1,TRUE)</f>
        <v>0.15912493399551048</v>
      </c>
      <c r="CP112" s="32">
        <f>1-_xlfn.NORM.DIST(_xlfn.NORM.INV(Eu_g_konfidensniveau,0,1)-Eu_tabel_g[[#This Row],[x base]],0,1,TRUE)</f>
        <v>1.0963026829707734E-2</v>
      </c>
      <c r="CQ112" s="32">
        <f>_xlfn.NORM.DIST(_xlfn.NORM.INV((1-Eu_g_konfidensniveau)/2,0,1)-Eu_tabel_g[[#This Row],[x base]],0,1,TRUE)+1-_xlfn.NORM.DIST(_xlfn.NORM.INV(1-(1-Eu_g_konfidensniveau)/2,0,1)-Eu_tabel_g[[#This Row],[x base]],0,1,TRUE)</f>
        <v>9.9132849971210413E-2</v>
      </c>
      <c r="CR112" s="32" t="e" cm="1">
        <f t="array" ref="CR112">IF($CR$3,INDEX(Eu_tabel_g[[#This Row],[Styrke venstre]:[Styrke tosidet]],CR$7),NA())</f>
        <v>#N/A</v>
      </c>
      <c r="CS112" s="52" t="e">
        <f>Eu_tabel_g[[#This Row],[Falsk positiv
Nulhypotese accepteres
Fejltype 1]]</f>
        <v>#N/A</v>
      </c>
      <c r="CT112" s="52" t="e">
        <f>IF(CHOOSE(CR$7,Eu_tabel_g[[#This Row],[x base]]&gt;0,Eu_tabel_g[[#This Row],[x base]]&lt;0,Eu_tabel_g[[#This Row],[x base]]=0),Eu_tabel_g[[#This Row],[Styrke, aktiv]],NA())</f>
        <v>#N/A</v>
      </c>
      <c r="CU112" s="52" t="e">
        <f>IFERROR(IF($CR$3,Eu_tabel_g[[#This Row],[Styrke, aktiv]],NA()),NA())</f>
        <v>#N/A</v>
      </c>
      <c r="CV112" s="52" t="e">
        <f>IF(ISNA(Eu_tabel_g[[#This Row],[Sand negativ
Nulhypotese afvises
Korrekt]]),NA(),IF($CR$3,1,NA()))</f>
        <v>#N/A</v>
      </c>
      <c r="CW112" s="34" t="str" cm="1">
        <f t="array" ref="CW112">_xlfn.SWITCH(BZ112,_xlfn.IFNA(CU$2,-99),CU$5,_xlfn.IFNA(CU$3,-99),CU$6,_xlfn.IFNA(CU$4,-99),CU$7,"")</f>
        <v/>
      </c>
      <c r="DA112" s="7">
        <f t="shared" si="156"/>
        <v>0.8</v>
      </c>
      <c r="DB112">
        <f>IF(ROW(Styrkeberegning_G[[#This Row],[X base venstre]])=ROW(Styrkeberegning_G[[#Headers],[X base venstre]])+1,DB$7/(DA$7/$B$67),DB111/(DA111/$B$67))</f>
        <v>-2.8015817870135784</v>
      </c>
      <c r="DC112">
        <f>Styrkeberegning_G[[#This Row],[X base venstre]]*-1</f>
        <v>2.8015817870135784</v>
      </c>
      <c r="DN112" s="32">
        <f t="shared" si="157"/>
        <v>102</v>
      </c>
      <c r="DO112" s="32">
        <f t="shared" si="158"/>
        <v>103</v>
      </c>
      <c r="DP112" s="32">
        <f t="shared" si="159"/>
        <v>13.469080019187793</v>
      </c>
      <c r="DQ112" s="32" t="e">
        <f t="shared" si="160"/>
        <v>#N/A</v>
      </c>
      <c r="DR112" s="32" t="e">
        <f t="shared" si="161"/>
        <v>#N/A</v>
      </c>
      <c r="DS112" s="32">
        <f t="shared" si="162"/>
        <v>6.0635280603029251E-2</v>
      </c>
      <c r="DT112" s="32" t="e">
        <f t="shared" si="163"/>
        <v>#N/A</v>
      </c>
      <c r="DU112" s="32" t="b">
        <f t="shared" si="164"/>
        <v>0</v>
      </c>
      <c r="DV112" s="32" t="b">
        <f t="shared" si="165"/>
        <v>1</v>
      </c>
      <c r="DW112" s="32" t="b">
        <f t="shared" si="166"/>
        <v>0</v>
      </c>
      <c r="DX112" s="32" t="b">
        <f t="shared" si="167"/>
        <v>1</v>
      </c>
      <c r="DY112" s="32">
        <f t="shared" si="168"/>
        <v>6.0635280603029251E-2</v>
      </c>
      <c r="DZ112" s="32" t="e">
        <f t="shared" si="169"/>
        <v>#N/A</v>
      </c>
      <c r="EA112" s="32">
        <f t="shared" si="170"/>
        <v>6.0635280603029251E-2</v>
      </c>
      <c r="EB112" s="45" t="str">
        <f t="shared" si="171"/>
        <v/>
      </c>
      <c r="EG112" s="32">
        <f t="shared" si="172"/>
        <v>102</v>
      </c>
      <c r="EH112" s="32">
        <f t="shared" si="173"/>
        <v>103</v>
      </c>
      <c r="EI112" s="32">
        <f t="shared" si="174"/>
        <v>-0.64679280826768171</v>
      </c>
      <c r="EJ112" s="32">
        <f t="shared" si="175"/>
        <v>0.32364468971493993</v>
      </c>
      <c r="EK112" s="32" t="e">
        <f t="shared" si="176"/>
        <v>#N/A</v>
      </c>
      <c r="EL112" s="32" t="e">
        <f t="shared" si="177"/>
        <v>#N/A</v>
      </c>
      <c r="EM112" s="32" t="e">
        <f t="shared" si="178"/>
        <v>#N/A</v>
      </c>
      <c r="EN112" s="32" t="b">
        <f t="shared" si="179"/>
        <v>0</v>
      </c>
      <c r="EO112" s="32" t="b">
        <f t="shared" si="180"/>
        <v>1</v>
      </c>
      <c r="EP112" s="32" t="b">
        <f t="shared" si="181"/>
        <v>0</v>
      </c>
      <c r="EQ112" s="32" t="b">
        <f t="shared" si="182"/>
        <v>1</v>
      </c>
      <c r="ER112" s="32">
        <f t="shared" si="183"/>
        <v>0.32364468971493993</v>
      </c>
      <c r="ES112" s="32" t="e">
        <f t="shared" si="184"/>
        <v>#N/A</v>
      </c>
      <c r="ET112" s="32">
        <f t="shared" si="185"/>
        <v>0.32364468971493993</v>
      </c>
      <c r="EU112" s="45" t="str">
        <f t="shared" si="186"/>
        <v/>
      </c>
      <c r="EV11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2" s="32" t="e" cm="1">
        <f t="array" ref="EY112">IF($CR$3,INDEX(Eu_tabel_a[[#This Row],[Styrke venstre]:[Styrke tosidet]],EY$7),NA())</f>
        <v>#N/A</v>
      </c>
      <c r="EZ112" s="32" t="e">
        <f>IF(EY$3,IF(CHOOSE(EY$7,Eu_tabel_a[[#This Row],[x base]]&gt;0,Eu_tabel_a[[#This Row],[x base]]&lt;0,Eu_tabel_a[[#This Row],[x base]]=0),1,NA()),NA())</f>
        <v>#N/A</v>
      </c>
      <c r="FA112" s="32" t="e">
        <f>IF(CHOOSE(EY$7,Eu_tabel_a[[#This Row],[x base]]&gt;0,Eu_tabel_a[[#This Row],[x base]]&lt;0,Eu_tabel_a[[#This Row],[x base]]=0),Eu_tabel_a[[#This Row],[Styrke, aktiv]],NA())</f>
        <v>#N/A</v>
      </c>
      <c r="FB112" s="32" t="e">
        <f>IFERROR(IF($EY$3,Eu_tabel_a[[#This Row],[Styrke, aktiv]],NA()),NA())</f>
        <v>#N/A</v>
      </c>
      <c r="FC112" s="32" t="e">
        <f>IF(ISNA(Eu_tabel_a[[#This Row],[Sand negativ
Nulhypotese afvises
Korrekt]]),NA(),IF(EY$3,1,NA()))</f>
        <v>#N/A</v>
      </c>
      <c r="FD112" s="33" t="str" cm="1">
        <f t="array" ref="FD112">IFERROR(_xlfn.SWITCH(Eu_tabel_a[[#This Row],[Indeks]],_xlfn.IFNA(FB$2,-99),FB$5,_xlfn.IFNA(FB$3,-99),FB$6,_xlfn.IFNA(FB$4,-99),FB$7,""),"")</f>
        <v/>
      </c>
      <c r="FE112" s="32">
        <f>Eu_tabel_a[[#This Row],[x base]]*SQRT(Eu_a_h0_x*(1-Eu_a_h0_x)/Eu_a_n_x)+Eu_a_h0_x</f>
        <v>0</v>
      </c>
      <c r="FJ112" s="74" t="e">
        <f t="shared" si="130"/>
        <v>#N/A</v>
      </c>
      <c r="FK112" s="82" t="e">
        <f t="shared" si="218"/>
        <v>#DIV/0!</v>
      </c>
      <c r="FL112" s="7" t="e">
        <f t="shared" si="124"/>
        <v>#DIV/0!</v>
      </c>
      <c r="FM112" t="e">
        <f t="shared" si="219"/>
        <v>#DIV/0!</v>
      </c>
      <c r="FN112" s="8" t="e">
        <f t="shared" si="220"/>
        <v>#DIV/0!</v>
      </c>
      <c r="FO112" s="8" t="e">
        <f t="shared" si="221"/>
        <v>#DIV/0!</v>
      </c>
      <c r="FP112" s="81" t="e">
        <f t="shared" si="222"/>
        <v>#DIV/0!</v>
      </c>
      <c r="FQ112" s="74" t="e">
        <f t="shared" ca="1" si="125"/>
        <v>#N/A</v>
      </c>
      <c r="FR112" s="82" t="e" vm="3">
        <f t="shared" ca="1" si="131"/>
        <v>#VALUE!</v>
      </c>
      <c r="FS112" s="7" t="e" vm="3">
        <f t="shared" ca="1" si="126"/>
        <v>#VALUE!</v>
      </c>
      <c r="FT112" t="e" vm="3">
        <f t="shared" ca="1" si="120"/>
        <v>#VALUE!</v>
      </c>
      <c r="FU112" s="8" t="e" vm="3">
        <f t="shared" ca="1" si="121"/>
        <v>#VALUE!</v>
      </c>
      <c r="FV112" s="8" t="e" vm="3">
        <f t="shared" ca="1" si="122"/>
        <v>#VALUE!</v>
      </c>
      <c r="FW112" s="81" t="e" vm="3">
        <f t="shared" ca="1" si="123"/>
        <v>#VALUE!</v>
      </c>
      <c r="FX112" s="74" t="e">
        <f t="shared" si="127"/>
        <v>#N/A</v>
      </c>
      <c r="FY112" s="82" t="e">
        <f t="shared" si="132"/>
        <v>#N/A</v>
      </c>
      <c r="FZ112" s="7" t="e">
        <f t="shared" si="128"/>
        <v>#N/A</v>
      </c>
      <c r="GA112" t="e">
        <f t="shared" si="133"/>
        <v>#N/A</v>
      </c>
      <c r="GB112" s="8" t="e">
        <f t="shared" si="134"/>
        <v>#N/A</v>
      </c>
      <c r="GC112" s="8" t="e">
        <f t="shared" si="135"/>
        <v>#N/A</v>
      </c>
      <c r="GD112" s="81" t="e">
        <f t="shared" si="136"/>
        <v>#N/A</v>
      </c>
      <c r="GE112" s="74" t="e">
        <f t="shared" si="137"/>
        <v>#N/A</v>
      </c>
      <c r="GF112" s="82" t="e">
        <f t="shared" si="138"/>
        <v>#N/A</v>
      </c>
      <c r="GG112" s="7" t="e">
        <f t="shared" si="129"/>
        <v>#N/A</v>
      </c>
      <c r="GH112" t="e">
        <f t="shared" si="139"/>
        <v>#N/A</v>
      </c>
      <c r="GI112" s="8" t="e">
        <f t="shared" si="140"/>
        <v>#N/A</v>
      </c>
      <c r="GJ112" s="8" t="e">
        <f t="shared" si="141"/>
        <v>#N/A</v>
      </c>
      <c r="GK112" s="81" t="e">
        <f t="shared" si="142"/>
        <v>#N/A</v>
      </c>
      <c r="GL112" s="81"/>
      <c r="GM112" s="81"/>
      <c r="GP112" s="32">
        <f t="shared" si="187"/>
        <v>102</v>
      </c>
      <c r="GQ112" s="32">
        <f t="shared" si="188"/>
        <v>103</v>
      </c>
      <c r="GR112" s="32">
        <f t="shared" si="189"/>
        <v>-0.64679280826768171</v>
      </c>
      <c r="GS112" s="32">
        <f t="shared" si="190"/>
        <v>0.32364468971493993</v>
      </c>
      <c r="GT112" s="32" t="e">
        <f t="shared" si="191"/>
        <v>#N/A</v>
      </c>
      <c r="GU112" s="32" t="e">
        <f t="shared" si="192"/>
        <v>#N/A</v>
      </c>
      <c r="GV112" s="32" t="e">
        <f t="shared" si="193"/>
        <v>#N/A</v>
      </c>
      <c r="GW112" s="32" t="b">
        <f t="shared" si="194"/>
        <v>0</v>
      </c>
      <c r="GX112" s="32" t="b">
        <f t="shared" si="195"/>
        <v>1</v>
      </c>
      <c r="GY112" s="32" t="b">
        <f t="shared" si="196"/>
        <v>0</v>
      </c>
      <c r="GZ112" s="32" t="b">
        <f t="shared" si="197"/>
        <v>1</v>
      </c>
      <c r="HA112" s="32">
        <f t="shared" si="198"/>
        <v>0.32364468971493993</v>
      </c>
      <c r="HB112" s="32" t="e">
        <f t="shared" si="199"/>
        <v>#N/A</v>
      </c>
      <c r="HC112" s="32">
        <f t="shared" si="200"/>
        <v>0.32364468971493993</v>
      </c>
      <c r="HD112" s="45" t="str">
        <f t="shared" si="201"/>
        <v/>
      </c>
      <c r="HJ112" s="32">
        <f t="shared" si="202"/>
        <v>102</v>
      </c>
      <c r="HK112" s="32">
        <f t="shared" si="203"/>
        <v>103</v>
      </c>
      <c r="HL112" s="32">
        <f t="shared" si="204"/>
        <v>-1.0015722478545346</v>
      </c>
      <c r="HM112" s="32" t="e">
        <f t="shared" si="205"/>
        <v>#N/A</v>
      </c>
      <c r="HN112" s="32">
        <f t="shared" si="206"/>
        <v>0.22532017337259727</v>
      </c>
      <c r="HO112" s="32" t="e">
        <f t="shared" si="207"/>
        <v>#N/A</v>
      </c>
      <c r="HP112" s="32" t="e">
        <f t="shared" si="208"/>
        <v>#N/A</v>
      </c>
      <c r="HQ112" s="32" t="b">
        <f t="shared" si="209"/>
        <v>1</v>
      </c>
      <c r="HR112" s="32" t="b">
        <f t="shared" si="210"/>
        <v>0</v>
      </c>
      <c r="HS112" s="32" t="b">
        <f t="shared" si="211"/>
        <v>0</v>
      </c>
      <c r="HT112" s="32" t="b">
        <f t="shared" si="212"/>
        <v>1</v>
      </c>
      <c r="HU112" s="32">
        <f t="shared" si="213"/>
        <v>0.22532017337259727</v>
      </c>
      <c r="HV112" s="32">
        <f t="shared" si="214"/>
        <v>0.22532017337259727</v>
      </c>
      <c r="HW112" s="32" t="e">
        <f t="shared" si="215"/>
        <v>#N/A</v>
      </c>
      <c r="HX112" s="45" t="str">
        <f t="shared" si="216"/>
        <v/>
      </c>
    </row>
    <row r="113" spans="78:232" x14ac:dyDescent="0.2">
      <c r="BZ113" s="32">
        <f t="shared" si="143"/>
        <v>103</v>
      </c>
      <c r="CA113" s="32">
        <f>Eu_tabel_g[[#This Row],[Indeks]]+1</f>
        <v>104</v>
      </c>
      <c r="CB113" s="32">
        <f t="shared" si="144"/>
        <v>-0.62283751907258234</v>
      </c>
      <c r="CC113" s="32">
        <f t="shared" si="145"/>
        <v>0.3286040262264141</v>
      </c>
      <c r="CD113" s="32" t="e">
        <f t="shared" si="146"/>
        <v>#N/A</v>
      </c>
      <c r="CE113" s="32" t="e">
        <f t="shared" si="147"/>
        <v>#N/A</v>
      </c>
      <c r="CF113" s="32" t="e">
        <f t="shared" si="148"/>
        <v>#N/A</v>
      </c>
      <c r="CG113" s="32" t="b">
        <f t="shared" si="149"/>
        <v>0</v>
      </c>
      <c r="CH113" s="32" t="b">
        <f t="shared" si="150"/>
        <v>1</v>
      </c>
      <c r="CI113" s="32" t="b">
        <f t="shared" si="151"/>
        <v>0</v>
      </c>
      <c r="CJ113" s="32" t="b">
        <f t="shared" si="152"/>
        <v>1</v>
      </c>
      <c r="CK113" s="32">
        <f t="shared" si="217"/>
        <v>0.3286040262264141</v>
      </c>
      <c r="CL113" s="32" t="e">
        <f t="shared" si="153"/>
        <v>#N/A</v>
      </c>
      <c r="CM113" s="32">
        <f t="shared" si="154"/>
        <v>0.3286040262264141</v>
      </c>
      <c r="CN113" s="45" t="str">
        <f t="shared" si="155"/>
        <v/>
      </c>
      <c r="CO113" s="32">
        <f>_xlfn.NORM.DIST(_xlfn.NORM.INV(1-Eu_g_konfidensniveau,0,1)-Eu_tabel_g[[#This Row],[x base]],0,1,TRUE)</f>
        <v>0.15338663833525562</v>
      </c>
      <c r="CP113" s="32">
        <f>1-_xlfn.NORM.DIST(_xlfn.NORM.INV(Eu_g_konfidensniveau,0,1)-Eu_tabel_g[[#This Row],[x base]],0,1,TRUE)</f>
        <v>1.1674018942185449E-2</v>
      </c>
      <c r="CQ113" s="32">
        <f>_xlfn.NORM.DIST(_xlfn.NORM.INV((1-Eu_g_konfidensniveau)/2,0,1)-Eu_tabel_g[[#This Row],[x base]],0,1,TRUE)+1-_xlfn.NORM.DIST(_xlfn.NORM.INV(1-(1-Eu_g_konfidensniveau)/2,0,1)-Eu_tabel_g[[#This Row],[x base]],0,1,TRUE)</f>
        <v>9.5490764325729005E-2</v>
      </c>
      <c r="CR113" s="32" t="e" cm="1">
        <f t="array" ref="CR113">IF($CR$3,INDEX(Eu_tabel_g[[#This Row],[Styrke venstre]:[Styrke tosidet]],CR$7),NA())</f>
        <v>#N/A</v>
      </c>
      <c r="CS113" s="52" t="e">
        <f>Eu_tabel_g[[#This Row],[Falsk positiv
Nulhypotese accepteres
Fejltype 1]]</f>
        <v>#N/A</v>
      </c>
      <c r="CT113" s="52" t="e">
        <f>IF(CHOOSE(CR$7,Eu_tabel_g[[#This Row],[x base]]&gt;0,Eu_tabel_g[[#This Row],[x base]]&lt;0,Eu_tabel_g[[#This Row],[x base]]=0),Eu_tabel_g[[#This Row],[Styrke, aktiv]],NA())</f>
        <v>#N/A</v>
      </c>
      <c r="CU113" s="52" t="e">
        <f>IFERROR(IF($CR$3,Eu_tabel_g[[#This Row],[Styrke, aktiv]],NA()),NA())</f>
        <v>#N/A</v>
      </c>
      <c r="CV113" s="52" t="e">
        <f>IF(ISNA(Eu_tabel_g[[#This Row],[Sand negativ
Nulhypotese afvises
Korrekt]]),NA(),IF($CR$3,1,NA()))</f>
        <v>#N/A</v>
      </c>
      <c r="CW113" s="34" t="str" cm="1">
        <f t="array" ref="CW113">_xlfn.SWITCH(BZ113,_xlfn.IFNA(CU$2,-99),CU$5,_xlfn.IFNA(CU$3,-99),CU$6,_xlfn.IFNA(CU$4,-99),CU$7,"")</f>
        <v/>
      </c>
      <c r="DA113" s="7">
        <f t="shared" si="156"/>
        <v>0.8</v>
      </c>
      <c r="DB113">
        <f>IF(ROW(Styrkeberegning_G[[#This Row],[X base venstre]])=ROW(Styrkeberegning_G[[#Headers],[X base venstre]])+1,DB$7/(DA$7/$B$67),DB112/(DA112/$B$67))</f>
        <v>-2.8015817870135784</v>
      </c>
      <c r="DC113">
        <f>Styrkeberegning_G[[#This Row],[X base venstre]]*-1</f>
        <v>2.8015817870135784</v>
      </c>
      <c r="DN113" s="32">
        <f t="shared" si="157"/>
        <v>103</v>
      </c>
      <c r="DO113" s="32">
        <f t="shared" si="158"/>
        <v>104</v>
      </c>
      <c r="DP113" s="32">
        <f t="shared" si="159"/>
        <v>13.583150875604794</v>
      </c>
      <c r="DQ113" s="32" t="e">
        <f t="shared" si="160"/>
        <v>#N/A</v>
      </c>
      <c r="DR113" s="32" t="e">
        <f t="shared" si="161"/>
        <v>#N/A</v>
      </c>
      <c r="DS113" s="32">
        <f t="shared" si="162"/>
        <v>5.9489029270404468E-2</v>
      </c>
      <c r="DT113" s="32" t="e">
        <f t="shared" si="163"/>
        <v>#N/A</v>
      </c>
      <c r="DU113" s="32" t="b">
        <f t="shared" si="164"/>
        <v>0</v>
      </c>
      <c r="DV113" s="32" t="b">
        <f t="shared" si="165"/>
        <v>1</v>
      </c>
      <c r="DW113" s="32" t="b">
        <f t="shared" si="166"/>
        <v>0</v>
      </c>
      <c r="DX113" s="32" t="b">
        <f t="shared" si="167"/>
        <v>1</v>
      </c>
      <c r="DY113" s="32">
        <f t="shared" si="168"/>
        <v>5.9489029270404468E-2</v>
      </c>
      <c r="DZ113" s="32" t="e">
        <f t="shared" si="169"/>
        <v>#N/A</v>
      </c>
      <c r="EA113" s="32">
        <f t="shared" si="170"/>
        <v>5.9489029270404468E-2</v>
      </c>
      <c r="EB113" s="45" t="str">
        <f t="shared" si="171"/>
        <v/>
      </c>
      <c r="EG113" s="32">
        <f t="shared" si="172"/>
        <v>103</v>
      </c>
      <c r="EH113" s="32">
        <f t="shared" si="173"/>
        <v>104</v>
      </c>
      <c r="EI113" s="32">
        <f t="shared" si="174"/>
        <v>-0.62283751907258234</v>
      </c>
      <c r="EJ113" s="32">
        <f t="shared" si="175"/>
        <v>0.3286040262264141</v>
      </c>
      <c r="EK113" s="32" t="e">
        <f t="shared" si="176"/>
        <v>#N/A</v>
      </c>
      <c r="EL113" s="32" t="e">
        <f t="shared" si="177"/>
        <v>#N/A</v>
      </c>
      <c r="EM113" s="32" t="e">
        <f t="shared" si="178"/>
        <v>#N/A</v>
      </c>
      <c r="EN113" s="32" t="b">
        <f t="shared" si="179"/>
        <v>0</v>
      </c>
      <c r="EO113" s="32" t="b">
        <f t="shared" si="180"/>
        <v>1</v>
      </c>
      <c r="EP113" s="32" t="b">
        <f t="shared" si="181"/>
        <v>0</v>
      </c>
      <c r="EQ113" s="32" t="b">
        <f t="shared" si="182"/>
        <v>1</v>
      </c>
      <c r="ER113" s="32">
        <f t="shared" si="183"/>
        <v>0.3286040262264141</v>
      </c>
      <c r="ES113" s="32" t="e">
        <f t="shared" si="184"/>
        <v>#N/A</v>
      </c>
      <c r="ET113" s="32">
        <f t="shared" si="185"/>
        <v>0.3286040262264141</v>
      </c>
      <c r="EU113" s="45" t="str">
        <f t="shared" si="186"/>
        <v/>
      </c>
      <c r="EV11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3" s="32" t="e" cm="1">
        <f t="array" ref="EY113">IF($CR$3,INDEX(Eu_tabel_a[[#This Row],[Styrke venstre]:[Styrke tosidet]],EY$7),NA())</f>
        <v>#N/A</v>
      </c>
      <c r="EZ113" s="32" t="e">
        <f>IF(EY$3,IF(CHOOSE(EY$7,Eu_tabel_a[[#This Row],[x base]]&gt;0,Eu_tabel_a[[#This Row],[x base]]&lt;0,Eu_tabel_a[[#This Row],[x base]]=0),1,NA()),NA())</f>
        <v>#N/A</v>
      </c>
      <c r="FA113" s="32" t="e">
        <f>IF(CHOOSE(EY$7,Eu_tabel_a[[#This Row],[x base]]&gt;0,Eu_tabel_a[[#This Row],[x base]]&lt;0,Eu_tabel_a[[#This Row],[x base]]=0),Eu_tabel_a[[#This Row],[Styrke, aktiv]],NA())</f>
        <v>#N/A</v>
      </c>
      <c r="FB113" s="32" t="e">
        <f>IFERROR(IF($EY$3,Eu_tabel_a[[#This Row],[Styrke, aktiv]],NA()),NA())</f>
        <v>#N/A</v>
      </c>
      <c r="FC113" s="32" t="e">
        <f>IF(ISNA(Eu_tabel_a[[#This Row],[Sand negativ
Nulhypotese afvises
Korrekt]]),NA(),IF(EY$3,1,NA()))</f>
        <v>#N/A</v>
      </c>
      <c r="FD113" s="33" t="str" cm="1">
        <f t="array" ref="FD113">IFERROR(_xlfn.SWITCH(Eu_tabel_a[[#This Row],[Indeks]],_xlfn.IFNA(FB$2,-99),FB$5,_xlfn.IFNA(FB$3,-99),FB$6,_xlfn.IFNA(FB$4,-99),FB$7,""),"")</f>
        <v/>
      </c>
      <c r="FE113" s="32">
        <f>Eu_tabel_a[[#This Row],[x base]]*SQRT(Eu_a_h0_x*(1-Eu_a_h0_x)/Eu_a_n_x)+Eu_a_h0_x</f>
        <v>0</v>
      </c>
      <c r="FJ113" s="74" t="e">
        <f t="shared" si="130"/>
        <v>#N/A</v>
      </c>
      <c r="FK113" s="82" t="e">
        <f t="shared" si="218"/>
        <v>#DIV/0!</v>
      </c>
      <c r="FL113" s="7" t="e">
        <f t="shared" si="124"/>
        <v>#DIV/0!</v>
      </c>
      <c r="FM113" t="e">
        <f t="shared" si="219"/>
        <v>#DIV/0!</v>
      </c>
      <c r="FN113" s="8" t="e">
        <f t="shared" si="220"/>
        <v>#DIV/0!</v>
      </c>
      <c r="FO113" s="8" t="e">
        <f t="shared" si="221"/>
        <v>#DIV/0!</v>
      </c>
      <c r="FP113" s="81" t="e">
        <f t="shared" si="222"/>
        <v>#DIV/0!</v>
      </c>
      <c r="FQ113" s="74" t="e">
        <f t="shared" ca="1" si="125"/>
        <v>#N/A</v>
      </c>
      <c r="FR113" s="82" t="e" vm="3">
        <f t="shared" ca="1" si="131"/>
        <v>#VALUE!</v>
      </c>
      <c r="FS113" s="7" t="e" vm="3">
        <f t="shared" ca="1" si="126"/>
        <v>#VALUE!</v>
      </c>
      <c r="FT113" t="e" vm="3">
        <f t="shared" ca="1" si="120"/>
        <v>#VALUE!</v>
      </c>
      <c r="FU113" s="8" t="e" vm="3">
        <f t="shared" ca="1" si="121"/>
        <v>#VALUE!</v>
      </c>
      <c r="FV113" s="8" t="e" vm="3">
        <f t="shared" ca="1" si="122"/>
        <v>#VALUE!</v>
      </c>
      <c r="FW113" s="81" t="e" vm="3">
        <f t="shared" ca="1" si="123"/>
        <v>#VALUE!</v>
      </c>
      <c r="FX113" s="74" t="e">
        <f t="shared" si="127"/>
        <v>#N/A</v>
      </c>
      <c r="FY113" s="82" t="e">
        <f t="shared" si="132"/>
        <v>#N/A</v>
      </c>
      <c r="FZ113" s="7" t="e">
        <f t="shared" si="128"/>
        <v>#N/A</v>
      </c>
      <c r="GA113" t="e">
        <f t="shared" si="133"/>
        <v>#N/A</v>
      </c>
      <c r="GB113" s="8" t="e">
        <f t="shared" si="134"/>
        <v>#N/A</v>
      </c>
      <c r="GC113" s="8" t="e">
        <f t="shared" si="135"/>
        <v>#N/A</v>
      </c>
      <c r="GD113" s="81" t="e">
        <f t="shared" si="136"/>
        <v>#N/A</v>
      </c>
      <c r="GE113" s="74" t="e">
        <f t="shared" si="137"/>
        <v>#N/A</v>
      </c>
      <c r="GF113" s="82" t="e">
        <f t="shared" si="138"/>
        <v>#N/A</v>
      </c>
      <c r="GG113" s="7" t="e">
        <f t="shared" si="129"/>
        <v>#N/A</v>
      </c>
      <c r="GH113" t="e">
        <f t="shared" si="139"/>
        <v>#N/A</v>
      </c>
      <c r="GI113" s="8" t="e">
        <f t="shared" si="140"/>
        <v>#N/A</v>
      </c>
      <c r="GJ113" s="8" t="e">
        <f t="shared" si="141"/>
        <v>#N/A</v>
      </c>
      <c r="GK113" s="81" t="e">
        <f t="shared" si="142"/>
        <v>#N/A</v>
      </c>
      <c r="GL113" s="81"/>
      <c r="GM113" s="81"/>
      <c r="GP113" s="32">
        <f t="shared" si="187"/>
        <v>103</v>
      </c>
      <c r="GQ113" s="32">
        <f t="shared" si="188"/>
        <v>104</v>
      </c>
      <c r="GR113" s="32">
        <f t="shared" si="189"/>
        <v>-0.62283751907258234</v>
      </c>
      <c r="GS113" s="32">
        <f t="shared" si="190"/>
        <v>0.3286040262264141</v>
      </c>
      <c r="GT113" s="32" t="e">
        <f t="shared" si="191"/>
        <v>#N/A</v>
      </c>
      <c r="GU113" s="32" t="e">
        <f t="shared" si="192"/>
        <v>#N/A</v>
      </c>
      <c r="GV113" s="32" t="e">
        <f t="shared" si="193"/>
        <v>#N/A</v>
      </c>
      <c r="GW113" s="32" t="b">
        <f t="shared" si="194"/>
        <v>0</v>
      </c>
      <c r="GX113" s="32" t="b">
        <f t="shared" si="195"/>
        <v>1</v>
      </c>
      <c r="GY113" s="32" t="b">
        <f t="shared" si="196"/>
        <v>0</v>
      </c>
      <c r="GZ113" s="32" t="b">
        <f t="shared" si="197"/>
        <v>1</v>
      </c>
      <c r="HA113" s="32">
        <f t="shared" si="198"/>
        <v>0.3286040262264141</v>
      </c>
      <c r="HB113" s="32" t="e">
        <f t="shared" si="199"/>
        <v>#N/A</v>
      </c>
      <c r="HC113" s="32">
        <f t="shared" si="200"/>
        <v>0.3286040262264141</v>
      </c>
      <c r="HD113" s="45" t="str">
        <f t="shared" si="201"/>
        <v/>
      </c>
      <c r="HJ113" s="32">
        <f t="shared" si="202"/>
        <v>103</v>
      </c>
      <c r="HK113" s="32">
        <f t="shared" si="203"/>
        <v>104</v>
      </c>
      <c r="HL113" s="32">
        <f t="shared" si="204"/>
        <v>-0.96447697941547794</v>
      </c>
      <c r="HM113" s="32" t="e">
        <f t="shared" si="205"/>
        <v>#N/A</v>
      </c>
      <c r="HN113" s="32">
        <f t="shared" si="206"/>
        <v>0.23372394786255571</v>
      </c>
      <c r="HO113" s="32" t="e">
        <f t="shared" si="207"/>
        <v>#N/A</v>
      </c>
      <c r="HP113" s="32" t="e">
        <f t="shared" si="208"/>
        <v>#N/A</v>
      </c>
      <c r="HQ113" s="32" t="b">
        <f t="shared" si="209"/>
        <v>1</v>
      </c>
      <c r="HR113" s="32" t="b">
        <f t="shared" si="210"/>
        <v>0</v>
      </c>
      <c r="HS113" s="32" t="b">
        <f t="shared" si="211"/>
        <v>0</v>
      </c>
      <c r="HT113" s="32" t="b">
        <f t="shared" si="212"/>
        <v>1</v>
      </c>
      <c r="HU113" s="32">
        <f t="shared" si="213"/>
        <v>0.23372394786255571</v>
      </c>
      <c r="HV113" s="32">
        <f t="shared" si="214"/>
        <v>0.23372394786255571</v>
      </c>
      <c r="HW113" s="32" t="e">
        <f t="shared" si="215"/>
        <v>#N/A</v>
      </c>
      <c r="HX113" s="45" t="str">
        <f t="shared" si="216"/>
        <v/>
      </c>
    </row>
    <row r="114" spans="78:232" x14ac:dyDescent="0.2">
      <c r="BZ114" s="32">
        <f t="shared" si="143"/>
        <v>104</v>
      </c>
      <c r="CA114" s="32">
        <f>Eu_tabel_g[[#This Row],[Indeks]]+1</f>
        <v>105</v>
      </c>
      <c r="CB114" s="32">
        <f t="shared" si="144"/>
        <v>-0.59888222987748341</v>
      </c>
      <c r="CC114" s="32">
        <f t="shared" si="145"/>
        <v>0.3334479506451507</v>
      </c>
      <c r="CD114" s="32" t="e">
        <f t="shared" si="146"/>
        <v>#N/A</v>
      </c>
      <c r="CE114" s="32" t="e">
        <f t="shared" si="147"/>
        <v>#N/A</v>
      </c>
      <c r="CF114" s="32" t="e">
        <f t="shared" si="148"/>
        <v>#N/A</v>
      </c>
      <c r="CG114" s="32" t="b">
        <f t="shared" si="149"/>
        <v>0</v>
      </c>
      <c r="CH114" s="32" t="b">
        <f t="shared" si="150"/>
        <v>1</v>
      </c>
      <c r="CI114" s="32" t="b">
        <f t="shared" si="151"/>
        <v>0</v>
      </c>
      <c r="CJ114" s="32" t="b">
        <f t="shared" si="152"/>
        <v>1</v>
      </c>
      <c r="CK114" s="32">
        <f t="shared" si="217"/>
        <v>0.3334479506451507</v>
      </c>
      <c r="CL114" s="32" t="e">
        <f t="shared" si="153"/>
        <v>#N/A</v>
      </c>
      <c r="CM114" s="32">
        <f t="shared" si="154"/>
        <v>0.3334479506451507</v>
      </c>
      <c r="CN114" s="45" t="str">
        <f t="shared" si="155"/>
        <v/>
      </c>
      <c r="CO114" s="32">
        <f>_xlfn.NORM.DIST(_xlfn.NORM.INV(1-Eu_g_konfidensniveau,0,1)-Eu_tabel_g[[#This Row],[x base]],0,1,TRUE)</f>
        <v>0.14778711921721879</v>
      </c>
      <c r="CP114" s="32">
        <f>1-_xlfn.NORM.DIST(_xlfn.NORM.INV(Eu_g_konfidensniveau,0,1)-Eu_tabel_g[[#This Row],[x base]],0,1,TRUE)</f>
        <v>1.2424700798871258E-2</v>
      </c>
      <c r="CQ114" s="32">
        <f>_xlfn.NORM.DIST(_xlfn.NORM.INV((1-Eu_g_konfidensniveau)/2,0,1)-Eu_tabel_g[[#This Row],[x base]],0,1,TRUE)+1-_xlfn.NORM.DIST(_xlfn.NORM.INV(1-(1-Eu_g_konfidensniveau)/2,0,1)-Eu_tabel_g[[#This Row],[x base]],0,1,TRUE)</f>
        <v>9.1994936832619389E-2</v>
      </c>
      <c r="CR114" s="32" t="e" cm="1">
        <f t="array" ref="CR114">IF($CR$3,INDEX(Eu_tabel_g[[#This Row],[Styrke venstre]:[Styrke tosidet]],CR$7),NA())</f>
        <v>#N/A</v>
      </c>
      <c r="CS114" s="52" t="e">
        <f>Eu_tabel_g[[#This Row],[Falsk positiv
Nulhypotese accepteres
Fejltype 1]]</f>
        <v>#N/A</v>
      </c>
      <c r="CT114" s="52" t="e">
        <f>IF(CHOOSE(CR$7,Eu_tabel_g[[#This Row],[x base]]&gt;0,Eu_tabel_g[[#This Row],[x base]]&lt;0,Eu_tabel_g[[#This Row],[x base]]=0),Eu_tabel_g[[#This Row],[Styrke, aktiv]],NA())</f>
        <v>#N/A</v>
      </c>
      <c r="CU114" s="52" t="e">
        <f>IFERROR(IF($CR$3,Eu_tabel_g[[#This Row],[Styrke, aktiv]],NA()),NA())</f>
        <v>#N/A</v>
      </c>
      <c r="CV114" s="52" t="e">
        <f>IF(ISNA(Eu_tabel_g[[#This Row],[Sand negativ
Nulhypotese afvises
Korrekt]]),NA(),IF($CR$3,1,NA()))</f>
        <v>#N/A</v>
      </c>
      <c r="CW114" s="34" t="str" cm="1">
        <f t="array" ref="CW114">_xlfn.SWITCH(BZ114,_xlfn.IFNA(CU$2,-99),CU$5,_xlfn.IFNA(CU$3,-99),CU$6,_xlfn.IFNA(CU$4,-99),CU$7,"")</f>
        <v/>
      </c>
      <c r="DA114" s="7">
        <f t="shared" si="156"/>
        <v>0.8</v>
      </c>
      <c r="DB114">
        <f>IF(ROW(Styrkeberegning_G[[#This Row],[X base venstre]])=ROW(Styrkeberegning_G[[#Headers],[X base venstre]])+1,DB$7/(DA$7/$B$67),DB113/(DA113/$B$67))</f>
        <v>-2.8015817870135784</v>
      </c>
      <c r="DC114">
        <f>Styrkeberegning_G[[#This Row],[X base venstre]]*-1</f>
        <v>2.8015817870135784</v>
      </c>
      <c r="DN114" s="32">
        <f t="shared" si="157"/>
        <v>104</v>
      </c>
      <c r="DO114" s="32">
        <f t="shared" si="158"/>
        <v>105</v>
      </c>
      <c r="DP114" s="32">
        <f t="shared" si="159"/>
        <v>13.697221732021795</v>
      </c>
      <c r="DQ114" s="32" t="e">
        <f t="shared" si="160"/>
        <v>#N/A</v>
      </c>
      <c r="DR114" s="32" t="e">
        <f t="shared" si="161"/>
        <v>#N/A</v>
      </c>
      <c r="DS114" s="32">
        <f t="shared" si="162"/>
        <v>5.834592608545798E-2</v>
      </c>
      <c r="DT114" s="32" t="e">
        <f t="shared" si="163"/>
        <v>#N/A</v>
      </c>
      <c r="DU114" s="32" t="b">
        <f t="shared" si="164"/>
        <v>0</v>
      </c>
      <c r="DV114" s="32" t="b">
        <f t="shared" si="165"/>
        <v>1</v>
      </c>
      <c r="DW114" s="32" t="b">
        <f t="shared" si="166"/>
        <v>0</v>
      </c>
      <c r="DX114" s="32" t="b">
        <f t="shared" si="167"/>
        <v>1</v>
      </c>
      <c r="DY114" s="32">
        <f t="shared" si="168"/>
        <v>5.834592608545798E-2</v>
      </c>
      <c r="DZ114" s="32" t="e">
        <f t="shared" si="169"/>
        <v>#N/A</v>
      </c>
      <c r="EA114" s="32">
        <f t="shared" si="170"/>
        <v>5.834592608545798E-2</v>
      </c>
      <c r="EB114" s="45" t="str">
        <f t="shared" si="171"/>
        <v/>
      </c>
      <c r="EG114" s="32">
        <f t="shared" si="172"/>
        <v>104</v>
      </c>
      <c r="EH114" s="32">
        <f t="shared" si="173"/>
        <v>105</v>
      </c>
      <c r="EI114" s="32">
        <f t="shared" si="174"/>
        <v>-0.59888222987748341</v>
      </c>
      <c r="EJ114" s="32">
        <f t="shared" si="175"/>
        <v>0.3334479506451507</v>
      </c>
      <c r="EK114" s="32" t="e">
        <f t="shared" si="176"/>
        <v>#N/A</v>
      </c>
      <c r="EL114" s="32" t="e">
        <f t="shared" si="177"/>
        <v>#N/A</v>
      </c>
      <c r="EM114" s="32" t="e">
        <f t="shared" si="178"/>
        <v>#N/A</v>
      </c>
      <c r="EN114" s="32" t="b">
        <f t="shared" si="179"/>
        <v>0</v>
      </c>
      <c r="EO114" s="32" t="b">
        <f t="shared" si="180"/>
        <v>1</v>
      </c>
      <c r="EP114" s="32" t="b">
        <f t="shared" si="181"/>
        <v>0</v>
      </c>
      <c r="EQ114" s="32" t="b">
        <f t="shared" si="182"/>
        <v>1</v>
      </c>
      <c r="ER114" s="32">
        <f t="shared" si="183"/>
        <v>0.3334479506451507</v>
      </c>
      <c r="ES114" s="32" t="e">
        <f t="shared" si="184"/>
        <v>#N/A</v>
      </c>
      <c r="ET114" s="32">
        <f t="shared" si="185"/>
        <v>0.3334479506451507</v>
      </c>
      <c r="EU114" s="45" t="str">
        <f t="shared" si="186"/>
        <v/>
      </c>
      <c r="EV11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4" s="32" t="e" cm="1">
        <f t="array" ref="EY114">IF($CR$3,INDEX(Eu_tabel_a[[#This Row],[Styrke venstre]:[Styrke tosidet]],EY$7),NA())</f>
        <v>#N/A</v>
      </c>
      <c r="EZ114" s="32" t="e">
        <f>IF(EY$3,IF(CHOOSE(EY$7,Eu_tabel_a[[#This Row],[x base]]&gt;0,Eu_tabel_a[[#This Row],[x base]]&lt;0,Eu_tabel_a[[#This Row],[x base]]=0),1,NA()),NA())</f>
        <v>#N/A</v>
      </c>
      <c r="FA114" s="32" t="e">
        <f>IF(CHOOSE(EY$7,Eu_tabel_a[[#This Row],[x base]]&gt;0,Eu_tabel_a[[#This Row],[x base]]&lt;0,Eu_tabel_a[[#This Row],[x base]]=0),Eu_tabel_a[[#This Row],[Styrke, aktiv]],NA())</f>
        <v>#N/A</v>
      </c>
      <c r="FB114" s="32" t="e">
        <f>IFERROR(IF($EY$3,Eu_tabel_a[[#This Row],[Styrke, aktiv]],NA()),NA())</f>
        <v>#N/A</v>
      </c>
      <c r="FC114" s="32" t="e">
        <f>IF(ISNA(Eu_tabel_a[[#This Row],[Sand negativ
Nulhypotese afvises
Korrekt]]),NA(),IF(EY$3,1,NA()))</f>
        <v>#N/A</v>
      </c>
      <c r="FD114" s="33" t="str" cm="1">
        <f t="array" ref="FD114">IFERROR(_xlfn.SWITCH(Eu_tabel_a[[#This Row],[Indeks]],_xlfn.IFNA(FB$2,-99),FB$5,_xlfn.IFNA(FB$3,-99),FB$6,_xlfn.IFNA(FB$4,-99),FB$7,""),"")</f>
        <v/>
      </c>
      <c r="FE114" s="32">
        <f>Eu_tabel_a[[#This Row],[x base]]*SQRT(Eu_a_h0_x*(1-Eu_a_h0_x)/Eu_a_n_x)+Eu_a_h0_x</f>
        <v>0</v>
      </c>
      <c r="FJ114" s="74" t="e">
        <f t="shared" si="130"/>
        <v>#N/A</v>
      </c>
      <c r="FK114" s="82" t="e">
        <f t="shared" si="218"/>
        <v>#DIV/0!</v>
      </c>
      <c r="FL114" s="7" t="e">
        <f t="shared" si="124"/>
        <v>#DIV/0!</v>
      </c>
      <c r="FM114" t="e">
        <f t="shared" si="219"/>
        <v>#DIV/0!</v>
      </c>
      <c r="FN114" s="8" t="e">
        <f t="shared" si="220"/>
        <v>#DIV/0!</v>
      </c>
      <c r="FO114" s="8" t="e">
        <f t="shared" si="221"/>
        <v>#DIV/0!</v>
      </c>
      <c r="FP114" s="81" t="e">
        <f t="shared" si="222"/>
        <v>#DIV/0!</v>
      </c>
      <c r="FQ114" s="74" t="e">
        <f t="shared" ca="1" si="125"/>
        <v>#N/A</v>
      </c>
      <c r="FR114" s="82" t="e" vm="3">
        <f t="shared" ca="1" si="131"/>
        <v>#VALUE!</v>
      </c>
      <c r="FS114" s="7" t="e" vm="3">
        <f t="shared" ca="1" si="126"/>
        <v>#VALUE!</v>
      </c>
      <c r="FT114" t="e" vm="3">
        <f t="shared" ca="1" si="120"/>
        <v>#VALUE!</v>
      </c>
      <c r="FU114" s="8" t="e" vm="3">
        <f t="shared" ca="1" si="121"/>
        <v>#VALUE!</v>
      </c>
      <c r="FV114" s="8" t="e" vm="3">
        <f t="shared" ca="1" si="122"/>
        <v>#VALUE!</v>
      </c>
      <c r="FW114" s="81" t="e" vm="3">
        <f t="shared" ca="1" si="123"/>
        <v>#VALUE!</v>
      </c>
      <c r="FX114" s="74" t="e">
        <f t="shared" si="127"/>
        <v>#N/A</v>
      </c>
      <c r="FY114" s="82" t="e">
        <f t="shared" si="132"/>
        <v>#N/A</v>
      </c>
      <c r="FZ114" s="7" t="e">
        <f t="shared" si="128"/>
        <v>#N/A</v>
      </c>
      <c r="GA114" t="e">
        <f t="shared" si="133"/>
        <v>#N/A</v>
      </c>
      <c r="GB114" s="8" t="e">
        <f t="shared" si="134"/>
        <v>#N/A</v>
      </c>
      <c r="GC114" s="8" t="e">
        <f t="shared" si="135"/>
        <v>#N/A</v>
      </c>
      <c r="GD114" s="81" t="e">
        <f t="shared" si="136"/>
        <v>#N/A</v>
      </c>
      <c r="GE114" s="74" t="e">
        <f t="shared" si="137"/>
        <v>#N/A</v>
      </c>
      <c r="GF114" s="82" t="e">
        <f t="shared" si="138"/>
        <v>#N/A</v>
      </c>
      <c r="GG114" s="7" t="e">
        <f t="shared" si="129"/>
        <v>#N/A</v>
      </c>
      <c r="GH114" t="e">
        <f t="shared" si="139"/>
        <v>#N/A</v>
      </c>
      <c r="GI114" s="8" t="e">
        <f t="shared" si="140"/>
        <v>#N/A</v>
      </c>
      <c r="GJ114" s="8" t="e">
        <f t="shared" si="141"/>
        <v>#N/A</v>
      </c>
      <c r="GK114" s="81" t="e">
        <f t="shared" si="142"/>
        <v>#N/A</v>
      </c>
      <c r="GL114" s="81"/>
      <c r="GM114" s="81"/>
      <c r="GP114" s="32">
        <f t="shared" si="187"/>
        <v>104</v>
      </c>
      <c r="GQ114" s="32">
        <f t="shared" si="188"/>
        <v>105</v>
      </c>
      <c r="GR114" s="32">
        <f t="shared" si="189"/>
        <v>-0.59888222987748341</v>
      </c>
      <c r="GS114" s="32">
        <f t="shared" si="190"/>
        <v>0.3334479506451507</v>
      </c>
      <c r="GT114" s="32" t="e">
        <f t="shared" si="191"/>
        <v>#N/A</v>
      </c>
      <c r="GU114" s="32" t="e">
        <f t="shared" si="192"/>
        <v>#N/A</v>
      </c>
      <c r="GV114" s="32" t="e">
        <f t="shared" si="193"/>
        <v>#N/A</v>
      </c>
      <c r="GW114" s="32" t="b">
        <f t="shared" si="194"/>
        <v>0</v>
      </c>
      <c r="GX114" s="32" t="b">
        <f t="shared" si="195"/>
        <v>1</v>
      </c>
      <c r="GY114" s="32" t="b">
        <f t="shared" si="196"/>
        <v>0</v>
      </c>
      <c r="GZ114" s="32" t="b">
        <f t="shared" si="197"/>
        <v>1</v>
      </c>
      <c r="HA114" s="32">
        <f t="shared" si="198"/>
        <v>0.3334479506451507</v>
      </c>
      <c r="HB114" s="32" t="e">
        <f t="shared" si="199"/>
        <v>#N/A</v>
      </c>
      <c r="HC114" s="32">
        <f t="shared" si="200"/>
        <v>0.3334479506451507</v>
      </c>
      <c r="HD114" s="45" t="str">
        <f t="shared" si="201"/>
        <v/>
      </c>
      <c r="HJ114" s="32">
        <f t="shared" si="202"/>
        <v>104</v>
      </c>
      <c r="HK114" s="32">
        <f t="shared" si="203"/>
        <v>105</v>
      </c>
      <c r="HL114" s="32">
        <f t="shared" si="204"/>
        <v>-0.92738171097642086</v>
      </c>
      <c r="HM114" s="32" t="e">
        <f t="shared" si="205"/>
        <v>#N/A</v>
      </c>
      <c r="HN114" s="32">
        <f t="shared" si="206"/>
        <v>0.24218370552426591</v>
      </c>
      <c r="HO114" s="32" t="e">
        <f t="shared" si="207"/>
        <v>#N/A</v>
      </c>
      <c r="HP114" s="32" t="e">
        <f t="shared" si="208"/>
        <v>#N/A</v>
      </c>
      <c r="HQ114" s="32" t="b">
        <f t="shared" si="209"/>
        <v>1</v>
      </c>
      <c r="HR114" s="32" t="b">
        <f t="shared" si="210"/>
        <v>0</v>
      </c>
      <c r="HS114" s="32" t="b">
        <f t="shared" si="211"/>
        <v>0</v>
      </c>
      <c r="HT114" s="32" t="b">
        <f t="shared" si="212"/>
        <v>1</v>
      </c>
      <c r="HU114" s="32">
        <f t="shared" si="213"/>
        <v>0.24218370552426591</v>
      </c>
      <c r="HV114" s="32">
        <f t="shared" si="214"/>
        <v>0.24218370552426591</v>
      </c>
      <c r="HW114" s="32" t="e">
        <f t="shared" si="215"/>
        <v>#N/A</v>
      </c>
      <c r="HX114" s="45" t="str">
        <f t="shared" si="216"/>
        <v/>
      </c>
    </row>
    <row r="115" spans="78:232" x14ac:dyDescent="0.2">
      <c r="BZ115" s="32">
        <f t="shared" si="143"/>
        <v>105</v>
      </c>
      <c r="CA115" s="32">
        <f>Eu_tabel_g[[#This Row],[Indeks]]+1</f>
        <v>106</v>
      </c>
      <c r="CB115" s="32">
        <f t="shared" si="144"/>
        <v>-0.57492694068238404</v>
      </c>
      <c r="CC115" s="32">
        <f t="shared" si="145"/>
        <v>0.33816916289320309</v>
      </c>
      <c r="CD115" s="32" t="e">
        <f t="shared" si="146"/>
        <v>#N/A</v>
      </c>
      <c r="CE115" s="32" t="e">
        <f t="shared" si="147"/>
        <v>#N/A</v>
      </c>
      <c r="CF115" s="32" t="e">
        <f t="shared" si="148"/>
        <v>#N/A</v>
      </c>
      <c r="CG115" s="32" t="b">
        <f t="shared" si="149"/>
        <v>0</v>
      </c>
      <c r="CH115" s="32" t="b">
        <f t="shared" si="150"/>
        <v>1</v>
      </c>
      <c r="CI115" s="32" t="b">
        <f t="shared" si="151"/>
        <v>0</v>
      </c>
      <c r="CJ115" s="32" t="b">
        <f t="shared" si="152"/>
        <v>1</v>
      </c>
      <c r="CK115" s="32">
        <f t="shared" si="217"/>
        <v>0.33816916289320309</v>
      </c>
      <c r="CL115" s="32" t="e">
        <f t="shared" si="153"/>
        <v>#N/A</v>
      </c>
      <c r="CM115" s="32">
        <f t="shared" si="154"/>
        <v>0.33816916289320309</v>
      </c>
      <c r="CN115" s="45" t="str">
        <f t="shared" si="155"/>
        <v/>
      </c>
      <c r="CO115" s="32">
        <f>_xlfn.NORM.DIST(_xlfn.NORM.INV(1-Eu_g_konfidensniveau,0,1)-Eu_tabel_g[[#This Row],[x base]],0,1,TRUE)</f>
        <v>0.14232615498665233</v>
      </c>
      <c r="CP115" s="32">
        <f>1-_xlfn.NORM.DIST(_xlfn.NORM.INV(Eu_g_konfidensniveau,0,1)-Eu_tabel_g[[#This Row],[x base]],0,1,TRUE)</f>
        <v>1.3216833323501209E-2</v>
      </c>
      <c r="CQ115" s="32">
        <f>_xlfn.NORM.DIST(_xlfn.NORM.INV((1-Eu_g_konfidensniveau)/2,0,1)-Eu_tabel_g[[#This Row],[x base]],0,1,TRUE)+1-_xlfn.NORM.DIST(_xlfn.NORM.INV(1-(1-Eu_g_konfidensniveau)/2,0,1)-Eu_tabel_g[[#This Row],[x base]],0,1,TRUE)</f>
        <v>8.8644687460783023E-2</v>
      </c>
      <c r="CR115" s="32" t="e" cm="1">
        <f t="array" ref="CR115">IF($CR$3,INDEX(Eu_tabel_g[[#This Row],[Styrke venstre]:[Styrke tosidet]],CR$7),NA())</f>
        <v>#N/A</v>
      </c>
      <c r="CS115" s="52" t="e">
        <f>Eu_tabel_g[[#This Row],[Falsk positiv
Nulhypotese accepteres
Fejltype 1]]</f>
        <v>#N/A</v>
      </c>
      <c r="CT115" s="52" t="e">
        <f>IF(CHOOSE(CR$7,Eu_tabel_g[[#This Row],[x base]]&gt;0,Eu_tabel_g[[#This Row],[x base]]&lt;0,Eu_tabel_g[[#This Row],[x base]]=0),Eu_tabel_g[[#This Row],[Styrke, aktiv]],NA())</f>
        <v>#N/A</v>
      </c>
      <c r="CU115" s="52" t="e">
        <f>IFERROR(IF($CR$3,Eu_tabel_g[[#This Row],[Styrke, aktiv]],NA()),NA())</f>
        <v>#N/A</v>
      </c>
      <c r="CV115" s="52" t="e">
        <f>IF(ISNA(Eu_tabel_g[[#This Row],[Sand negativ
Nulhypotese afvises
Korrekt]]),NA(),IF($CR$3,1,NA()))</f>
        <v>#N/A</v>
      </c>
      <c r="CW115" s="34" t="str" cm="1">
        <f t="array" ref="CW115">_xlfn.SWITCH(BZ115,_xlfn.IFNA(CU$2,-99),CU$5,_xlfn.IFNA(CU$3,-99),CU$6,_xlfn.IFNA(CU$4,-99),CU$7,"")</f>
        <v/>
      </c>
      <c r="DA115" s="7">
        <f t="shared" si="156"/>
        <v>0.8</v>
      </c>
      <c r="DB115">
        <f>IF(ROW(Styrkeberegning_G[[#This Row],[X base venstre]])=ROW(Styrkeberegning_G[[#Headers],[X base venstre]])+1,DB$7/(DA$7/$B$67),DB114/(DA114/$B$67))</f>
        <v>-2.8015817870135784</v>
      </c>
      <c r="DC115">
        <f>Styrkeberegning_G[[#This Row],[X base venstre]]*-1</f>
        <v>2.8015817870135784</v>
      </c>
      <c r="DN115" s="32">
        <f t="shared" si="157"/>
        <v>105</v>
      </c>
      <c r="DO115" s="32">
        <f t="shared" si="158"/>
        <v>106</v>
      </c>
      <c r="DP115" s="32">
        <f t="shared" si="159"/>
        <v>13.811292588438796</v>
      </c>
      <c r="DQ115" s="32" t="e">
        <f t="shared" si="160"/>
        <v>#N/A</v>
      </c>
      <c r="DR115" s="32" t="e">
        <f t="shared" si="161"/>
        <v>#N/A</v>
      </c>
      <c r="DS115" s="32">
        <f t="shared" si="162"/>
        <v>5.7206930221701147E-2</v>
      </c>
      <c r="DT115" s="32" t="e">
        <f t="shared" si="163"/>
        <v>#N/A</v>
      </c>
      <c r="DU115" s="32" t="b">
        <f t="shared" si="164"/>
        <v>0</v>
      </c>
      <c r="DV115" s="32" t="b">
        <f t="shared" si="165"/>
        <v>1</v>
      </c>
      <c r="DW115" s="32" t="b">
        <f t="shared" si="166"/>
        <v>0</v>
      </c>
      <c r="DX115" s="32" t="b">
        <f t="shared" si="167"/>
        <v>1</v>
      </c>
      <c r="DY115" s="32">
        <f t="shared" si="168"/>
        <v>5.7206930221701147E-2</v>
      </c>
      <c r="DZ115" s="32" t="e">
        <f t="shared" si="169"/>
        <v>#N/A</v>
      </c>
      <c r="EA115" s="32">
        <f t="shared" si="170"/>
        <v>5.7206930221701147E-2</v>
      </c>
      <c r="EB115" s="45" t="str">
        <f t="shared" si="171"/>
        <v/>
      </c>
      <c r="EG115" s="32">
        <f t="shared" si="172"/>
        <v>105</v>
      </c>
      <c r="EH115" s="32">
        <f t="shared" si="173"/>
        <v>106</v>
      </c>
      <c r="EI115" s="32">
        <f t="shared" si="174"/>
        <v>-0.57492694068238404</v>
      </c>
      <c r="EJ115" s="32">
        <f t="shared" si="175"/>
        <v>0.33816916289320309</v>
      </c>
      <c r="EK115" s="32" t="e">
        <f t="shared" si="176"/>
        <v>#N/A</v>
      </c>
      <c r="EL115" s="32" t="e">
        <f t="shared" si="177"/>
        <v>#N/A</v>
      </c>
      <c r="EM115" s="32" t="e">
        <f t="shared" si="178"/>
        <v>#N/A</v>
      </c>
      <c r="EN115" s="32" t="b">
        <f t="shared" si="179"/>
        <v>0</v>
      </c>
      <c r="EO115" s="32" t="b">
        <f t="shared" si="180"/>
        <v>1</v>
      </c>
      <c r="EP115" s="32" t="b">
        <f t="shared" si="181"/>
        <v>0</v>
      </c>
      <c r="EQ115" s="32" t="b">
        <f t="shared" si="182"/>
        <v>1</v>
      </c>
      <c r="ER115" s="32">
        <f t="shared" si="183"/>
        <v>0.33816916289320309</v>
      </c>
      <c r="ES115" s="32" t="e">
        <f t="shared" si="184"/>
        <v>#N/A</v>
      </c>
      <c r="ET115" s="32">
        <f t="shared" si="185"/>
        <v>0.33816916289320309</v>
      </c>
      <c r="EU115" s="45" t="str">
        <f t="shared" si="186"/>
        <v/>
      </c>
      <c r="EV11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5" s="32" t="e" cm="1">
        <f t="array" ref="EY115">IF($CR$3,INDEX(Eu_tabel_a[[#This Row],[Styrke venstre]:[Styrke tosidet]],EY$7),NA())</f>
        <v>#N/A</v>
      </c>
      <c r="EZ115" s="32" t="e">
        <f>IF(EY$3,IF(CHOOSE(EY$7,Eu_tabel_a[[#This Row],[x base]]&gt;0,Eu_tabel_a[[#This Row],[x base]]&lt;0,Eu_tabel_a[[#This Row],[x base]]=0),1,NA()),NA())</f>
        <v>#N/A</v>
      </c>
      <c r="FA115" s="32" t="e">
        <f>IF(CHOOSE(EY$7,Eu_tabel_a[[#This Row],[x base]]&gt;0,Eu_tabel_a[[#This Row],[x base]]&lt;0,Eu_tabel_a[[#This Row],[x base]]=0),Eu_tabel_a[[#This Row],[Styrke, aktiv]],NA())</f>
        <v>#N/A</v>
      </c>
      <c r="FB115" s="32" t="e">
        <f>IFERROR(IF($EY$3,Eu_tabel_a[[#This Row],[Styrke, aktiv]],NA()),NA())</f>
        <v>#N/A</v>
      </c>
      <c r="FC115" s="32" t="e">
        <f>IF(ISNA(Eu_tabel_a[[#This Row],[Sand negativ
Nulhypotese afvises
Korrekt]]),NA(),IF(EY$3,1,NA()))</f>
        <v>#N/A</v>
      </c>
      <c r="FD115" s="33" t="str" cm="1">
        <f t="array" ref="FD115">IFERROR(_xlfn.SWITCH(Eu_tabel_a[[#This Row],[Indeks]],_xlfn.IFNA(FB$2,-99),FB$5,_xlfn.IFNA(FB$3,-99),FB$6,_xlfn.IFNA(FB$4,-99),FB$7,""),"")</f>
        <v/>
      </c>
      <c r="FE115" s="32">
        <f>Eu_tabel_a[[#This Row],[x base]]*SQRT(Eu_a_h0_x*(1-Eu_a_h0_x)/Eu_a_n_x)+Eu_a_h0_x</f>
        <v>0</v>
      </c>
      <c r="FJ115" s="74" t="e">
        <f t="shared" si="130"/>
        <v>#N/A</v>
      </c>
      <c r="FK115" s="82" t="e">
        <f t="shared" si="218"/>
        <v>#DIV/0!</v>
      </c>
      <c r="FL115" s="7" t="e">
        <f t="shared" si="124"/>
        <v>#DIV/0!</v>
      </c>
      <c r="FM115" t="e">
        <f t="shared" si="219"/>
        <v>#DIV/0!</v>
      </c>
      <c r="FN115" s="8" t="e">
        <f t="shared" si="220"/>
        <v>#DIV/0!</v>
      </c>
      <c r="FO115" s="8" t="e">
        <f t="shared" si="221"/>
        <v>#DIV/0!</v>
      </c>
      <c r="FP115" s="81" t="e">
        <f t="shared" si="222"/>
        <v>#DIV/0!</v>
      </c>
      <c r="FQ115" s="74" t="e">
        <f t="shared" ca="1" si="125"/>
        <v>#N/A</v>
      </c>
      <c r="FR115" s="82" t="e" vm="3">
        <f t="shared" ca="1" si="131"/>
        <v>#VALUE!</v>
      </c>
      <c r="FS115" s="7" t="e" vm="3">
        <f t="shared" ca="1" si="126"/>
        <v>#VALUE!</v>
      </c>
      <c r="FT115" t="e" vm="3">
        <f t="shared" ca="1" si="120"/>
        <v>#VALUE!</v>
      </c>
      <c r="FU115" s="8" t="e" vm="3">
        <f t="shared" ca="1" si="121"/>
        <v>#VALUE!</v>
      </c>
      <c r="FV115" s="8" t="e" vm="3">
        <f t="shared" ca="1" si="122"/>
        <v>#VALUE!</v>
      </c>
      <c r="FW115" s="81" t="e" vm="3">
        <f t="shared" ca="1" si="123"/>
        <v>#VALUE!</v>
      </c>
      <c r="FX115" s="74" t="e">
        <f t="shared" si="127"/>
        <v>#N/A</v>
      </c>
      <c r="FY115" s="82" t="e">
        <f t="shared" si="132"/>
        <v>#N/A</v>
      </c>
      <c r="FZ115" s="7" t="e">
        <f t="shared" si="128"/>
        <v>#N/A</v>
      </c>
      <c r="GA115" t="e">
        <f t="shared" si="133"/>
        <v>#N/A</v>
      </c>
      <c r="GB115" s="8" t="e">
        <f t="shared" si="134"/>
        <v>#N/A</v>
      </c>
      <c r="GC115" s="8" t="e">
        <f t="shared" si="135"/>
        <v>#N/A</v>
      </c>
      <c r="GD115" s="81" t="e">
        <f t="shared" si="136"/>
        <v>#N/A</v>
      </c>
      <c r="GE115" s="74" t="e">
        <f t="shared" si="137"/>
        <v>#N/A</v>
      </c>
      <c r="GF115" s="82" t="e">
        <f t="shared" si="138"/>
        <v>#N/A</v>
      </c>
      <c r="GG115" s="7" t="e">
        <f t="shared" si="129"/>
        <v>#N/A</v>
      </c>
      <c r="GH115" t="e">
        <f t="shared" si="139"/>
        <v>#N/A</v>
      </c>
      <c r="GI115" s="8" t="e">
        <f t="shared" si="140"/>
        <v>#N/A</v>
      </c>
      <c r="GJ115" s="8" t="e">
        <f t="shared" si="141"/>
        <v>#N/A</v>
      </c>
      <c r="GK115" s="81" t="e">
        <f t="shared" si="142"/>
        <v>#N/A</v>
      </c>
      <c r="GL115" s="81"/>
      <c r="GM115" s="81"/>
      <c r="GP115" s="32">
        <f t="shared" si="187"/>
        <v>105</v>
      </c>
      <c r="GQ115" s="32">
        <f t="shared" si="188"/>
        <v>106</v>
      </c>
      <c r="GR115" s="32">
        <f t="shared" si="189"/>
        <v>-0.57492694068238404</v>
      </c>
      <c r="GS115" s="32">
        <f t="shared" si="190"/>
        <v>0.33816916289320309</v>
      </c>
      <c r="GT115" s="32" t="e">
        <f t="shared" si="191"/>
        <v>#N/A</v>
      </c>
      <c r="GU115" s="32" t="e">
        <f t="shared" si="192"/>
        <v>#N/A</v>
      </c>
      <c r="GV115" s="32" t="e">
        <f t="shared" si="193"/>
        <v>#N/A</v>
      </c>
      <c r="GW115" s="32" t="b">
        <f t="shared" si="194"/>
        <v>0</v>
      </c>
      <c r="GX115" s="32" t="b">
        <f t="shared" si="195"/>
        <v>1</v>
      </c>
      <c r="GY115" s="32" t="b">
        <f t="shared" si="196"/>
        <v>0</v>
      </c>
      <c r="GZ115" s="32" t="b">
        <f t="shared" si="197"/>
        <v>1</v>
      </c>
      <c r="HA115" s="32">
        <f t="shared" si="198"/>
        <v>0.33816916289320309</v>
      </c>
      <c r="HB115" s="32" t="e">
        <f t="shared" si="199"/>
        <v>#N/A</v>
      </c>
      <c r="HC115" s="32">
        <f t="shared" si="200"/>
        <v>0.33816916289320309</v>
      </c>
      <c r="HD115" s="45" t="str">
        <f t="shared" si="201"/>
        <v/>
      </c>
      <c r="HJ115" s="32">
        <f t="shared" si="202"/>
        <v>105</v>
      </c>
      <c r="HK115" s="32">
        <f t="shared" si="203"/>
        <v>106</v>
      </c>
      <c r="HL115" s="32">
        <f t="shared" si="204"/>
        <v>-0.89028644253736422</v>
      </c>
      <c r="HM115" s="32" t="e">
        <f t="shared" si="205"/>
        <v>#N/A</v>
      </c>
      <c r="HN115" s="32">
        <f t="shared" si="206"/>
        <v>0.25067526978144983</v>
      </c>
      <c r="HO115" s="32" t="e">
        <f t="shared" si="207"/>
        <v>#N/A</v>
      </c>
      <c r="HP115" s="32" t="e">
        <f t="shared" si="208"/>
        <v>#N/A</v>
      </c>
      <c r="HQ115" s="32" t="b">
        <f t="shared" si="209"/>
        <v>1</v>
      </c>
      <c r="HR115" s="32" t="b">
        <f t="shared" si="210"/>
        <v>0</v>
      </c>
      <c r="HS115" s="32" t="b">
        <f t="shared" si="211"/>
        <v>0</v>
      </c>
      <c r="HT115" s="32" t="b">
        <f t="shared" si="212"/>
        <v>1</v>
      </c>
      <c r="HU115" s="32">
        <f t="shared" si="213"/>
        <v>0.25067526978144983</v>
      </c>
      <c r="HV115" s="32">
        <f t="shared" si="214"/>
        <v>0.25067526978144983</v>
      </c>
      <c r="HW115" s="32" t="e">
        <f t="shared" si="215"/>
        <v>#N/A</v>
      </c>
      <c r="HX115" s="45" t="str">
        <f t="shared" si="216"/>
        <v/>
      </c>
    </row>
    <row r="116" spans="78:232" x14ac:dyDescent="0.2">
      <c r="BZ116" s="32">
        <f t="shared" si="143"/>
        <v>106</v>
      </c>
      <c r="CA116" s="32">
        <f>Eu_tabel_g[[#This Row],[Indeks]]+1</f>
        <v>107</v>
      </c>
      <c r="CB116" s="32">
        <f t="shared" si="144"/>
        <v>-0.55097165148728466</v>
      </c>
      <c r="CC116" s="32">
        <f t="shared" si="145"/>
        <v>0.34276047013173222</v>
      </c>
      <c r="CD116" s="32" t="e">
        <f t="shared" si="146"/>
        <v>#N/A</v>
      </c>
      <c r="CE116" s="32" t="e">
        <f t="shared" si="147"/>
        <v>#N/A</v>
      </c>
      <c r="CF116" s="32" t="e">
        <f t="shared" si="148"/>
        <v>#N/A</v>
      </c>
      <c r="CG116" s="32" t="b">
        <f t="shared" si="149"/>
        <v>0</v>
      </c>
      <c r="CH116" s="32" t="b">
        <f t="shared" si="150"/>
        <v>1</v>
      </c>
      <c r="CI116" s="32" t="b">
        <f t="shared" si="151"/>
        <v>0</v>
      </c>
      <c r="CJ116" s="32" t="b">
        <f t="shared" si="152"/>
        <v>1</v>
      </c>
      <c r="CK116" s="32">
        <f t="shared" si="217"/>
        <v>0.34276047013173222</v>
      </c>
      <c r="CL116" s="32" t="e">
        <f t="shared" si="153"/>
        <v>#N/A</v>
      </c>
      <c r="CM116" s="32">
        <f t="shared" si="154"/>
        <v>0.34276047013173222</v>
      </c>
      <c r="CN116" s="45" t="str">
        <f t="shared" si="155"/>
        <v/>
      </c>
      <c r="CO116" s="32">
        <f>_xlfn.NORM.DIST(_xlfn.NORM.INV(1-Eu_g_konfidensniveau,0,1)-Eu_tabel_g[[#This Row],[x base]],0,1,TRUE)</f>
        <v>0.13700337247235039</v>
      </c>
      <c r="CP116" s="32">
        <f>1-_xlfn.NORM.DIST(_xlfn.NORM.INV(Eu_g_konfidensniveau,0,1)-Eu_tabel_g[[#This Row],[x base]],0,1,TRUE)</f>
        <v>1.4052225802867691E-2</v>
      </c>
      <c r="CQ116" s="32">
        <f>_xlfn.NORM.DIST(_xlfn.NORM.INV((1-Eu_g_konfidensniveau)/2,0,1)-Eu_tabel_g[[#This Row],[x base]],0,1,TRUE)+1-_xlfn.NORM.DIST(_xlfn.NORM.INV(1-(1-Eu_g_konfidensniveau)/2,0,1)-Eu_tabel_g[[#This Row],[x base]],0,1,TRUE)</f>
        <v>8.5439300065713875E-2</v>
      </c>
      <c r="CR116" s="32" t="e" cm="1">
        <f t="array" ref="CR116">IF($CR$3,INDEX(Eu_tabel_g[[#This Row],[Styrke venstre]:[Styrke tosidet]],CR$7),NA())</f>
        <v>#N/A</v>
      </c>
      <c r="CS116" s="52" t="e">
        <f>Eu_tabel_g[[#This Row],[Falsk positiv
Nulhypotese accepteres
Fejltype 1]]</f>
        <v>#N/A</v>
      </c>
      <c r="CT116" s="52" t="e">
        <f>IF(CHOOSE(CR$7,Eu_tabel_g[[#This Row],[x base]]&gt;0,Eu_tabel_g[[#This Row],[x base]]&lt;0,Eu_tabel_g[[#This Row],[x base]]=0),Eu_tabel_g[[#This Row],[Styrke, aktiv]],NA())</f>
        <v>#N/A</v>
      </c>
      <c r="CU116" s="52" t="e">
        <f>IFERROR(IF($CR$3,Eu_tabel_g[[#This Row],[Styrke, aktiv]],NA()),NA())</f>
        <v>#N/A</v>
      </c>
      <c r="CV116" s="52" t="e">
        <f>IF(ISNA(Eu_tabel_g[[#This Row],[Sand negativ
Nulhypotese afvises
Korrekt]]),NA(),IF($CR$3,1,NA()))</f>
        <v>#N/A</v>
      </c>
      <c r="CW116" s="34" t="str" cm="1">
        <f t="array" ref="CW116">_xlfn.SWITCH(BZ116,_xlfn.IFNA(CU$2,-99),CU$5,_xlfn.IFNA(CU$3,-99),CU$6,_xlfn.IFNA(CU$4,-99),CU$7,"")</f>
        <v/>
      </c>
      <c r="DA116" s="7">
        <f t="shared" si="156"/>
        <v>0.8</v>
      </c>
      <c r="DB116">
        <f>IF(ROW(Styrkeberegning_G[[#This Row],[X base venstre]])=ROW(Styrkeberegning_G[[#Headers],[X base venstre]])+1,DB$7/(DA$7/$B$67),DB115/(DA115/$B$67))</f>
        <v>-2.8015817870135784</v>
      </c>
      <c r="DC116">
        <f>Styrkeberegning_G[[#This Row],[X base venstre]]*-1</f>
        <v>2.8015817870135784</v>
      </c>
      <c r="DN116" s="32">
        <f t="shared" si="157"/>
        <v>106</v>
      </c>
      <c r="DO116" s="32">
        <f t="shared" si="158"/>
        <v>107</v>
      </c>
      <c r="DP116" s="32">
        <f t="shared" si="159"/>
        <v>13.925363444855797</v>
      </c>
      <c r="DQ116" s="32" t="e">
        <f t="shared" si="160"/>
        <v>#N/A</v>
      </c>
      <c r="DR116" s="32" t="e">
        <f t="shared" si="161"/>
        <v>#N/A</v>
      </c>
      <c r="DS116" s="32">
        <f t="shared" si="162"/>
        <v>5.6072953346852777E-2</v>
      </c>
      <c r="DT116" s="32" t="e">
        <f t="shared" si="163"/>
        <v>#N/A</v>
      </c>
      <c r="DU116" s="32" t="b">
        <f t="shared" si="164"/>
        <v>0</v>
      </c>
      <c r="DV116" s="32" t="b">
        <f t="shared" si="165"/>
        <v>1</v>
      </c>
      <c r="DW116" s="32" t="b">
        <f t="shared" si="166"/>
        <v>0</v>
      </c>
      <c r="DX116" s="32" t="b">
        <f t="shared" si="167"/>
        <v>1</v>
      </c>
      <c r="DY116" s="32">
        <f t="shared" si="168"/>
        <v>5.6072953346852777E-2</v>
      </c>
      <c r="DZ116" s="32" t="e">
        <f t="shared" si="169"/>
        <v>#N/A</v>
      </c>
      <c r="EA116" s="32">
        <f t="shared" si="170"/>
        <v>5.6072953346852777E-2</v>
      </c>
      <c r="EB116" s="45" t="str">
        <f t="shared" si="171"/>
        <v/>
      </c>
      <c r="EG116" s="32">
        <f t="shared" si="172"/>
        <v>106</v>
      </c>
      <c r="EH116" s="32">
        <f t="shared" si="173"/>
        <v>107</v>
      </c>
      <c r="EI116" s="32">
        <f t="shared" si="174"/>
        <v>-0.55097165148728466</v>
      </c>
      <c r="EJ116" s="32">
        <f t="shared" si="175"/>
        <v>0.34276047013173222</v>
      </c>
      <c r="EK116" s="32" t="e">
        <f t="shared" si="176"/>
        <v>#N/A</v>
      </c>
      <c r="EL116" s="32" t="e">
        <f t="shared" si="177"/>
        <v>#N/A</v>
      </c>
      <c r="EM116" s="32" t="e">
        <f t="shared" si="178"/>
        <v>#N/A</v>
      </c>
      <c r="EN116" s="32" t="b">
        <f t="shared" si="179"/>
        <v>0</v>
      </c>
      <c r="EO116" s="32" t="b">
        <f t="shared" si="180"/>
        <v>1</v>
      </c>
      <c r="EP116" s="32" t="b">
        <f t="shared" si="181"/>
        <v>0</v>
      </c>
      <c r="EQ116" s="32" t="b">
        <f t="shared" si="182"/>
        <v>1</v>
      </c>
      <c r="ER116" s="32">
        <f t="shared" si="183"/>
        <v>0.34276047013173222</v>
      </c>
      <c r="ES116" s="32" t="e">
        <f t="shared" si="184"/>
        <v>#N/A</v>
      </c>
      <c r="ET116" s="32">
        <f t="shared" si="185"/>
        <v>0.34276047013173222</v>
      </c>
      <c r="EU116" s="45" t="str">
        <f t="shared" si="186"/>
        <v/>
      </c>
      <c r="EV11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6" s="32" t="e" cm="1">
        <f t="array" ref="EY116">IF($CR$3,INDEX(Eu_tabel_a[[#This Row],[Styrke venstre]:[Styrke tosidet]],EY$7),NA())</f>
        <v>#N/A</v>
      </c>
      <c r="EZ116" s="32" t="e">
        <f>IF(EY$3,IF(CHOOSE(EY$7,Eu_tabel_a[[#This Row],[x base]]&gt;0,Eu_tabel_a[[#This Row],[x base]]&lt;0,Eu_tabel_a[[#This Row],[x base]]=0),1,NA()),NA())</f>
        <v>#N/A</v>
      </c>
      <c r="FA116" s="32" t="e">
        <f>IF(CHOOSE(EY$7,Eu_tabel_a[[#This Row],[x base]]&gt;0,Eu_tabel_a[[#This Row],[x base]]&lt;0,Eu_tabel_a[[#This Row],[x base]]=0),Eu_tabel_a[[#This Row],[Styrke, aktiv]],NA())</f>
        <v>#N/A</v>
      </c>
      <c r="FB116" s="32" t="e">
        <f>IFERROR(IF($EY$3,Eu_tabel_a[[#This Row],[Styrke, aktiv]],NA()),NA())</f>
        <v>#N/A</v>
      </c>
      <c r="FC116" s="32" t="e">
        <f>IF(ISNA(Eu_tabel_a[[#This Row],[Sand negativ
Nulhypotese afvises
Korrekt]]),NA(),IF(EY$3,1,NA()))</f>
        <v>#N/A</v>
      </c>
      <c r="FD116" s="33" t="str" cm="1">
        <f t="array" ref="FD116">IFERROR(_xlfn.SWITCH(Eu_tabel_a[[#This Row],[Indeks]],_xlfn.IFNA(FB$2,-99),FB$5,_xlfn.IFNA(FB$3,-99),FB$6,_xlfn.IFNA(FB$4,-99),FB$7,""),"")</f>
        <v/>
      </c>
      <c r="FE116" s="32">
        <f>Eu_tabel_a[[#This Row],[x base]]*SQRT(Eu_a_h0_x*(1-Eu_a_h0_x)/Eu_a_n_x)+Eu_a_h0_x</f>
        <v>0</v>
      </c>
      <c r="FJ116" s="74" t="e">
        <f t="shared" si="130"/>
        <v>#N/A</v>
      </c>
      <c r="FK116" s="82" t="e">
        <f t="shared" si="218"/>
        <v>#DIV/0!</v>
      </c>
      <c r="FL116" s="7" t="e">
        <f t="shared" si="124"/>
        <v>#DIV/0!</v>
      </c>
      <c r="FM116" t="e">
        <f t="shared" si="219"/>
        <v>#DIV/0!</v>
      </c>
      <c r="FN116" s="8" t="e">
        <f t="shared" si="220"/>
        <v>#DIV/0!</v>
      </c>
      <c r="FO116" s="8" t="e">
        <f t="shared" si="221"/>
        <v>#DIV/0!</v>
      </c>
      <c r="FP116" s="81" t="e">
        <f t="shared" si="222"/>
        <v>#DIV/0!</v>
      </c>
      <c r="FQ116" s="74" t="e">
        <f t="shared" ca="1" si="125"/>
        <v>#N/A</v>
      </c>
      <c r="FR116" s="82" t="e" vm="3">
        <f t="shared" ca="1" si="131"/>
        <v>#VALUE!</v>
      </c>
      <c r="FS116" s="7" t="e" vm="3">
        <f t="shared" ca="1" si="126"/>
        <v>#VALUE!</v>
      </c>
      <c r="FT116" t="e" vm="3">
        <f t="shared" ca="1" si="120"/>
        <v>#VALUE!</v>
      </c>
      <c r="FU116" s="8" t="e" vm="3">
        <f t="shared" ca="1" si="121"/>
        <v>#VALUE!</v>
      </c>
      <c r="FV116" s="8" t="e" vm="3">
        <f t="shared" ca="1" si="122"/>
        <v>#VALUE!</v>
      </c>
      <c r="FW116" s="81" t="e" vm="3">
        <f t="shared" ca="1" si="123"/>
        <v>#VALUE!</v>
      </c>
      <c r="FX116" s="74" t="e">
        <f t="shared" si="127"/>
        <v>#N/A</v>
      </c>
      <c r="FY116" s="82" t="e">
        <f t="shared" si="132"/>
        <v>#N/A</v>
      </c>
      <c r="FZ116" s="7" t="e">
        <f t="shared" si="128"/>
        <v>#N/A</v>
      </c>
      <c r="GA116" t="e">
        <f t="shared" si="133"/>
        <v>#N/A</v>
      </c>
      <c r="GB116" s="8" t="e">
        <f t="shared" si="134"/>
        <v>#N/A</v>
      </c>
      <c r="GC116" s="8" t="e">
        <f t="shared" si="135"/>
        <v>#N/A</v>
      </c>
      <c r="GD116" s="81" t="e">
        <f t="shared" si="136"/>
        <v>#N/A</v>
      </c>
      <c r="GE116" s="74" t="e">
        <f t="shared" si="137"/>
        <v>#N/A</v>
      </c>
      <c r="GF116" s="82" t="e">
        <f t="shared" si="138"/>
        <v>#N/A</v>
      </c>
      <c r="GG116" s="7" t="e">
        <f t="shared" si="129"/>
        <v>#N/A</v>
      </c>
      <c r="GH116" t="e">
        <f t="shared" si="139"/>
        <v>#N/A</v>
      </c>
      <c r="GI116" s="8" t="e">
        <f t="shared" si="140"/>
        <v>#N/A</v>
      </c>
      <c r="GJ116" s="8" t="e">
        <f t="shared" si="141"/>
        <v>#N/A</v>
      </c>
      <c r="GK116" s="81" t="e">
        <f t="shared" si="142"/>
        <v>#N/A</v>
      </c>
      <c r="GL116" s="81"/>
      <c r="GM116" s="81"/>
      <c r="GP116" s="32">
        <f t="shared" si="187"/>
        <v>106</v>
      </c>
      <c r="GQ116" s="32">
        <f t="shared" si="188"/>
        <v>107</v>
      </c>
      <c r="GR116" s="32">
        <f t="shared" si="189"/>
        <v>-0.55097165148728466</v>
      </c>
      <c r="GS116" s="32">
        <f t="shared" si="190"/>
        <v>0.34276047013173222</v>
      </c>
      <c r="GT116" s="32" t="e">
        <f t="shared" si="191"/>
        <v>#N/A</v>
      </c>
      <c r="GU116" s="32" t="e">
        <f t="shared" si="192"/>
        <v>#N/A</v>
      </c>
      <c r="GV116" s="32" t="e">
        <f t="shared" si="193"/>
        <v>#N/A</v>
      </c>
      <c r="GW116" s="32" t="b">
        <f t="shared" si="194"/>
        <v>0</v>
      </c>
      <c r="GX116" s="32" t="b">
        <f t="shared" si="195"/>
        <v>1</v>
      </c>
      <c r="GY116" s="32" t="b">
        <f t="shared" si="196"/>
        <v>0</v>
      </c>
      <c r="GZ116" s="32" t="b">
        <f t="shared" si="197"/>
        <v>1</v>
      </c>
      <c r="HA116" s="32">
        <f t="shared" si="198"/>
        <v>0.34276047013173222</v>
      </c>
      <c r="HB116" s="32" t="e">
        <f t="shared" si="199"/>
        <v>#N/A</v>
      </c>
      <c r="HC116" s="32">
        <f t="shared" si="200"/>
        <v>0.34276047013173222</v>
      </c>
      <c r="HD116" s="45" t="str">
        <f t="shared" si="201"/>
        <v/>
      </c>
      <c r="HJ116" s="32">
        <f t="shared" si="202"/>
        <v>106</v>
      </c>
      <c r="HK116" s="32">
        <f t="shared" si="203"/>
        <v>107</v>
      </c>
      <c r="HL116" s="32">
        <f t="shared" si="204"/>
        <v>-0.85319117409830714</v>
      </c>
      <c r="HM116" s="32" t="e">
        <f t="shared" si="205"/>
        <v>#N/A</v>
      </c>
      <c r="HN116" s="32">
        <f t="shared" si="206"/>
        <v>0.25917276562967623</v>
      </c>
      <c r="HO116" s="32" t="e">
        <f t="shared" si="207"/>
        <v>#N/A</v>
      </c>
      <c r="HP116" s="32" t="e">
        <f t="shared" si="208"/>
        <v>#N/A</v>
      </c>
      <c r="HQ116" s="32" t="b">
        <f t="shared" si="209"/>
        <v>1</v>
      </c>
      <c r="HR116" s="32" t="b">
        <f t="shared" si="210"/>
        <v>0</v>
      </c>
      <c r="HS116" s="32" t="b">
        <f t="shared" si="211"/>
        <v>0</v>
      </c>
      <c r="HT116" s="32" t="b">
        <f t="shared" si="212"/>
        <v>1</v>
      </c>
      <c r="HU116" s="32">
        <f t="shared" si="213"/>
        <v>0.25917276562967623</v>
      </c>
      <c r="HV116" s="32">
        <f t="shared" si="214"/>
        <v>0.25917276562967623</v>
      </c>
      <c r="HW116" s="32" t="e">
        <f t="shared" si="215"/>
        <v>#N/A</v>
      </c>
      <c r="HX116" s="45" t="str">
        <f t="shared" si="216"/>
        <v/>
      </c>
    </row>
    <row r="117" spans="78:232" x14ac:dyDescent="0.2">
      <c r="BZ117" s="32">
        <f t="shared" si="143"/>
        <v>107</v>
      </c>
      <c r="CA117" s="32">
        <f>Eu_tabel_g[[#This Row],[Indeks]]+1</f>
        <v>108</v>
      </c>
      <c r="CB117" s="32">
        <f t="shared" si="144"/>
        <v>-0.52701636229218529</v>
      </c>
      <c r="CC117" s="32">
        <f t="shared" si="145"/>
        <v>0.34721480489913414</v>
      </c>
      <c r="CD117" s="32" t="e">
        <f t="shared" si="146"/>
        <v>#N/A</v>
      </c>
      <c r="CE117" s="32" t="e">
        <f t="shared" si="147"/>
        <v>#N/A</v>
      </c>
      <c r="CF117" s="32" t="e">
        <f t="shared" si="148"/>
        <v>#N/A</v>
      </c>
      <c r="CG117" s="32" t="b">
        <f t="shared" si="149"/>
        <v>0</v>
      </c>
      <c r="CH117" s="32" t="b">
        <f t="shared" si="150"/>
        <v>1</v>
      </c>
      <c r="CI117" s="32" t="b">
        <f t="shared" si="151"/>
        <v>0</v>
      </c>
      <c r="CJ117" s="32" t="b">
        <f t="shared" si="152"/>
        <v>1</v>
      </c>
      <c r="CK117" s="32">
        <f t="shared" si="217"/>
        <v>0.34721480489913414</v>
      </c>
      <c r="CL117" s="32" t="e">
        <f t="shared" si="153"/>
        <v>#N/A</v>
      </c>
      <c r="CM117" s="32">
        <f t="shared" si="154"/>
        <v>0.34721480489913414</v>
      </c>
      <c r="CN117" s="45" t="str">
        <f t="shared" si="155"/>
        <v/>
      </c>
      <c r="CO117" s="32">
        <f>_xlfn.NORM.DIST(_xlfn.NORM.INV(1-Eu_g_konfidensniveau,0,1)-Eu_tabel_g[[#This Row],[x base]],0,1,TRUE)</f>
        <v>0.13181825141176104</v>
      </c>
      <c r="CP117" s="32">
        <f>1-_xlfn.NORM.DIST(_xlfn.NORM.INV(Eu_g_konfidensniveau,0,1)-Eu_tabel_g[[#This Row],[x base]],0,1,TRUE)</f>
        <v>1.4932735343932468E-2</v>
      </c>
      <c r="CQ117" s="32">
        <f>_xlfn.NORM.DIST(_xlfn.NORM.INV((1-Eu_g_konfidensniveau)/2,0,1)-Eu_tabel_g[[#This Row],[x base]],0,1,TRUE)+1-_xlfn.NORM.DIST(_xlfn.NORM.INV(1-(1-Eu_g_konfidensniveau)/2,0,1)-Eu_tabel_g[[#This Row],[x base]],0,1,TRUE)</f>
        <v>8.2378028974324891E-2</v>
      </c>
      <c r="CR117" s="32" t="e" cm="1">
        <f t="array" ref="CR117">IF($CR$3,INDEX(Eu_tabel_g[[#This Row],[Styrke venstre]:[Styrke tosidet]],CR$7),NA())</f>
        <v>#N/A</v>
      </c>
      <c r="CS117" s="52" t="e">
        <f>Eu_tabel_g[[#This Row],[Falsk positiv
Nulhypotese accepteres
Fejltype 1]]</f>
        <v>#N/A</v>
      </c>
      <c r="CT117" s="52" t="e">
        <f>IF(CHOOSE(CR$7,Eu_tabel_g[[#This Row],[x base]]&gt;0,Eu_tabel_g[[#This Row],[x base]]&lt;0,Eu_tabel_g[[#This Row],[x base]]=0),Eu_tabel_g[[#This Row],[Styrke, aktiv]],NA())</f>
        <v>#N/A</v>
      </c>
      <c r="CU117" s="52" t="e">
        <f>IFERROR(IF($CR$3,Eu_tabel_g[[#This Row],[Styrke, aktiv]],NA()),NA())</f>
        <v>#N/A</v>
      </c>
      <c r="CV117" s="52" t="e">
        <f>IF(ISNA(Eu_tabel_g[[#This Row],[Sand negativ
Nulhypotese afvises
Korrekt]]),NA(),IF($CR$3,1,NA()))</f>
        <v>#N/A</v>
      </c>
      <c r="CW117" s="34" t="str" cm="1">
        <f t="array" ref="CW117">_xlfn.SWITCH(BZ117,_xlfn.IFNA(CU$2,-99),CU$5,_xlfn.IFNA(CU$3,-99),CU$6,_xlfn.IFNA(CU$4,-99),CU$7,"")</f>
        <v/>
      </c>
      <c r="DA117" s="7">
        <f t="shared" si="156"/>
        <v>0.8</v>
      </c>
      <c r="DB117">
        <f>IF(ROW(Styrkeberegning_G[[#This Row],[X base venstre]])=ROW(Styrkeberegning_G[[#Headers],[X base venstre]])+1,DB$7/(DA$7/$B$67),DB116/(DA116/$B$67))</f>
        <v>-2.8015817870135784</v>
      </c>
      <c r="DC117">
        <f>Styrkeberegning_G[[#This Row],[X base venstre]]*-1</f>
        <v>2.8015817870135784</v>
      </c>
      <c r="DN117" s="32">
        <f t="shared" si="157"/>
        <v>107</v>
      </c>
      <c r="DO117" s="32">
        <f t="shared" si="158"/>
        <v>108</v>
      </c>
      <c r="DP117" s="32">
        <f t="shared" si="159"/>
        <v>14.039434301272797</v>
      </c>
      <c r="DQ117" s="32" t="e">
        <f t="shared" si="160"/>
        <v>#N/A</v>
      </c>
      <c r="DR117" s="32" t="e">
        <f t="shared" si="161"/>
        <v>#N/A</v>
      </c>
      <c r="DS117" s="32">
        <f t="shared" si="162"/>
        <v>5.494486038990349E-2</v>
      </c>
      <c r="DT117" s="32" t="e">
        <f t="shared" si="163"/>
        <v>#N/A</v>
      </c>
      <c r="DU117" s="32" t="b">
        <f t="shared" si="164"/>
        <v>0</v>
      </c>
      <c r="DV117" s="32" t="b">
        <f t="shared" si="165"/>
        <v>1</v>
      </c>
      <c r="DW117" s="32" t="b">
        <f t="shared" si="166"/>
        <v>0</v>
      </c>
      <c r="DX117" s="32" t="b">
        <f t="shared" si="167"/>
        <v>1</v>
      </c>
      <c r="DY117" s="32">
        <f t="shared" si="168"/>
        <v>5.494486038990349E-2</v>
      </c>
      <c r="DZ117" s="32" t="e">
        <f t="shared" si="169"/>
        <v>#N/A</v>
      </c>
      <c r="EA117" s="32">
        <f t="shared" si="170"/>
        <v>5.494486038990349E-2</v>
      </c>
      <c r="EB117" s="45" t="str">
        <f t="shared" si="171"/>
        <v/>
      </c>
      <c r="EG117" s="32">
        <f t="shared" si="172"/>
        <v>107</v>
      </c>
      <c r="EH117" s="32">
        <f t="shared" si="173"/>
        <v>108</v>
      </c>
      <c r="EI117" s="32">
        <f t="shared" si="174"/>
        <v>-0.52701636229218529</v>
      </c>
      <c r="EJ117" s="32">
        <f t="shared" si="175"/>
        <v>0.34721480489913414</v>
      </c>
      <c r="EK117" s="32" t="e">
        <f t="shared" si="176"/>
        <v>#N/A</v>
      </c>
      <c r="EL117" s="32" t="e">
        <f t="shared" si="177"/>
        <v>#N/A</v>
      </c>
      <c r="EM117" s="32" t="e">
        <f t="shared" si="178"/>
        <v>#N/A</v>
      </c>
      <c r="EN117" s="32" t="b">
        <f t="shared" si="179"/>
        <v>0</v>
      </c>
      <c r="EO117" s="32" t="b">
        <f t="shared" si="180"/>
        <v>1</v>
      </c>
      <c r="EP117" s="32" t="b">
        <f t="shared" si="181"/>
        <v>0</v>
      </c>
      <c r="EQ117" s="32" t="b">
        <f t="shared" si="182"/>
        <v>1</v>
      </c>
      <c r="ER117" s="32">
        <f t="shared" si="183"/>
        <v>0.34721480489913414</v>
      </c>
      <c r="ES117" s="32" t="e">
        <f t="shared" si="184"/>
        <v>#N/A</v>
      </c>
      <c r="ET117" s="32">
        <f t="shared" si="185"/>
        <v>0.34721480489913414</v>
      </c>
      <c r="EU117" s="45" t="str">
        <f t="shared" si="186"/>
        <v/>
      </c>
      <c r="EV11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7" s="32" t="e" cm="1">
        <f t="array" ref="EY117">IF($CR$3,INDEX(Eu_tabel_a[[#This Row],[Styrke venstre]:[Styrke tosidet]],EY$7),NA())</f>
        <v>#N/A</v>
      </c>
      <c r="EZ117" s="32" t="e">
        <f>IF(EY$3,IF(CHOOSE(EY$7,Eu_tabel_a[[#This Row],[x base]]&gt;0,Eu_tabel_a[[#This Row],[x base]]&lt;0,Eu_tabel_a[[#This Row],[x base]]=0),1,NA()),NA())</f>
        <v>#N/A</v>
      </c>
      <c r="FA117" s="32" t="e">
        <f>IF(CHOOSE(EY$7,Eu_tabel_a[[#This Row],[x base]]&gt;0,Eu_tabel_a[[#This Row],[x base]]&lt;0,Eu_tabel_a[[#This Row],[x base]]=0),Eu_tabel_a[[#This Row],[Styrke, aktiv]],NA())</f>
        <v>#N/A</v>
      </c>
      <c r="FB117" s="32" t="e">
        <f>IFERROR(IF($EY$3,Eu_tabel_a[[#This Row],[Styrke, aktiv]],NA()),NA())</f>
        <v>#N/A</v>
      </c>
      <c r="FC117" s="32" t="e">
        <f>IF(ISNA(Eu_tabel_a[[#This Row],[Sand negativ
Nulhypotese afvises
Korrekt]]),NA(),IF(EY$3,1,NA()))</f>
        <v>#N/A</v>
      </c>
      <c r="FD117" s="33" t="str" cm="1">
        <f t="array" ref="FD117">IFERROR(_xlfn.SWITCH(Eu_tabel_a[[#This Row],[Indeks]],_xlfn.IFNA(FB$2,-99),FB$5,_xlfn.IFNA(FB$3,-99),FB$6,_xlfn.IFNA(FB$4,-99),FB$7,""),"")</f>
        <v/>
      </c>
      <c r="FE117" s="32">
        <f>Eu_tabel_a[[#This Row],[x base]]*SQRT(Eu_a_h0_x*(1-Eu_a_h0_x)/Eu_a_n_x)+Eu_a_h0_x</f>
        <v>0</v>
      </c>
      <c r="FJ117" s="74" t="e">
        <f t="shared" si="130"/>
        <v>#N/A</v>
      </c>
      <c r="FK117" s="82" t="e">
        <f t="shared" si="218"/>
        <v>#DIV/0!</v>
      </c>
      <c r="FL117" s="7" t="e">
        <f t="shared" si="124"/>
        <v>#DIV/0!</v>
      </c>
      <c r="FM117" t="e">
        <f t="shared" si="219"/>
        <v>#DIV/0!</v>
      </c>
      <c r="FN117" s="8" t="e">
        <f t="shared" si="220"/>
        <v>#DIV/0!</v>
      </c>
      <c r="FO117" s="8" t="e">
        <f t="shared" si="221"/>
        <v>#DIV/0!</v>
      </c>
      <c r="FP117" s="81" t="e">
        <f t="shared" si="222"/>
        <v>#DIV/0!</v>
      </c>
      <c r="FQ117" s="74" t="e">
        <f t="shared" ca="1" si="125"/>
        <v>#N/A</v>
      </c>
      <c r="FR117" s="82" t="e" vm="3">
        <f t="shared" ca="1" si="131"/>
        <v>#VALUE!</v>
      </c>
      <c r="FS117" s="7" t="e" vm="3">
        <f t="shared" ca="1" si="126"/>
        <v>#VALUE!</v>
      </c>
      <c r="FT117" t="e" vm="3">
        <f t="shared" ca="1" si="120"/>
        <v>#VALUE!</v>
      </c>
      <c r="FU117" s="8" t="e" vm="3">
        <f t="shared" ca="1" si="121"/>
        <v>#VALUE!</v>
      </c>
      <c r="FV117" s="8" t="e" vm="3">
        <f t="shared" ca="1" si="122"/>
        <v>#VALUE!</v>
      </c>
      <c r="FW117" s="81" t="e" vm="3">
        <f t="shared" ca="1" si="123"/>
        <v>#VALUE!</v>
      </c>
      <c r="FX117" s="74" t="e">
        <f t="shared" si="127"/>
        <v>#N/A</v>
      </c>
      <c r="FY117" s="82" t="e">
        <f t="shared" si="132"/>
        <v>#N/A</v>
      </c>
      <c r="FZ117" s="7" t="e">
        <f t="shared" si="128"/>
        <v>#N/A</v>
      </c>
      <c r="GA117" t="e">
        <f t="shared" si="133"/>
        <v>#N/A</v>
      </c>
      <c r="GB117" s="8" t="e">
        <f t="shared" si="134"/>
        <v>#N/A</v>
      </c>
      <c r="GC117" s="8" t="e">
        <f t="shared" si="135"/>
        <v>#N/A</v>
      </c>
      <c r="GD117" s="81" t="e">
        <f t="shared" si="136"/>
        <v>#N/A</v>
      </c>
      <c r="GE117" s="74" t="e">
        <f t="shared" si="137"/>
        <v>#N/A</v>
      </c>
      <c r="GF117" s="82" t="e">
        <f t="shared" si="138"/>
        <v>#N/A</v>
      </c>
      <c r="GG117" s="7" t="e">
        <f t="shared" si="129"/>
        <v>#N/A</v>
      </c>
      <c r="GH117" t="e">
        <f t="shared" si="139"/>
        <v>#N/A</v>
      </c>
      <c r="GI117" s="8" t="e">
        <f t="shared" si="140"/>
        <v>#N/A</v>
      </c>
      <c r="GJ117" s="8" t="e">
        <f t="shared" si="141"/>
        <v>#N/A</v>
      </c>
      <c r="GK117" s="81" t="e">
        <f t="shared" si="142"/>
        <v>#N/A</v>
      </c>
      <c r="GL117" s="81"/>
      <c r="GM117" s="81"/>
      <c r="GP117" s="32">
        <f t="shared" si="187"/>
        <v>107</v>
      </c>
      <c r="GQ117" s="32">
        <f t="shared" si="188"/>
        <v>108</v>
      </c>
      <c r="GR117" s="32">
        <f t="shared" si="189"/>
        <v>-0.52701636229218529</v>
      </c>
      <c r="GS117" s="32">
        <f t="shared" si="190"/>
        <v>0.34721480489913414</v>
      </c>
      <c r="GT117" s="32" t="e">
        <f t="shared" si="191"/>
        <v>#N/A</v>
      </c>
      <c r="GU117" s="32" t="e">
        <f t="shared" si="192"/>
        <v>#N/A</v>
      </c>
      <c r="GV117" s="32" t="e">
        <f t="shared" si="193"/>
        <v>#N/A</v>
      </c>
      <c r="GW117" s="32" t="b">
        <f t="shared" si="194"/>
        <v>0</v>
      </c>
      <c r="GX117" s="32" t="b">
        <f t="shared" si="195"/>
        <v>1</v>
      </c>
      <c r="GY117" s="32" t="b">
        <f t="shared" si="196"/>
        <v>0</v>
      </c>
      <c r="GZ117" s="32" t="b">
        <f t="shared" si="197"/>
        <v>1</v>
      </c>
      <c r="HA117" s="32">
        <f t="shared" si="198"/>
        <v>0.34721480489913414</v>
      </c>
      <c r="HB117" s="32" t="e">
        <f t="shared" si="199"/>
        <v>#N/A</v>
      </c>
      <c r="HC117" s="32">
        <f t="shared" si="200"/>
        <v>0.34721480489913414</v>
      </c>
      <c r="HD117" s="45" t="str">
        <f t="shared" si="201"/>
        <v/>
      </c>
      <c r="HJ117" s="32">
        <f t="shared" si="202"/>
        <v>107</v>
      </c>
      <c r="HK117" s="32">
        <f t="shared" si="203"/>
        <v>108</v>
      </c>
      <c r="HL117" s="32">
        <f t="shared" si="204"/>
        <v>-0.8160959056592505</v>
      </c>
      <c r="HM117" s="32" t="e">
        <f t="shared" si="205"/>
        <v>#N/A</v>
      </c>
      <c r="HN117" s="32">
        <f t="shared" si="206"/>
        <v>0.26764870550000192</v>
      </c>
      <c r="HO117" s="32" t="e">
        <f t="shared" si="207"/>
        <v>#N/A</v>
      </c>
      <c r="HP117" s="32" t="e">
        <f t="shared" si="208"/>
        <v>#N/A</v>
      </c>
      <c r="HQ117" s="32" t="b">
        <f t="shared" si="209"/>
        <v>1</v>
      </c>
      <c r="HR117" s="32" t="b">
        <f t="shared" si="210"/>
        <v>0</v>
      </c>
      <c r="HS117" s="32" t="b">
        <f t="shared" si="211"/>
        <v>0</v>
      </c>
      <c r="HT117" s="32" t="b">
        <f t="shared" si="212"/>
        <v>1</v>
      </c>
      <c r="HU117" s="32">
        <f t="shared" si="213"/>
        <v>0.26764870550000192</v>
      </c>
      <c r="HV117" s="32">
        <f t="shared" si="214"/>
        <v>0.26764870550000192</v>
      </c>
      <c r="HW117" s="32" t="e">
        <f t="shared" si="215"/>
        <v>#N/A</v>
      </c>
      <c r="HX117" s="45" t="str">
        <f t="shared" si="216"/>
        <v/>
      </c>
    </row>
    <row r="118" spans="78:232" x14ac:dyDescent="0.2">
      <c r="BZ118" s="32">
        <f t="shared" si="143"/>
        <v>108</v>
      </c>
      <c r="CA118" s="32">
        <f>Eu_tabel_g[[#This Row],[Indeks]]+1</f>
        <v>109</v>
      </c>
      <c r="CB118" s="32">
        <f t="shared" si="144"/>
        <v>-0.50306107309708592</v>
      </c>
      <c r="CC118" s="32">
        <f t="shared" si="145"/>
        <v>0.35152524313860362</v>
      </c>
      <c r="CD118" s="32" t="e">
        <f t="shared" si="146"/>
        <v>#N/A</v>
      </c>
      <c r="CE118" s="32" t="e">
        <f t="shared" si="147"/>
        <v>#N/A</v>
      </c>
      <c r="CF118" s="32" t="e">
        <f t="shared" si="148"/>
        <v>#N/A</v>
      </c>
      <c r="CG118" s="32" t="b">
        <f t="shared" si="149"/>
        <v>0</v>
      </c>
      <c r="CH118" s="32" t="b">
        <f t="shared" si="150"/>
        <v>1</v>
      </c>
      <c r="CI118" s="32" t="b">
        <f t="shared" si="151"/>
        <v>0</v>
      </c>
      <c r="CJ118" s="32" t="b">
        <f t="shared" si="152"/>
        <v>1</v>
      </c>
      <c r="CK118" s="32">
        <f t="shared" si="217"/>
        <v>0.35152524313860362</v>
      </c>
      <c r="CL118" s="32" t="e">
        <f t="shared" si="153"/>
        <v>#N/A</v>
      </c>
      <c r="CM118" s="32">
        <f t="shared" si="154"/>
        <v>0.35152524313860362</v>
      </c>
      <c r="CN118" s="45" t="str">
        <f t="shared" si="155"/>
        <v/>
      </c>
      <c r="CO118" s="32">
        <f>_xlfn.NORM.DIST(_xlfn.NORM.INV(1-Eu_g_konfidensniveau,0,1)-Eu_tabel_g[[#This Row],[x base]],0,1,TRUE)</f>
        <v>0.12677012909733829</v>
      </c>
      <c r="CP118" s="32">
        <f>1-_xlfn.NORM.DIST(_xlfn.NORM.INV(Eu_g_konfidensniveau,0,1)-Eu_tabel_g[[#This Row],[x base]],0,1,TRUE)</f>
        <v>1.5860266188613248E-2</v>
      </c>
      <c r="CQ118" s="32">
        <f>_xlfn.NORM.DIST(_xlfn.NORM.INV((1-Eu_g_konfidensniveau)/2,0,1)-Eu_tabel_g[[#This Row],[x base]],0,1,TRUE)+1-_xlfn.NORM.DIST(_xlfn.NORM.INV(1-(1-Eu_g_konfidensniveau)/2,0,1)-Eu_tabel_g[[#This Row],[x base]],0,1,TRUE)</f>
        <v>7.9460105488476707E-2</v>
      </c>
      <c r="CR118" s="32" t="e" cm="1">
        <f t="array" ref="CR118">IF($CR$3,INDEX(Eu_tabel_g[[#This Row],[Styrke venstre]:[Styrke tosidet]],CR$7),NA())</f>
        <v>#N/A</v>
      </c>
      <c r="CS118" s="52" t="e">
        <f>Eu_tabel_g[[#This Row],[Falsk positiv
Nulhypotese accepteres
Fejltype 1]]</f>
        <v>#N/A</v>
      </c>
      <c r="CT118" s="52" t="e">
        <f>IF(CHOOSE(CR$7,Eu_tabel_g[[#This Row],[x base]]&gt;0,Eu_tabel_g[[#This Row],[x base]]&lt;0,Eu_tabel_g[[#This Row],[x base]]=0),Eu_tabel_g[[#This Row],[Styrke, aktiv]],NA())</f>
        <v>#N/A</v>
      </c>
      <c r="CU118" s="52" t="e">
        <f>IFERROR(IF($CR$3,Eu_tabel_g[[#This Row],[Styrke, aktiv]],NA()),NA())</f>
        <v>#N/A</v>
      </c>
      <c r="CV118" s="52" t="e">
        <f>IF(ISNA(Eu_tabel_g[[#This Row],[Sand negativ
Nulhypotese afvises
Korrekt]]),NA(),IF($CR$3,1,NA()))</f>
        <v>#N/A</v>
      </c>
      <c r="CW118" s="34" t="str" cm="1">
        <f t="array" ref="CW118">_xlfn.SWITCH(BZ118,_xlfn.IFNA(CU$2,-99),CU$5,_xlfn.IFNA(CU$3,-99),CU$6,_xlfn.IFNA(CU$4,-99),CU$7,"")</f>
        <v/>
      </c>
      <c r="DA118" s="7">
        <f t="shared" si="156"/>
        <v>0.8</v>
      </c>
      <c r="DB118">
        <f>IF(ROW(Styrkeberegning_G[[#This Row],[X base venstre]])=ROW(Styrkeberegning_G[[#Headers],[X base venstre]])+1,DB$7/(DA$7/$B$67),DB117/(DA117/$B$67))</f>
        <v>-2.8015817870135784</v>
      </c>
      <c r="DC118">
        <f>Styrkeberegning_G[[#This Row],[X base venstre]]*-1</f>
        <v>2.8015817870135784</v>
      </c>
      <c r="DN118" s="32">
        <f t="shared" si="157"/>
        <v>108</v>
      </c>
      <c r="DO118" s="32">
        <f t="shared" si="158"/>
        <v>109</v>
      </c>
      <c r="DP118" s="32">
        <f t="shared" si="159"/>
        <v>14.153505157689798</v>
      </c>
      <c r="DQ118" s="32" t="e">
        <f t="shared" si="160"/>
        <v>#N/A</v>
      </c>
      <c r="DR118" s="32" t="e">
        <f t="shared" si="161"/>
        <v>#N/A</v>
      </c>
      <c r="DS118" s="32">
        <f t="shared" si="162"/>
        <v>5.3823470369441753E-2</v>
      </c>
      <c r="DT118" s="32" t="e">
        <f t="shared" si="163"/>
        <v>#N/A</v>
      </c>
      <c r="DU118" s="32" t="b">
        <f t="shared" si="164"/>
        <v>0</v>
      </c>
      <c r="DV118" s="32" t="b">
        <f t="shared" si="165"/>
        <v>1</v>
      </c>
      <c r="DW118" s="32" t="b">
        <f t="shared" si="166"/>
        <v>0</v>
      </c>
      <c r="DX118" s="32" t="b">
        <f t="shared" si="167"/>
        <v>1</v>
      </c>
      <c r="DY118" s="32">
        <f t="shared" si="168"/>
        <v>5.3823470369441753E-2</v>
      </c>
      <c r="DZ118" s="32" t="e">
        <f t="shared" si="169"/>
        <v>#N/A</v>
      </c>
      <c r="EA118" s="32">
        <f t="shared" si="170"/>
        <v>5.3823470369441753E-2</v>
      </c>
      <c r="EB118" s="45" t="str">
        <f t="shared" si="171"/>
        <v/>
      </c>
      <c r="EG118" s="32">
        <f t="shared" si="172"/>
        <v>108</v>
      </c>
      <c r="EH118" s="32">
        <f t="shared" si="173"/>
        <v>109</v>
      </c>
      <c r="EI118" s="32">
        <f t="shared" si="174"/>
        <v>-0.50306107309708592</v>
      </c>
      <c r="EJ118" s="32">
        <f t="shared" si="175"/>
        <v>0.35152524313860362</v>
      </c>
      <c r="EK118" s="32" t="e">
        <f t="shared" si="176"/>
        <v>#N/A</v>
      </c>
      <c r="EL118" s="32" t="e">
        <f t="shared" si="177"/>
        <v>#N/A</v>
      </c>
      <c r="EM118" s="32" t="e">
        <f t="shared" si="178"/>
        <v>#N/A</v>
      </c>
      <c r="EN118" s="32" t="b">
        <f t="shared" si="179"/>
        <v>0</v>
      </c>
      <c r="EO118" s="32" t="b">
        <f t="shared" si="180"/>
        <v>1</v>
      </c>
      <c r="EP118" s="32" t="b">
        <f t="shared" si="181"/>
        <v>0</v>
      </c>
      <c r="EQ118" s="32" t="b">
        <f t="shared" si="182"/>
        <v>1</v>
      </c>
      <c r="ER118" s="32">
        <f t="shared" si="183"/>
        <v>0.35152524313860362</v>
      </c>
      <c r="ES118" s="32" t="e">
        <f t="shared" si="184"/>
        <v>#N/A</v>
      </c>
      <c r="ET118" s="32">
        <f t="shared" si="185"/>
        <v>0.35152524313860362</v>
      </c>
      <c r="EU118" s="45" t="str">
        <f t="shared" si="186"/>
        <v/>
      </c>
      <c r="EV11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8" s="32" t="e" cm="1">
        <f t="array" ref="EY118">IF($CR$3,INDEX(Eu_tabel_a[[#This Row],[Styrke venstre]:[Styrke tosidet]],EY$7),NA())</f>
        <v>#N/A</v>
      </c>
      <c r="EZ118" s="32" t="e">
        <f>IF(EY$3,IF(CHOOSE(EY$7,Eu_tabel_a[[#This Row],[x base]]&gt;0,Eu_tabel_a[[#This Row],[x base]]&lt;0,Eu_tabel_a[[#This Row],[x base]]=0),1,NA()),NA())</f>
        <v>#N/A</v>
      </c>
      <c r="FA118" s="32" t="e">
        <f>IF(CHOOSE(EY$7,Eu_tabel_a[[#This Row],[x base]]&gt;0,Eu_tabel_a[[#This Row],[x base]]&lt;0,Eu_tabel_a[[#This Row],[x base]]=0),Eu_tabel_a[[#This Row],[Styrke, aktiv]],NA())</f>
        <v>#N/A</v>
      </c>
      <c r="FB118" s="32" t="e">
        <f>IFERROR(IF($EY$3,Eu_tabel_a[[#This Row],[Styrke, aktiv]],NA()),NA())</f>
        <v>#N/A</v>
      </c>
      <c r="FC118" s="32" t="e">
        <f>IF(ISNA(Eu_tabel_a[[#This Row],[Sand negativ
Nulhypotese afvises
Korrekt]]),NA(),IF(EY$3,1,NA()))</f>
        <v>#N/A</v>
      </c>
      <c r="FD118" s="33" t="str" cm="1">
        <f t="array" ref="FD118">IFERROR(_xlfn.SWITCH(Eu_tabel_a[[#This Row],[Indeks]],_xlfn.IFNA(FB$2,-99),FB$5,_xlfn.IFNA(FB$3,-99),FB$6,_xlfn.IFNA(FB$4,-99),FB$7,""),"")</f>
        <v/>
      </c>
      <c r="FE118" s="32">
        <f>Eu_tabel_a[[#This Row],[x base]]*SQRT(Eu_a_h0_x*(1-Eu_a_h0_x)/Eu_a_n_x)+Eu_a_h0_x</f>
        <v>0</v>
      </c>
      <c r="FJ118" s="74" t="e">
        <f t="shared" si="130"/>
        <v>#N/A</v>
      </c>
      <c r="FK118" s="82" t="e">
        <f t="shared" si="218"/>
        <v>#DIV/0!</v>
      </c>
      <c r="FL118" s="7" t="e">
        <f t="shared" si="124"/>
        <v>#DIV/0!</v>
      </c>
      <c r="FM118" t="e">
        <f t="shared" si="219"/>
        <v>#DIV/0!</v>
      </c>
      <c r="FN118" s="8" t="e">
        <f t="shared" si="220"/>
        <v>#DIV/0!</v>
      </c>
      <c r="FO118" s="8" t="e">
        <f t="shared" si="221"/>
        <v>#DIV/0!</v>
      </c>
      <c r="FP118" s="81" t="e">
        <f t="shared" si="222"/>
        <v>#DIV/0!</v>
      </c>
      <c r="FQ118" s="74" t="e">
        <f t="shared" ca="1" si="125"/>
        <v>#N/A</v>
      </c>
      <c r="FR118" s="82" t="e" vm="3">
        <f t="shared" ca="1" si="131"/>
        <v>#VALUE!</v>
      </c>
      <c r="FS118" s="7" t="e" vm="3">
        <f t="shared" ca="1" si="126"/>
        <v>#VALUE!</v>
      </c>
      <c r="FT118" t="e" vm="3">
        <f t="shared" ca="1" si="120"/>
        <v>#VALUE!</v>
      </c>
      <c r="FU118" s="8" t="e" vm="3">
        <f t="shared" ca="1" si="121"/>
        <v>#VALUE!</v>
      </c>
      <c r="FV118" s="8" t="e" vm="3">
        <f t="shared" ca="1" si="122"/>
        <v>#VALUE!</v>
      </c>
      <c r="FW118" s="81" t="e" vm="3">
        <f t="shared" ca="1" si="123"/>
        <v>#VALUE!</v>
      </c>
      <c r="FX118" s="74" t="e">
        <f t="shared" si="127"/>
        <v>#N/A</v>
      </c>
      <c r="FY118" s="82" t="e">
        <f t="shared" si="132"/>
        <v>#N/A</v>
      </c>
      <c r="FZ118" s="7" t="e">
        <f t="shared" si="128"/>
        <v>#N/A</v>
      </c>
      <c r="GA118" t="e">
        <f t="shared" si="133"/>
        <v>#N/A</v>
      </c>
      <c r="GB118" s="8" t="e">
        <f t="shared" si="134"/>
        <v>#N/A</v>
      </c>
      <c r="GC118" s="8" t="e">
        <f t="shared" si="135"/>
        <v>#N/A</v>
      </c>
      <c r="GD118" s="81" t="e">
        <f t="shared" si="136"/>
        <v>#N/A</v>
      </c>
      <c r="GE118" s="74" t="e">
        <f t="shared" si="137"/>
        <v>#N/A</v>
      </c>
      <c r="GF118" s="82" t="e">
        <f t="shared" si="138"/>
        <v>#N/A</v>
      </c>
      <c r="GG118" s="7" t="e">
        <f t="shared" si="129"/>
        <v>#N/A</v>
      </c>
      <c r="GH118" t="e">
        <f t="shared" si="139"/>
        <v>#N/A</v>
      </c>
      <c r="GI118" s="8" t="e">
        <f t="shared" si="140"/>
        <v>#N/A</v>
      </c>
      <c r="GJ118" s="8" t="e">
        <f t="shared" si="141"/>
        <v>#N/A</v>
      </c>
      <c r="GK118" s="81" t="e">
        <f t="shared" si="142"/>
        <v>#N/A</v>
      </c>
      <c r="GL118" s="81"/>
      <c r="GM118" s="81"/>
      <c r="GP118" s="32">
        <f t="shared" si="187"/>
        <v>108</v>
      </c>
      <c r="GQ118" s="32">
        <f t="shared" si="188"/>
        <v>109</v>
      </c>
      <c r="GR118" s="32">
        <f t="shared" si="189"/>
        <v>-0.50306107309708592</v>
      </c>
      <c r="GS118" s="32">
        <f t="shared" si="190"/>
        <v>0.35152524313860362</v>
      </c>
      <c r="GT118" s="32" t="e">
        <f t="shared" si="191"/>
        <v>#N/A</v>
      </c>
      <c r="GU118" s="32" t="e">
        <f t="shared" si="192"/>
        <v>#N/A</v>
      </c>
      <c r="GV118" s="32" t="e">
        <f t="shared" si="193"/>
        <v>#N/A</v>
      </c>
      <c r="GW118" s="32" t="b">
        <f t="shared" si="194"/>
        <v>0</v>
      </c>
      <c r="GX118" s="32" t="b">
        <f t="shared" si="195"/>
        <v>1</v>
      </c>
      <c r="GY118" s="32" t="b">
        <f t="shared" si="196"/>
        <v>0</v>
      </c>
      <c r="GZ118" s="32" t="b">
        <f t="shared" si="197"/>
        <v>1</v>
      </c>
      <c r="HA118" s="32">
        <f t="shared" si="198"/>
        <v>0.35152524313860362</v>
      </c>
      <c r="HB118" s="32" t="e">
        <f t="shared" si="199"/>
        <v>#N/A</v>
      </c>
      <c r="HC118" s="32">
        <f t="shared" si="200"/>
        <v>0.35152524313860362</v>
      </c>
      <c r="HD118" s="45" t="str">
        <f t="shared" si="201"/>
        <v/>
      </c>
      <c r="HJ118" s="32">
        <f t="shared" si="202"/>
        <v>108</v>
      </c>
      <c r="HK118" s="32">
        <f t="shared" si="203"/>
        <v>109</v>
      </c>
      <c r="HL118" s="32">
        <f t="shared" si="204"/>
        <v>-0.77900063722019386</v>
      </c>
      <c r="HM118" s="32" t="e">
        <f t="shared" si="205"/>
        <v>#N/A</v>
      </c>
      <c r="HN118" s="32">
        <f t="shared" si="206"/>
        <v>0.27607409962841173</v>
      </c>
      <c r="HO118" s="32" t="e">
        <f t="shared" si="207"/>
        <v>#N/A</v>
      </c>
      <c r="HP118" s="32" t="e">
        <f t="shared" si="208"/>
        <v>#N/A</v>
      </c>
      <c r="HQ118" s="32" t="b">
        <f t="shared" si="209"/>
        <v>1</v>
      </c>
      <c r="HR118" s="32" t="b">
        <f t="shared" si="210"/>
        <v>0</v>
      </c>
      <c r="HS118" s="32" t="b">
        <f t="shared" si="211"/>
        <v>0</v>
      </c>
      <c r="HT118" s="32" t="b">
        <f t="shared" si="212"/>
        <v>1</v>
      </c>
      <c r="HU118" s="32">
        <f t="shared" si="213"/>
        <v>0.27607409962841173</v>
      </c>
      <c r="HV118" s="32">
        <f t="shared" si="214"/>
        <v>0.27607409962841173</v>
      </c>
      <c r="HW118" s="32" t="e">
        <f t="shared" si="215"/>
        <v>#N/A</v>
      </c>
      <c r="HX118" s="45" t="str">
        <f t="shared" si="216"/>
        <v/>
      </c>
    </row>
    <row r="119" spans="78:232" x14ac:dyDescent="0.2">
      <c r="BZ119" s="32">
        <f t="shared" si="143"/>
        <v>109</v>
      </c>
      <c r="CA119" s="32">
        <f>Eu_tabel_g[[#This Row],[Indeks]]+1</f>
        <v>110</v>
      </c>
      <c r="CB119" s="32">
        <f t="shared" si="144"/>
        <v>-0.47910578390198655</v>
      </c>
      <c r="CC119" s="32">
        <f t="shared" si="145"/>
        <v>0.35568502205117924</v>
      </c>
      <c r="CD119" s="32" t="e">
        <f t="shared" si="146"/>
        <v>#N/A</v>
      </c>
      <c r="CE119" s="32" t="e">
        <f t="shared" si="147"/>
        <v>#N/A</v>
      </c>
      <c r="CF119" s="32" t="e">
        <f t="shared" si="148"/>
        <v>#N/A</v>
      </c>
      <c r="CG119" s="32" t="b">
        <f t="shared" si="149"/>
        <v>0</v>
      </c>
      <c r="CH119" s="32" t="b">
        <f t="shared" si="150"/>
        <v>1</v>
      </c>
      <c r="CI119" s="32" t="b">
        <f t="shared" si="151"/>
        <v>0</v>
      </c>
      <c r="CJ119" s="32" t="b">
        <f t="shared" si="152"/>
        <v>1</v>
      </c>
      <c r="CK119" s="32">
        <f t="shared" si="217"/>
        <v>0.35568502205117924</v>
      </c>
      <c r="CL119" s="32" t="e">
        <f t="shared" si="153"/>
        <v>#N/A</v>
      </c>
      <c r="CM119" s="32">
        <f t="shared" si="154"/>
        <v>0.35568502205117924</v>
      </c>
      <c r="CN119" s="45" t="str">
        <f t="shared" si="155"/>
        <v/>
      </c>
      <c r="CO119" s="32">
        <f>_xlfn.NORM.DIST(_xlfn.NORM.INV(1-Eu_g_konfidensniveau,0,1)-Eu_tabel_g[[#This Row],[x base]],0,1,TRUE)</f>
        <v>0.12185820522532056</v>
      </c>
      <c r="CP119" s="32">
        <f>1-_xlfn.NORM.DIST(_xlfn.NORM.INV(Eu_g_konfidensniveau,0,1)-Eu_tabel_g[[#This Row],[x base]],0,1,TRUE)</f>
        <v>1.6836768880534203E-2</v>
      </c>
      <c r="CQ119" s="32">
        <f>_xlfn.NORM.DIST(_xlfn.NORM.INV((1-Eu_g_konfidensniveau)/2,0,1)-Eu_tabel_g[[#This Row],[x base]],0,1,TRUE)+1-_xlfn.NORM.DIST(_xlfn.NORM.INV(1-(1-Eu_g_konfidensniveau)/2,0,1)-Eu_tabel_g[[#This Row],[x base]],0,1,TRUE)</f>
        <v>7.6684744285610007E-2</v>
      </c>
      <c r="CR119" s="32" t="e" cm="1">
        <f t="array" ref="CR119">IF($CR$3,INDEX(Eu_tabel_g[[#This Row],[Styrke venstre]:[Styrke tosidet]],CR$7),NA())</f>
        <v>#N/A</v>
      </c>
      <c r="CS119" s="52" t="e">
        <f>Eu_tabel_g[[#This Row],[Falsk positiv
Nulhypotese accepteres
Fejltype 1]]</f>
        <v>#N/A</v>
      </c>
      <c r="CT119" s="52" t="e">
        <f>IF(CHOOSE(CR$7,Eu_tabel_g[[#This Row],[x base]]&gt;0,Eu_tabel_g[[#This Row],[x base]]&lt;0,Eu_tabel_g[[#This Row],[x base]]=0),Eu_tabel_g[[#This Row],[Styrke, aktiv]],NA())</f>
        <v>#N/A</v>
      </c>
      <c r="CU119" s="52" t="e">
        <f>IFERROR(IF($CR$3,Eu_tabel_g[[#This Row],[Styrke, aktiv]],NA()),NA())</f>
        <v>#N/A</v>
      </c>
      <c r="CV119" s="52" t="e">
        <f>IF(ISNA(Eu_tabel_g[[#This Row],[Sand negativ
Nulhypotese afvises
Korrekt]]),NA(),IF($CR$3,1,NA()))</f>
        <v>#N/A</v>
      </c>
      <c r="CW119" s="34" t="str" cm="1">
        <f t="array" ref="CW119">_xlfn.SWITCH(BZ119,_xlfn.IFNA(CU$2,-99),CU$5,_xlfn.IFNA(CU$3,-99),CU$6,_xlfn.IFNA(CU$4,-99),CU$7,"")</f>
        <v/>
      </c>
      <c r="DA119" s="7">
        <f t="shared" si="156"/>
        <v>0.8</v>
      </c>
      <c r="DB119">
        <f>IF(ROW(Styrkeberegning_G[[#This Row],[X base venstre]])=ROW(Styrkeberegning_G[[#Headers],[X base venstre]])+1,DB$7/(DA$7/$B$67),DB118/(DA118/$B$67))</f>
        <v>-2.8015817870135784</v>
      </c>
      <c r="DC119">
        <f>Styrkeberegning_G[[#This Row],[X base venstre]]*-1</f>
        <v>2.8015817870135784</v>
      </c>
      <c r="DN119" s="32">
        <f t="shared" si="157"/>
        <v>109</v>
      </c>
      <c r="DO119" s="32">
        <f t="shared" si="158"/>
        <v>110</v>
      </c>
      <c r="DP119" s="32">
        <f t="shared" si="159"/>
        <v>14.267576014106799</v>
      </c>
      <c r="DQ119" s="32" t="e">
        <f t="shared" si="160"/>
        <v>#N/A</v>
      </c>
      <c r="DR119" s="32" t="e">
        <f t="shared" si="161"/>
        <v>#N/A</v>
      </c>
      <c r="DS119" s="32">
        <f t="shared" si="162"/>
        <v>5.2709557276885192E-2</v>
      </c>
      <c r="DT119" s="32" t="e">
        <f t="shared" si="163"/>
        <v>#N/A</v>
      </c>
      <c r="DU119" s="32" t="b">
        <f t="shared" si="164"/>
        <v>0</v>
      </c>
      <c r="DV119" s="32" t="b">
        <f t="shared" si="165"/>
        <v>1</v>
      </c>
      <c r="DW119" s="32" t="b">
        <f t="shared" si="166"/>
        <v>0</v>
      </c>
      <c r="DX119" s="32" t="b">
        <f t="shared" si="167"/>
        <v>1</v>
      </c>
      <c r="DY119" s="32">
        <f t="shared" si="168"/>
        <v>5.2709557276885192E-2</v>
      </c>
      <c r="DZ119" s="32" t="e">
        <f t="shared" si="169"/>
        <v>#N/A</v>
      </c>
      <c r="EA119" s="32">
        <f t="shared" si="170"/>
        <v>5.2709557276885192E-2</v>
      </c>
      <c r="EB119" s="45" t="str">
        <f t="shared" si="171"/>
        <v/>
      </c>
      <c r="EG119" s="32">
        <f t="shared" si="172"/>
        <v>109</v>
      </c>
      <c r="EH119" s="32">
        <f t="shared" si="173"/>
        <v>110</v>
      </c>
      <c r="EI119" s="32">
        <f t="shared" si="174"/>
        <v>-0.47910578390198655</v>
      </c>
      <c r="EJ119" s="32">
        <f t="shared" si="175"/>
        <v>0.35568502205117924</v>
      </c>
      <c r="EK119" s="32" t="e">
        <f t="shared" si="176"/>
        <v>#N/A</v>
      </c>
      <c r="EL119" s="32" t="e">
        <f t="shared" si="177"/>
        <v>#N/A</v>
      </c>
      <c r="EM119" s="32" t="e">
        <f t="shared" si="178"/>
        <v>#N/A</v>
      </c>
      <c r="EN119" s="32" t="b">
        <f t="shared" si="179"/>
        <v>0</v>
      </c>
      <c r="EO119" s="32" t="b">
        <f t="shared" si="180"/>
        <v>1</v>
      </c>
      <c r="EP119" s="32" t="b">
        <f t="shared" si="181"/>
        <v>0</v>
      </c>
      <c r="EQ119" s="32" t="b">
        <f t="shared" si="182"/>
        <v>1</v>
      </c>
      <c r="ER119" s="32">
        <f t="shared" si="183"/>
        <v>0.35568502205117924</v>
      </c>
      <c r="ES119" s="32" t="e">
        <f t="shared" si="184"/>
        <v>#N/A</v>
      </c>
      <c r="ET119" s="32">
        <f t="shared" si="185"/>
        <v>0.35568502205117924</v>
      </c>
      <c r="EU119" s="45" t="str">
        <f t="shared" si="186"/>
        <v/>
      </c>
      <c r="EV11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9" s="32" t="e" cm="1">
        <f t="array" ref="EY119">IF($CR$3,INDEX(Eu_tabel_a[[#This Row],[Styrke venstre]:[Styrke tosidet]],EY$7),NA())</f>
        <v>#N/A</v>
      </c>
      <c r="EZ119" s="32" t="e">
        <f>IF(EY$3,IF(CHOOSE(EY$7,Eu_tabel_a[[#This Row],[x base]]&gt;0,Eu_tabel_a[[#This Row],[x base]]&lt;0,Eu_tabel_a[[#This Row],[x base]]=0),1,NA()),NA())</f>
        <v>#N/A</v>
      </c>
      <c r="FA119" s="32" t="e">
        <f>IF(CHOOSE(EY$7,Eu_tabel_a[[#This Row],[x base]]&gt;0,Eu_tabel_a[[#This Row],[x base]]&lt;0,Eu_tabel_a[[#This Row],[x base]]=0),Eu_tabel_a[[#This Row],[Styrke, aktiv]],NA())</f>
        <v>#N/A</v>
      </c>
      <c r="FB119" s="32" t="e">
        <f>IFERROR(IF($EY$3,Eu_tabel_a[[#This Row],[Styrke, aktiv]],NA()),NA())</f>
        <v>#N/A</v>
      </c>
      <c r="FC119" s="32" t="e">
        <f>IF(ISNA(Eu_tabel_a[[#This Row],[Sand negativ
Nulhypotese afvises
Korrekt]]),NA(),IF(EY$3,1,NA()))</f>
        <v>#N/A</v>
      </c>
      <c r="FD119" s="33" t="str" cm="1">
        <f t="array" ref="FD119">IFERROR(_xlfn.SWITCH(Eu_tabel_a[[#This Row],[Indeks]],_xlfn.IFNA(FB$2,-99),FB$5,_xlfn.IFNA(FB$3,-99),FB$6,_xlfn.IFNA(FB$4,-99),FB$7,""),"")</f>
        <v/>
      </c>
      <c r="FE119" s="32">
        <f>Eu_tabel_a[[#This Row],[x base]]*SQRT(Eu_a_h0_x*(1-Eu_a_h0_x)/Eu_a_n_x)+Eu_a_h0_x</f>
        <v>0</v>
      </c>
      <c r="FJ119" s="74" t="e">
        <f t="shared" si="130"/>
        <v>#N/A</v>
      </c>
      <c r="FK119" s="82" t="e">
        <f t="shared" si="218"/>
        <v>#DIV/0!</v>
      </c>
      <c r="FL119" s="7" t="e">
        <f t="shared" si="124"/>
        <v>#DIV/0!</v>
      </c>
      <c r="FM119" t="e">
        <f t="shared" si="219"/>
        <v>#DIV/0!</v>
      </c>
      <c r="FN119" s="8" t="e">
        <f t="shared" si="220"/>
        <v>#DIV/0!</v>
      </c>
      <c r="FO119" s="8" t="e">
        <f t="shared" si="221"/>
        <v>#DIV/0!</v>
      </c>
      <c r="FP119" s="81" t="e">
        <f t="shared" si="222"/>
        <v>#DIV/0!</v>
      </c>
      <c r="FQ119" s="74" t="e">
        <f t="shared" ca="1" si="125"/>
        <v>#N/A</v>
      </c>
      <c r="FR119" s="82" t="e" vm="3">
        <f t="shared" ca="1" si="131"/>
        <v>#VALUE!</v>
      </c>
      <c r="FS119" s="7" t="e" vm="3">
        <f t="shared" ca="1" si="126"/>
        <v>#VALUE!</v>
      </c>
      <c r="FT119" t="e" vm="3">
        <f t="shared" ca="1" si="120"/>
        <v>#VALUE!</v>
      </c>
      <c r="FU119" s="8" t="e" vm="3">
        <f t="shared" ca="1" si="121"/>
        <v>#VALUE!</v>
      </c>
      <c r="FV119" s="8" t="e" vm="3">
        <f t="shared" ca="1" si="122"/>
        <v>#VALUE!</v>
      </c>
      <c r="FW119" s="81" t="e" vm="3">
        <f t="shared" ca="1" si="123"/>
        <v>#VALUE!</v>
      </c>
      <c r="FX119" s="74" t="e">
        <f t="shared" si="127"/>
        <v>#N/A</v>
      </c>
      <c r="FY119" s="82" t="e">
        <f t="shared" si="132"/>
        <v>#N/A</v>
      </c>
      <c r="FZ119" s="7" t="e">
        <f t="shared" si="128"/>
        <v>#N/A</v>
      </c>
      <c r="GA119" t="e">
        <f t="shared" si="133"/>
        <v>#N/A</v>
      </c>
      <c r="GB119" s="8" t="e">
        <f t="shared" si="134"/>
        <v>#N/A</v>
      </c>
      <c r="GC119" s="8" t="e">
        <f t="shared" si="135"/>
        <v>#N/A</v>
      </c>
      <c r="GD119" s="81" t="e">
        <f t="shared" si="136"/>
        <v>#N/A</v>
      </c>
      <c r="GE119" s="74" t="e">
        <f t="shared" si="137"/>
        <v>#N/A</v>
      </c>
      <c r="GF119" s="82" t="e">
        <f t="shared" si="138"/>
        <v>#N/A</v>
      </c>
      <c r="GG119" s="7" t="e">
        <f t="shared" si="129"/>
        <v>#N/A</v>
      </c>
      <c r="GH119" t="e">
        <f t="shared" si="139"/>
        <v>#N/A</v>
      </c>
      <c r="GI119" s="8" t="e">
        <f t="shared" si="140"/>
        <v>#N/A</v>
      </c>
      <c r="GJ119" s="8" t="e">
        <f t="shared" si="141"/>
        <v>#N/A</v>
      </c>
      <c r="GK119" s="81" t="e">
        <f t="shared" si="142"/>
        <v>#N/A</v>
      </c>
      <c r="GL119" s="81"/>
      <c r="GM119" s="81"/>
      <c r="GP119" s="32">
        <f t="shared" si="187"/>
        <v>109</v>
      </c>
      <c r="GQ119" s="32">
        <f t="shared" si="188"/>
        <v>110</v>
      </c>
      <c r="GR119" s="32">
        <f t="shared" si="189"/>
        <v>-0.47910578390198655</v>
      </c>
      <c r="GS119" s="32">
        <f t="shared" si="190"/>
        <v>0.35568502205117924</v>
      </c>
      <c r="GT119" s="32" t="e">
        <f t="shared" si="191"/>
        <v>#N/A</v>
      </c>
      <c r="GU119" s="32" t="e">
        <f t="shared" si="192"/>
        <v>#N/A</v>
      </c>
      <c r="GV119" s="32" t="e">
        <f t="shared" si="193"/>
        <v>#N/A</v>
      </c>
      <c r="GW119" s="32" t="b">
        <f t="shared" si="194"/>
        <v>0</v>
      </c>
      <c r="GX119" s="32" t="b">
        <f t="shared" si="195"/>
        <v>1</v>
      </c>
      <c r="GY119" s="32" t="b">
        <f t="shared" si="196"/>
        <v>0</v>
      </c>
      <c r="GZ119" s="32" t="b">
        <f t="shared" si="197"/>
        <v>1</v>
      </c>
      <c r="HA119" s="32">
        <f t="shared" si="198"/>
        <v>0.35568502205117924</v>
      </c>
      <c r="HB119" s="32" t="e">
        <f t="shared" si="199"/>
        <v>#N/A</v>
      </c>
      <c r="HC119" s="32">
        <f t="shared" si="200"/>
        <v>0.35568502205117924</v>
      </c>
      <c r="HD119" s="45" t="str">
        <f t="shared" si="201"/>
        <v/>
      </c>
      <c r="HJ119" s="32">
        <f t="shared" si="202"/>
        <v>109</v>
      </c>
      <c r="HK119" s="32">
        <f t="shared" si="203"/>
        <v>110</v>
      </c>
      <c r="HL119" s="32">
        <f t="shared" si="204"/>
        <v>-0.74190536878113633</v>
      </c>
      <c r="HM119" s="32" t="e">
        <f t="shared" si="205"/>
        <v>#N/A</v>
      </c>
      <c r="HN119" s="32">
        <f t="shared" si="206"/>
        <v>0.28441859146828474</v>
      </c>
      <c r="HO119" s="32" t="e">
        <f t="shared" si="207"/>
        <v>#N/A</v>
      </c>
      <c r="HP119" s="32" t="e">
        <f t="shared" si="208"/>
        <v>#N/A</v>
      </c>
      <c r="HQ119" s="32" t="b">
        <f t="shared" si="209"/>
        <v>1</v>
      </c>
      <c r="HR119" s="32" t="b">
        <f t="shared" si="210"/>
        <v>0</v>
      </c>
      <c r="HS119" s="32" t="b">
        <f t="shared" si="211"/>
        <v>0</v>
      </c>
      <c r="HT119" s="32" t="b">
        <f t="shared" si="212"/>
        <v>1</v>
      </c>
      <c r="HU119" s="32">
        <f t="shared" si="213"/>
        <v>0.28441859146828474</v>
      </c>
      <c r="HV119" s="32">
        <f t="shared" si="214"/>
        <v>0.28441859146828474</v>
      </c>
      <c r="HW119" s="32" t="e">
        <f t="shared" si="215"/>
        <v>#N/A</v>
      </c>
      <c r="HX119" s="45" t="str">
        <f t="shared" si="216"/>
        <v/>
      </c>
    </row>
    <row r="120" spans="78:232" x14ac:dyDescent="0.2">
      <c r="BZ120" s="32">
        <f t="shared" si="143"/>
        <v>110</v>
      </c>
      <c r="CA120" s="32">
        <f>Eu_tabel_g[[#This Row],[Indeks]]+1</f>
        <v>111</v>
      </c>
      <c r="CB120" s="32">
        <f t="shared" si="144"/>
        <v>-0.45515049470688718</v>
      </c>
      <c r="CC120" s="32">
        <f t="shared" si="145"/>
        <v>0.35968755771017369</v>
      </c>
      <c r="CD120" s="32" t="e">
        <f t="shared" si="146"/>
        <v>#N/A</v>
      </c>
      <c r="CE120" s="32" t="e">
        <f t="shared" si="147"/>
        <v>#N/A</v>
      </c>
      <c r="CF120" s="32" t="e">
        <f t="shared" si="148"/>
        <v>#N/A</v>
      </c>
      <c r="CG120" s="32" t="b">
        <f t="shared" si="149"/>
        <v>0</v>
      </c>
      <c r="CH120" s="32" t="b">
        <f t="shared" si="150"/>
        <v>1</v>
      </c>
      <c r="CI120" s="32" t="b">
        <f t="shared" si="151"/>
        <v>0</v>
      </c>
      <c r="CJ120" s="32" t="b">
        <f t="shared" si="152"/>
        <v>1</v>
      </c>
      <c r="CK120" s="32">
        <f t="shared" si="217"/>
        <v>0.35968755771017369</v>
      </c>
      <c r="CL120" s="32" t="e">
        <f t="shared" si="153"/>
        <v>#N/A</v>
      </c>
      <c r="CM120" s="32">
        <f t="shared" si="154"/>
        <v>0.35968755771017369</v>
      </c>
      <c r="CN120" s="45" t="str">
        <f t="shared" si="155"/>
        <v/>
      </c>
      <c r="CO120" s="32">
        <f>_xlfn.NORM.DIST(_xlfn.NORM.INV(1-Eu_g_konfidensniveau,0,1)-Eu_tabel_g[[#This Row],[x base]],0,1,TRUE)</f>
        <v>0.11708154692792394</v>
      </c>
      <c r="CP120" s="32">
        <f>1-_xlfn.NORM.DIST(_xlfn.NORM.INV(Eu_g_konfidensniveau,0,1)-Eu_tabel_g[[#This Row],[x base]],0,1,TRUE)</f>
        <v>1.7864239278245098E-2</v>
      </c>
      <c r="CQ120" s="32">
        <f>_xlfn.NORM.DIST(_xlfn.NORM.INV((1-Eu_g_konfidensniveau)/2,0,1)-Eu_tabel_g[[#This Row],[x base]],0,1,TRUE)+1-_xlfn.NORM.DIST(_xlfn.NORM.INV(1-(1-Eu_g_konfidensniveau)/2,0,1)-Eu_tabel_g[[#This Row],[x base]],0,1,TRUE)</f>
        <v>7.4051149695403939E-2</v>
      </c>
      <c r="CR120" s="32" t="e" cm="1">
        <f t="array" ref="CR120">IF($CR$3,INDEX(Eu_tabel_g[[#This Row],[Styrke venstre]:[Styrke tosidet]],CR$7),NA())</f>
        <v>#N/A</v>
      </c>
      <c r="CS120" s="52" t="e">
        <f>Eu_tabel_g[[#This Row],[Falsk positiv
Nulhypotese accepteres
Fejltype 1]]</f>
        <v>#N/A</v>
      </c>
      <c r="CT120" s="52" t="e">
        <f>IF(CHOOSE(CR$7,Eu_tabel_g[[#This Row],[x base]]&gt;0,Eu_tabel_g[[#This Row],[x base]]&lt;0,Eu_tabel_g[[#This Row],[x base]]=0),Eu_tabel_g[[#This Row],[Styrke, aktiv]],NA())</f>
        <v>#N/A</v>
      </c>
      <c r="CU120" s="52" t="e">
        <f>IFERROR(IF($CR$3,Eu_tabel_g[[#This Row],[Styrke, aktiv]],NA()),NA())</f>
        <v>#N/A</v>
      </c>
      <c r="CV120" s="52" t="e">
        <f>IF(ISNA(Eu_tabel_g[[#This Row],[Sand negativ
Nulhypotese afvises
Korrekt]]),NA(),IF($CR$3,1,NA()))</f>
        <v>#N/A</v>
      </c>
      <c r="CW120" s="34" t="str" cm="1">
        <f t="array" ref="CW120">_xlfn.SWITCH(BZ120,_xlfn.IFNA(CU$2,-99),CU$5,_xlfn.IFNA(CU$3,-99),CU$6,_xlfn.IFNA(CU$4,-99),CU$7,"")</f>
        <v/>
      </c>
      <c r="DA120" s="7">
        <f t="shared" si="156"/>
        <v>0.8</v>
      </c>
      <c r="DB120">
        <f>IF(ROW(Styrkeberegning_G[[#This Row],[X base venstre]])=ROW(Styrkeberegning_G[[#Headers],[X base venstre]])+1,DB$7/(DA$7/$B$67),DB119/(DA119/$B$67))</f>
        <v>-2.8015817870135784</v>
      </c>
      <c r="DC120">
        <f>Styrkeberegning_G[[#This Row],[X base venstre]]*-1</f>
        <v>2.8015817870135784</v>
      </c>
      <c r="DN120" s="32">
        <f t="shared" si="157"/>
        <v>110</v>
      </c>
      <c r="DO120" s="32">
        <f t="shared" si="158"/>
        <v>111</v>
      </c>
      <c r="DP120" s="32">
        <f t="shared" si="159"/>
        <v>14.381646870523801</v>
      </c>
      <c r="DQ120" s="32" t="e">
        <f t="shared" si="160"/>
        <v>#N/A</v>
      </c>
      <c r="DR120" s="32" t="e">
        <f t="shared" si="161"/>
        <v>#N/A</v>
      </c>
      <c r="DS120" s="32">
        <f t="shared" si="162"/>
        <v>5.1603851008559944E-2</v>
      </c>
      <c r="DT120" s="32" t="e">
        <f t="shared" si="163"/>
        <v>#N/A</v>
      </c>
      <c r="DU120" s="32" t="b">
        <f t="shared" si="164"/>
        <v>0</v>
      </c>
      <c r="DV120" s="32" t="b">
        <f t="shared" si="165"/>
        <v>1</v>
      </c>
      <c r="DW120" s="32" t="b">
        <f t="shared" si="166"/>
        <v>0</v>
      </c>
      <c r="DX120" s="32" t="b">
        <f t="shared" si="167"/>
        <v>1</v>
      </c>
      <c r="DY120" s="32">
        <f t="shared" si="168"/>
        <v>5.1603851008559944E-2</v>
      </c>
      <c r="DZ120" s="32" t="e">
        <f t="shared" si="169"/>
        <v>#N/A</v>
      </c>
      <c r="EA120" s="32">
        <f t="shared" si="170"/>
        <v>5.1603851008559944E-2</v>
      </c>
      <c r="EB120" s="45" t="str">
        <f t="shared" si="171"/>
        <v/>
      </c>
      <c r="EG120" s="32">
        <f t="shared" si="172"/>
        <v>110</v>
      </c>
      <c r="EH120" s="32">
        <f t="shared" si="173"/>
        <v>111</v>
      </c>
      <c r="EI120" s="32">
        <f t="shared" si="174"/>
        <v>-0.45515049470688718</v>
      </c>
      <c r="EJ120" s="32">
        <f t="shared" si="175"/>
        <v>0.35968755771017369</v>
      </c>
      <c r="EK120" s="32" t="e">
        <f t="shared" si="176"/>
        <v>#N/A</v>
      </c>
      <c r="EL120" s="32" t="e">
        <f t="shared" si="177"/>
        <v>#N/A</v>
      </c>
      <c r="EM120" s="32" t="e">
        <f t="shared" si="178"/>
        <v>#N/A</v>
      </c>
      <c r="EN120" s="32" t="b">
        <f t="shared" si="179"/>
        <v>0</v>
      </c>
      <c r="EO120" s="32" t="b">
        <f t="shared" si="180"/>
        <v>1</v>
      </c>
      <c r="EP120" s="32" t="b">
        <f t="shared" si="181"/>
        <v>0</v>
      </c>
      <c r="EQ120" s="32" t="b">
        <f t="shared" si="182"/>
        <v>1</v>
      </c>
      <c r="ER120" s="32">
        <f t="shared" si="183"/>
        <v>0.35968755771017369</v>
      </c>
      <c r="ES120" s="32" t="e">
        <f t="shared" si="184"/>
        <v>#N/A</v>
      </c>
      <c r="ET120" s="32">
        <f t="shared" si="185"/>
        <v>0.35968755771017369</v>
      </c>
      <c r="EU120" s="45" t="str">
        <f t="shared" si="186"/>
        <v/>
      </c>
      <c r="EV12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0" s="32" t="e" cm="1">
        <f t="array" ref="EY120">IF($CR$3,INDEX(Eu_tabel_a[[#This Row],[Styrke venstre]:[Styrke tosidet]],EY$7),NA())</f>
        <v>#N/A</v>
      </c>
      <c r="EZ120" s="32" t="e">
        <f>IF(EY$3,IF(CHOOSE(EY$7,Eu_tabel_a[[#This Row],[x base]]&gt;0,Eu_tabel_a[[#This Row],[x base]]&lt;0,Eu_tabel_a[[#This Row],[x base]]=0),1,NA()),NA())</f>
        <v>#N/A</v>
      </c>
      <c r="FA120" s="32" t="e">
        <f>IF(CHOOSE(EY$7,Eu_tabel_a[[#This Row],[x base]]&gt;0,Eu_tabel_a[[#This Row],[x base]]&lt;0,Eu_tabel_a[[#This Row],[x base]]=0),Eu_tabel_a[[#This Row],[Styrke, aktiv]],NA())</f>
        <v>#N/A</v>
      </c>
      <c r="FB120" s="32" t="e">
        <f>IFERROR(IF($EY$3,Eu_tabel_a[[#This Row],[Styrke, aktiv]],NA()),NA())</f>
        <v>#N/A</v>
      </c>
      <c r="FC120" s="32" t="e">
        <f>IF(ISNA(Eu_tabel_a[[#This Row],[Sand negativ
Nulhypotese afvises
Korrekt]]),NA(),IF(EY$3,1,NA()))</f>
        <v>#N/A</v>
      </c>
      <c r="FD120" s="33" t="str" cm="1">
        <f t="array" ref="FD120">IFERROR(_xlfn.SWITCH(Eu_tabel_a[[#This Row],[Indeks]],_xlfn.IFNA(FB$2,-99),FB$5,_xlfn.IFNA(FB$3,-99),FB$6,_xlfn.IFNA(FB$4,-99),FB$7,""),"")</f>
        <v/>
      </c>
      <c r="FE120" s="32">
        <f>Eu_tabel_a[[#This Row],[x base]]*SQRT(Eu_a_h0_x*(1-Eu_a_h0_x)/Eu_a_n_x)+Eu_a_h0_x</f>
        <v>0</v>
      </c>
      <c r="FJ120" s="74" t="e">
        <f t="shared" si="130"/>
        <v>#N/A</v>
      </c>
      <c r="FK120" s="82" t="e">
        <f t="shared" si="218"/>
        <v>#DIV/0!</v>
      </c>
      <c r="FL120" s="7" t="e">
        <f t="shared" si="124"/>
        <v>#DIV/0!</v>
      </c>
      <c r="FM120" t="e">
        <f t="shared" si="219"/>
        <v>#DIV/0!</v>
      </c>
      <c r="FN120" s="8" t="e">
        <f t="shared" si="220"/>
        <v>#DIV/0!</v>
      </c>
      <c r="FO120" s="8" t="e">
        <f t="shared" si="221"/>
        <v>#DIV/0!</v>
      </c>
      <c r="FP120" s="81" t="e">
        <f t="shared" si="222"/>
        <v>#DIV/0!</v>
      </c>
      <c r="FQ120" s="74" t="e">
        <f t="shared" ca="1" si="125"/>
        <v>#N/A</v>
      </c>
      <c r="FR120" s="82" t="e" vm="3">
        <f t="shared" ca="1" si="131"/>
        <v>#VALUE!</v>
      </c>
      <c r="FS120" s="7" t="e" vm="3">
        <f t="shared" ca="1" si="126"/>
        <v>#VALUE!</v>
      </c>
      <c r="FT120" t="e" vm="3">
        <f t="shared" ca="1" si="120"/>
        <v>#VALUE!</v>
      </c>
      <c r="FU120" s="8" t="e" vm="3">
        <f t="shared" ca="1" si="121"/>
        <v>#VALUE!</v>
      </c>
      <c r="FV120" s="8" t="e" vm="3">
        <f t="shared" ca="1" si="122"/>
        <v>#VALUE!</v>
      </c>
      <c r="FW120" s="81" t="e" vm="3">
        <f t="shared" ca="1" si="123"/>
        <v>#VALUE!</v>
      </c>
      <c r="FX120" s="74" t="e">
        <f t="shared" si="127"/>
        <v>#N/A</v>
      </c>
      <c r="FY120" s="82" t="e">
        <f t="shared" si="132"/>
        <v>#N/A</v>
      </c>
      <c r="FZ120" s="7" t="e">
        <f t="shared" si="128"/>
        <v>#N/A</v>
      </c>
      <c r="GA120" t="e">
        <f t="shared" si="133"/>
        <v>#N/A</v>
      </c>
      <c r="GB120" s="8" t="e">
        <f t="shared" si="134"/>
        <v>#N/A</v>
      </c>
      <c r="GC120" s="8" t="e">
        <f t="shared" si="135"/>
        <v>#N/A</v>
      </c>
      <c r="GD120" s="81" t="e">
        <f t="shared" si="136"/>
        <v>#N/A</v>
      </c>
      <c r="GE120" s="74" t="e">
        <f t="shared" si="137"/>
        <v>#N/A</v>
      </c>
      <c r="GF120" s="82" t="e">
        <f t="shared" si="138"/>
        <v>#N/A</v>
      </c>
      <c r="GG120" s="7" t="e">
        <f t="shared" si="129"/>
        <v>#N/A</v>
      </c>
      <c r="GH120" t="e">
        <f t="shared" si="139"/>
        <v>#N/A</v>
      </c>
      <c r="GI120" s="8" t="e">
        <f t="shared" si="140"/>
        <v>#N/A</v>
      </c>
      <c r="GJ120" s="8" t="e">
        <f t="shared" si="141"/>
        <v>#N/A</v>
      </c>
      <c r="GK120" s="81" t="e">
        <f t="shared" si="142"/>
        <v>#N/A</v>
      </c>
      <c r="GL120" s="81"/>
      <c r="GM120" s="81"/>
      <c r="GP120" s="32">
        <f t="shared" si="187"/>
        <v>110</v>
      </c>
      <c r="GQ120" s="32">
        <f t="shared" si="188"/>
        <v>111</v>
      </c>
      <c r="GR120" s="32">
        <f t="shared" si="189"/>
        <v>-0.45515049470688718</v>
      </c>
      <c r="GS120" s="32">
        <f t="shared" si="190"/>
        <v>0.35968755771017369</v>
      </c>
      <c r="GT120" s="32" t="e">
        <f t="shared" si="191"/>
        <v>#N/A</v>
      </c>
      <c r="GU120" s="32" t="e">
        <f t="shared" si="192"/>
        <v>#N/A</v>
      </c>
      <c r="GV120" s="32" t="e">
        <f t="shared" si="193"/>
        <v>#N/A</v>
      </c>
      <c r="GW120" s="32" t="b">
        <f t="shared" si="194"/>
        <v>0</v>
      </c>
      <c r="GX120" s="32" t="b">
        <f t="shared" si="195"/>
        <v>1</v>
      </c>
      <c r="GY120" s="32" t="b">
        <f t="shared" si="196"/>
        <v>0</v>
      </c>
      <c r="GZ120" s="32" t="b">
        <f t="shared" si="197"/>
        <v>1</v>
      </c>
      <c r="HA120" s="32">
        <f t="shared" si="198"/>
        <v>0.35968755771017369</v>
      </c>
      <c r="HB120" s="32" t="e">
        <f t="shared" si="199"/>
        <v>#N/A</v>
      </c>
      <c r="HC120" s="32">
        <f t="shared" si="200"/>
        <v>0.35968755771017369</v>
      </c>
      <c r="HD120" s="45" t="str">
        <f t="shared" si="201"/>
        <v/>
      </c>
      <c r="HJ120" s="32">
        <f t="shared" si="202"/>
        <v>110</v>
      </c>
      <c r="HK120" s="32">
        <f t="shared" si="203"/>
        <v>111</v>
      </c>
      <c r="HL120" s="32">
        <f t="shared" si="204"/>
        <v>-0.70481010034207969</v>
      </c>
      <c r="HM120" s="32" t="e">
        <f t="shared" si="205"/>
        <v>#N/A</v>
      </c>
      <c r="HN120" s="32">
        <f t="shared" si="206"/>
        <v>0.29265061827805422</v>
      </c>
      <c r="HO120" s="32" t="e">
        <f t="shared" si="207"/>
        <v>#N/A</v>
      </c>
      <c r="HP120" s="32" t="e">
        <f t="shared" si="208"/>
        <v>#N/A</v>
      </c>
      <c r="HQ120" s="32" t="b">
        <f t="shared" si="209"/>
        <v>1</v>
      </c>
      <c r="HR120" s="32" t="b">
        <f t="shared" si="210"/>
        <v>0</v>
      </c>
      <c r="HS120" s="32" t="b">
        <f t="shared" si="211"/>
        <v>0</v>
      </c>
      <c r="HT120" s="32" t="b">
        <f t="shared" si="212"/>
        <v>1</v>
      </c>
      <c r="HU120" s="32">
        <f t="shared" si="213"/>
        <v>0.29265061827805422</v>
      </c>
      <c r="HV120" s="32">
        <f t="shared" si="214"/>
        <v>0.29265061827805422</v>
      </c>
      <c r="HW120" s="32" t="e">
        <f t="shared" si="215"/>
        <v>#N/A</v>
      </c>
      <c r="HX120" s="45" t="str">
        <f t="shared" si="216"/>
        <v/>
      </c>
    </row>
    <row r="121" spans="78:232" x14ac:dyDescent="0.2">
      <c r="BZ121" s="32">
        <f t="shared" si="143"/>
        <v>111</v>
      </c>
      <c r="CA121" s="32">
        <f>Eu_tabel_g[[#This Row],[Indeks]]+1</f>
        <v>112</v>
      </c>
      <c r="CB121" s="32">
        <f t="shared" si="144"/>
        <v>-0.4311952055117878</v>
      </c>
      <c r="CC121" s="32">
        <f t="shared" si="145"/>
        <v>0.36352646237304004</v>
      </c>
      <c r="CD121" s="32" t="e">
        <f t="shared" si="146"/>
        <v>#N/A</v>
      </c>
      <c r="CE121" s="32" t="e">
        <f t="shared" si="147"/>
        <v>#N/A</v>
      </c>
      <c r="CF121" s="32" t="e">
        <f t="shared" si="148"/>
        <v>#N/A</v>
      </c>
      <c r="CG121" s="32" t="b">
        <f t="shared" si="149"/>
        <v>0</v>
      </c>
      <c r="CH121" s="32" t="b">
        <f t="shared" si="150"/>
        <v>1</v>
      </c>
      <c r="CI121" s="32" t="b">
        <f t="shared" si="151"/>
        <v>0</v>
      </c>
      <c r="CJ121" s="32" t="b">
        <f t="shared" si="152"/>
        <v>1</v>
      </c>
      <c r="CK121" s="32">
        <f t="shared" si="217"/>
        <v>0.36352646237304004</v>
      </c>
      <c r="CL121" s="32" t="e">
        <f t="shared" si="153"/>
        <v>#N/A</v>
      </c>
      <c r="CM121" s="32">
        <f t="shared" si="154"/>
        <v>0.36352646237304004</v>
      </c>
      <c r="CN121" s="45" t="str">
        <f t="shared" si="155"/>
        <v/>
      </c>
      <c r="CO121" s="32">
        <f>_xlfn.NORM.DIST(_xlfn.NORM.INV(1-Eu_g_konfidensniveau,0,1)-Eu_tabel_g[[#This Row],[x base]],0,1,TRUE)</f>
        <v>0.11243909396981623</v>
      </c>
      <c r="CP121" s="32">
        <f>1-_xlfn.NORM.DIST(_xlfn.NORM.INV(Eu_g_konfidensniveau,0,1)-Eu_tabel_g[[#This Row],[x base]],0,1,TRUE)</f>
        <v>1.894471740966297E-2</v>
      </c>
      <c r="CQ121" s="32">
        <f>_xlfn.NORM.DIST(_xlfn.NORM.INV((1-Eu_g_konfidensniveau)/2,0,1)-Eu_tabel_g[[#This Row],[x base]],0,1,TRUE)+1-_xlfn.NORM.DIST(_xlfn.NORM.INV(1-(1-Eu_g_konfidensniveau)/2,0,1)-Eu_tabel_g[[#This Row],[x base]],0,1,TRUE)</f>
        <v>7.1558521831954436E-2</v>
      </c>
      <c r="CR121" s="32" t="e" cm="1">
        <f t="array" ref="CR121">IF($CR$3,INDEX(Eu_tabel_g[[#This Row],[Styrke venstre]:[Styrke tosidet]],CR$7),NA())</f>
        <v>#N/A</v>
      </c>
      <c r="CS121" s="52" t="e">
        <f>Eu_tabel_g[[#This Row],[Falsk positiv
Nulhypotese accepteres
Fejltype 1]]</f>
        <v>#N/A</v>
      </c>
      <c r="CT121" s="52" t="e">
        <f>IF(CHOOSE(CR$7,Eu_tabel_g[[#This Row],[x base]]&gt;0,Eu_tabel_g[[#This Row],[x base]]&lt;0,Eu_tabel_g[[#This Row],[x base]]=0),Eu_tabel_g[[#This Row],[Styrke, aktiv]],NA())</f>
        <v>#N/A</v>
      </c>
      <c r="CU121" s="52" t="e">
        <f>IFERROR(IF($CR$3,Eu_tabel_g[[#This Row],[Styrke, aktiv]],NA()),NA())</f>
        <v>#N/A</v>
      </c>
      <c r="CV121" s="52" t="e">
        <f>IF(ISNA(Eu_tabel_g[[#This Row],[Sand negativ
Nulhypotese afvises
Korrekt]]),NA(),IF($CR$3,1,NA()))</f>
        <v>#N/A</v>
      </c>
      <c r="CW121" s="34" t="str" cm="1">
        <f t="array" ref="CW121">_xlfn.SWITCH(BZ121,_xlfn.IFNA(CU$2,-99),CU$5,_xlfn.IFNA(CU$3,-99),CU$6,_xlfn.IFNA(CU$4,-99),CU$7,"")</f>
        <v/>
      </c>
      <c r="DA121" s="7">
        <f t="shared" si="156"/>
        <v>0.8</v>
      </c>
      <c r="DB121">
        <f>IF(ROW(Styrkeberegning_G[[#This Row],[X base venstre]])=ROW(Styrkeberegning_G[[#Headers],[X base venstre]])+1,DB$7/(DA$7/$B$67),DB120/(DA120/$B$67))</f>
        <v>-2.8015817870135784</v>
      </c>
      <c r="DC121">
        <f>Styrkeberegning_G[[#This Row],[X base venstre]]*-1</f>
        <v>2.8015817870135784</v>
      </c>
      <c r="DN121" s="32">
        <f t="shared" si="157"/>
        <v>111</v>
      </c>
      <c r="DO121" s="32">
        <f t="shared" si="158"/>
        <v>112</v>
      </c>
      <c r="DP121" s="32">
        <f t="shared" si="159"/>
        <v>14.495717726940802</v>
      </c>
      <c r="DQ121" s="32" t="e">
        <f t="shared" si="160"/>
        <v>#N/A</v>
      </c>
      <c r="DR121" s="32" t="e">
        <f t="shared" si="161"/>
        <v>#N/A</v>
      </c>
      <c r="DS121" s="32">
        <f t="shared" si="162"/>
        <v>5.0507038340871085E-2</v>
      </c>
      <c r="DT121" s="32" t="e">
        <f t="shared" si="163"/>
        <v>#N/A</v>
      </c>
      <c r="DU121" s="32" t="b">
        <f t="shared" si="164"/>
        <v>0</v>
      </c>
      <c r="DV121" s="32" t="b">
        <f t="shared" si="165"/>
        <v>1</v>
      </c>
      <c r="DW121" s="32" t="b">
        <f t="shared" si="166"/>
        <v>0</v>
      </c>
      <c r="DX121" s="32" t="b">
        <f t="shared" si="167"/>
        <v>1</v>
      </c>
      <c r="DY121" s="32">
        <f t="shared" si="168"/>
        <v>5.0507038340871085E-2</v>
      </c>
      <c r="DZ121" s="32" t="e">
        <f t="shared" si="169"/>
        <v>#N/A</v>
      </c>
      <c r="EA121" s="32">
        <f t="shared" si="170"/>
        <v>5.0507038340871085E-2</v>
      </c>
      <c r="EB121" s="45" t="str">
        <f t="shared" si="171"/>
        <v/>
      </c>
      <c r="EG121" s="32">
        <f t="shared" si="172"/>
        <v>111</v>
      </c>
      <c r="EH121" s="32">
        <f t="shared" si="173"/>
        <v>112</v>
      </c>
      <c r="EI121" s="32">
        <f t="shared" si="174"/>
        <v>-0.4311952055117878</v>
      </c>
      <c r="EJ121" s="32">
        <f t="shared" si="175"/>
        <v>0.36352646237304004</v>
      </c>
      <c r="EK121" s="32" t="e">
        <f t="shared" si="176"/>
        <v>#N/A</v>
      </c>
      <c r="EL121" s="32" t="e">
        <f t="shared" si="177"/>
        <v>#N/A</v>
      </c>
      <c r="EM121" s="32" t="e">
        <f t="shared" si="178"/>
        <v>#N/A</v>
      </c>
      <c r="EN121" s="32" t="b">
        <f t="shared" si="179"/>
        <v>0</v>
      </c>
      <c r="EO121" s="32" t="b">
        <f t="shared" si="180"/>
        <v>1</v>
      </c>
      <c r="EP121" s="32" t="b">
        <f t="shared" si="181"/>
        <v>0</v>
      </c>
      <c r="EQ121" s="32" t="b">
        <f t="shared" si="182"/>
        <v>1</v>
      </c>
      <c r="ER121" s="32">
        <f t="shared" si="183"/>
        <v>0.36352646237304004</v>
      </c>
      <c r="ES121" s="32" t="e">
        <f t="shared" si="184"/>
        <v>#N/A</v>
      </c>
      <c r="ET121" s="32">
        <f t="shared" si="185"/>
        <v>0.36352646237304004</v>
      </c>
      <c r="EU121" s="45" t="str">
        <f t="shared" si="186"/>
        <v/>
      </c>
      <c r="EV12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1" s="32" t="e" cm="1">
        <f t="array" ref="EY121">IF($CR$3,INDEX(Eu_tabel_a[[#This Row],[Styrke venstre]:[Styrke tosidet]],EY$7),NA())</f>
        <v>#N/A</v>
      </c>
      <c r="EZ121" s="32" t="e">
        <f>IF(EY$3,IF(CHOOSE(EY$7,Eu_tabel_a[[#This Row],[x base]]&gt;0,Eu_tabel_a[[#This Row],[x base]]&lt;0,Eu_tabel_a[[#This Row],[x base]]=0),1,NA()),NA())</f>
        <v>#N/A</v>
      </c>
      <c r="FA121" s="32" t="e">
        <f>IF(CHOOSE(EY$7,Eu_tabel_a[[#This Row],[x base]]&gt;0,Eu_tabel_a[[#This Row],[x base]]&lt;0,Eu_tabel_a[[#This Row],[x base]]=0),Eu_tabel_a[[#This Row],[Styrke, aktiv]],NA())</f>
        <v>#N/A</v>
      </c>
      <c r="FB121" s="32" t="e">
        <f>IFERROR(IF($EY$3,Eu_tabel_a[[#This Row],[Styrke, aktiv]],NA()),NA())</f>
        <v>#N/A</v>
      </c>
      <c r="FC121" s="32" t="e">
        <f>IF(ISNA(Eu_tabel_a[[#This Row],[Sand negativ
Nulhypotese afvises
Korrekt]]),NA(),IF(EY$3,1,NA()))</f>
        <v>#N/A</v>
      </c>
      <c r="FD121" s="33" t="str" cm="1">
        <f t="array" ref="FD121">IFERROR(_xlfn.SWITCH(Eu_tabel_a[[#This Row],[Indeks]],_xlfn.IFNA(FB$2,-99),FB$5,_xlfn.IFNA(FB$3,-99),FB$6,_xlfn.IFNA(FB$4,-99),FB$7,""),"")</f>
        <v/>
      </c>
      <c r="FE121" s="32">
        <f>Eu_tabel_a[[#This Row],[x base]]*SQRT(Eu_a_h0_x*(1-Eu_a_h0_x)/Eu_a_n_x)+Eu_a_h0_x</f>
        <v>0</v>
      </c>
      <c r="FJ121" s="74" t="e">
        <f t="shared" si="130"/>
        <v>#N/A</v>
      </c>
      <c r="FK121" s="82" t="e">
        <f t="shared" si="218"/>
        <v>#DIV/0!</v>
      </c>
      <c r="FL121" s="7" t="e">
        <f t="shared" si="124"/>
        <v>#DIV/0!</v>
      </c>
      <c r="FM121" t="e">
        <f t="shared" si="219"/>
        <v>#DIV/0!</v>
      </c>
      <c r="FN121" s="8" t="e">
        <f t="shared" si="220"/>
        <v>#DIV/0!</v>
      </c>
      <c r="FO121" s="8" t="e">
        <f t="shared" si="221"/>
        <v>#DIV/0!</v>
      </c>
      <c r="FP121" s="81" t="e">
        <f t="shared" si="222"/>
        <v>#DIV/0!</v>
      </c>
      <c r="FQ121" s="74" t="e">
        <f t="shared" ca="1" si="125"/>
        <v>#N/A</v>
      </c>
      <c r="FR121" s="82" t="e" vm="3">
        <f t="shared" ca="1" si="131"/>
        <v>#VALUE!</v>
      </c>
      <c r="FS121" s="7" t="e" vm="3">
        <f t="shared" ca="1" si="126"/>
        <v>#VALUE!</v>
      </c>
      <c r="FT121" t="e" vm="3">
        <f t="shared" ca="1" si="120"/>
        <v>#VALUE!</v>
      </c>
      <c r="FU121" s="8" t="e" vm="3">
        <f t="shared" ca="1" si="121"/>
        <v>#VALUE!</v>
      </c>
      <c r="FV121" s="8" t="e" vm="3">
        <f t="shared" ca="1" si="122"/>
        <v>#VALUE!</v>
      </c>
      <c r="FW121" s="81" t="e" vm="3">
        <f t="shared" ca="1" si="123"/>
        <v>#VALUE!</v>
      </c>
      <c r="FX121" s="74" t="e">
        <f t="shared" si="127"/>
        <v>#N/A</v>
      </c>
      <c r="FY121" s="82" t="e">
        <f t="shared" si="132"/>
        <v>#N/A</v>
      </c>
      <c r="FZ121" s="7" t="e">
        <f t="shared" si="128"/>
        <v>#N/A</v>
      </c>
      <c r="GA121" t="e">
        <f t="shared" si="133"/>
        <v>#N/A</v>
      </c>
      <c r="GB121" s="8" t="e">
        <f t="shared" si="134"/>
        <v>#N/A</v>
      </c>
      <c r="GC121" s="8" t="e">
        <f t="shared" si="135"/>
        <v>#N/A</v>
      </c>
      <c r="GD121" s="81" t="e">
        <f t="shared" si="136"/>
        <v>#N/A</v>
      </c>
      <c r="GE121" s="74" t="e">
        <f t="shared" si="137"/>
        <v>#N/A</v>
      </c>
      <c r="GF121" s="82" t="e">
        <f t="shared" si="138"/>
        <v>#N/A</v>
      </c>
      <c r="GG121" s="7" t="e">
        <f t="shared" si="129"/>
        <v>#N/A</v>
      </c>
      <c r="GH121" t="e">
        <f t="shared" si="139"/>
        <v>#N/A</v>
      </c>
      <c r="GI121" s="8" t="e">
        <f t="shared" si="140"/>
        <v>#N/A</v>
      </c>
      <c r="GJ121" s="8" t="e">
        <f t="shared" si="141"/>
        <v>#N/A</v>
      </c>
      <c r="GK121" s="81" t="e">
        <f t="shared" si="142"/>
        <v>#N/A</v>
      </c>
      <c r="GL121" s="81"/>
      <c r="GM121" s="81"/>
      <c r="GP121" s="32">
        <f t="shared" si="187"/>
        <v>111</v>
      </c>
      <c r="GQ121" s="32">
        <f t="shared" si="188"/>
        <v>112</v>
      </c>
      <c r="GR121" s="32">
        <f t="shared" si="189"/>
        <v>-0.4311952055117878</v>
      </c>
      <c r="GS121" s="32">
        <f t="shared" si="190"/>
        <v>0.36352646237304004</v>
      </c>
      <c r="GT121" s="32" t="e">
        <f t="shared" si="191"/>
        <v>#N/A</v>
      </c>
      <c r="GU121" s="32" t="e">
        <f t="shared" si="192"/>
        <v>#N/A</v>
      </c>
      <c r="GV121" s="32" t="e">
        <f t="shared" si="193"/>
        <v>#N/A</v>
      </c>
      <c r="GW121" s="32" t="b">
        <f t="shared" si="194"/>
        <v>0</v>
      </c>
      <c r="GX121" s="32" t="b">
        <f t="shared" si="195"/>
        <v>1</v>
      </c>
      <c r="GY121" s="32" t="b">
        <f t="shared" si="196"/>
        <v>0</v>
      </c>
      <c r="GZ121" s="32" t="b">
        <f t="shared" si="197"/>
        <v>1</v>
      </c>
      <c r="HA121" s="32">
        <f t="shared" si="198"/>
        <v>0.36352646237304004</v>
      </c>
      <c r="HB121" s="32" t="e">
        <f t="shared" si="199"/>
        <v>#N/A</v>
      </c>
      <c r="HC121" s="32">
        <f t="shared" si="200"/>
        <v>0.36352646237304004</v>
      </c>
      <c r="HD121" s="45" t="str">
        <f t="shared" si="201"/>
        <v/>
      </c>
      <c r="HJ121" s="32">
        <f t="shared" si="202"/>
        <v>111</v>
      </c>
      <c r="HK121" s="32">
        <f t="shared" si="203"/>
        <v>112</v>
      </c>
      <c r="HL121" s="32">
        <f t="shared" si="204"/>
        <v>-0.66771483190302305</v>
      </c>
      <c r="HM121" s="32" t="e">
        <f t="shared" si="205"/>
        <v>#N/A</v>
      </c>
      <c r="HN121" s="32">
        <f t="shared" si="206"/>
        <v>0.30073759656733073</v>
      </c>
      <c r="HO121" s="32" t="e">
        <f t="shared" si="207"/>
        <v>#N/A</v>
      </c>
      <c r="HP121" s="32" t="e">
        <f t="shared" si="208"/>
        <v>#N/A</v>
      </c>
      <c r="HQ121" s="32" t="b">
        <f t="shared" si="209"/>
        <v>1</v>
      </c>
      <c r="HR121" s="32" t="b">
        <f t="shared" si="210"/>
        <v>0</v>
      </c>
      <c r="HS121" s="32" t="b">
        <f t="shared" si="211"/>
        <v>0</v>
      </c>
      <c r="HT121" s="32" t="b">
        <f t="shared" si="212"/>
        <v>1</v>
      </c>
      <c r="HU121" s="32">
        <f t="shared" si="213"/>
        <v>0.30073759656733073</v>
      </c>
      <c r="HV121" s="32">
        <f t="shared" si="214"/>
        <v>0.30073759656733073</v>
      </c>
      <c r="HW121" s="32" t="e">
        <f t="shared" si="215"/>
        <v>#N/A</v>
      </c>
      <c r="HX121" s="45" t="str">
        <f t="shared" si="216"/>
        <v/>
      </c>
    </row>
    <row r="122" spans="78:232" x14ac:dyDescent="0.2">
      <c r="BZ122" s="32">
        <f t="shared" si="143"/>
        <v>112</v>
      </c>
      <c r="CA122" s="32">
        <f>Eu_tabel_g[[#This Row],[Indeks]]+1</f>
        <v>113</v>
      </c>
      <c r="CB122" s="32">
        <f t="shared" si="144"/>
        <v>-0.40723991631668843</v>
      </c>
      <c r="CC122" s="32">
        <f t="shared" si="145"/>
        <v>0.36719556142717458</v>
      </c>
      <c r="CD122" s="32" t="e">
        <f t="shared" si="146"/>
        <v>#N/A</v>
      </c>
      <c r="CE122" s="32" t="e">
        <f t="shared" si="147"/>
        <v>#N/A</v>
      </c>
      <c r="CF122" s="32" t="e">
        <f t="shared" si="148"/>
        <v>#N/A</v>
      </c>
      <c r="CG122" s="32" t="b">
        <f t="shared" si="149"/>
        <v>0</v>
      </c>
      <c r="CH122" s="32" t="b">
        <f t="shared" si="150"/>
        <v>1</v>
      </c>
      <c r="CI122" s="32" t="b">
        <f t="shared" si="151"/>
        <v>0</v>
      </c>
      <c r="CJ122" s="32" t="b">
        <f t="shared" si="152"/>
        <v>1</v>
      </c>
      <c r="CK122" s="32">
        <f t="shared" si="217"/>
        <v>0.36719556142717458</v>
      </c>
      <c r="CL122" s="32" t="e">
        <f t="shared" si="153"/>
        <v>#N/A</v>
      </c>
      <c r="CM122" s="32">
        <f t="shared" si="154"/>
        <v>0.36719556142717458</v>
      </c>
      <c r="CN122" s="45" t="str">
        <f t="shared" si="155"/>
        <v/>
      </c>
      <c r="CO122" s="32">
        <f>_xlfn.NORM.DIST(_xlfn.NORM.INV(1-Eu_g_konfidensniveau,0,1)-Eu_tabel_g[[#This Row],[x base]],0,1,TRUE)</f>
        <v>0.10792966408969765</v>
      </c>
      <c r="CP122" s="32">
        <f>1-_xlfn.NORM.DIST(_xlfn.NORM.INV(Eu_g_konfidensniveau,0,1)-Eu_tabel_g[[#This Row],[x base]],0,1,TRUE)</f>
        <v>2.0080286162773131E-2</v>
      </c>
      <c r="CQ122" s="32">
        <f>_xlfn.NORM.DIST(_xlfn.NORM.INV((1-Eu_g_konfidensniveau)/2,0,1)-Eu_tabel_g[[#This Row],[x base]],0,1,TRUE)+1-_xlfn.NORM.DIST(_xlfn.NORM.INV(1-(1-Eu_g_konfidensniveau)/2,0,1)-Eu_tabel_g[[#This Row],[x base]],0,1,TRUE)</f>
        <v>6.9206062561586679E-2</v>
      </c>
      <c r="CR122" s="32" t="e" cm="1">
        <f t="array" ref="CR122">IF($CR$3,INDEX(Eu_tabel_g[[#This Row],[Styrke venstre]:[Styrke tosidet]],CR$7),NA())</f>
        <v>#N/A</v>
      </c>
      <c r="CS122" s="52" t="e">
        <f>Eu_tabel_g[[#This Row],[Falsk positiv
Nulhypotese accepteres
Fejltype 1]]</f>
        <v>#N/A</v>
      </c>
      <c r="CT122" s="52" t="e">
        <f>IF(CHOOSE(CR$7,Eu_tabel_g[[#This Row],[x base]]&gt;0,Eu_tabel_g[[#This Row],[x base]]&lt;0,Eu_tabel_g[[#This Row],[x base]]=0),Eu_tabel_g[[#This Row],[Styrke, aktiv]],NA())</f>
        <v>#N/A</v>
      </c>
      <c r="CU122" s="52" t="e">
        <f>IFERROR(IF($CR$3,Eu_tabel_g[[#This Row],[Styrke, aktiv]],NA()),NA())</f>
        <v>#N/A</v>
      </c>
      <c r="CV122" s="52" t="e">
        <f>IF(ISNA(Eu_tabel_g[[#This Row],[Sand negativ
Nulhypotese afvises
Korrekt]]),NA(),IF($CR$3,1,NA()))</f>
        <v>#N/A</v>
      </c>
      <c r="CW122" s="34" t="str" cm="1">
        <f t="array" ref="CW122">_xlfn.SWITCH(BZ122,_xlfn.IFNA(CU$2,-99),CU$5,_xlfn.IFNA(CU$3,-99),CU$6,_xlfn.IFNA(CU$4,-99),CU$7,"")</f>
        <v/>
      </c>
      <c r="DA122" s="7">
        <f t="shared" si="156"/>
        <v>0.8</v>
      </c>
      <c r="DB122">
        <f>IF(ROW(Styrkeberegning_G[[#This Row],[X base venstre]])=ROW(Styrkeberegning_G[[#Headers],[X base venstre]])+1,DB$7/(DA$7/$B$67),DB121/(DA121/$B$67))</f>
        <v>-2.8015817870135784</v>
      </c>
      <c r="DC122">
        <f>Styrkeberegning_G[[#This Row],[X base venstre]]*-1</f>
        <v>2.8015817870135784</v>
      </c>
      <c r="DN122" s="32">
        <f t="shared" si="157"/>
        <v>112</v>
      </c>
      <c r="DO122" s="32">
        <f t="shared" si="158"/>
        <v>113</v>
      </c>
      <c r="DP122" s="32">
        <f t="shared" si="159"/>
        <v>14.609788583357803</v>
      </c>
      <c r="DQ122" s="32" t="e">
        <f t="shared" si="160"/>
        <v>#N/A</v>
      </c>
      <c r="DR122" s="32" t="e">
        <f t="shared" si="161"/>
        <v>#N/A</v>
      </c>
      <c r="DS122" s="32">
        <f t="shared" si="162"/>
        <v>4.9419763943099951E-2</v>
      </c>
      <c r="DT122" s="32" t="e">
        <f t="shared" si="163"/>
        <v>#N/A</v>
      </c>
      <c r="DU122" s="32" t="b">
        <f t="shared" si="164"/>
        <v>0</v>
      </c>
      <c r="DV122" s="32" t="b">
        <f t="shared" si="165"/>
        <v>1</v>
      </c>
      <c r="DW122" s="32" t="b">
        <f t="shared" si="166"/>
        <v>0</v>
      </c>
      <c r="DX122" s="32" t="b">
        <f t="shared" si="167"/>
        <v>1</v>
      </c>
      <c r="DY122" s="32">
        <f t="shared" si="168"/>
        <v>4.9419763943099951E-2</v>
      </c>
      <c r="DZ122" s="32" t="e">
        <f t="shared" si="169"/>
        <v>#N/A</v>
      </c>
      <c r="EA122" s="32">
        <f t="shared" si="170"/>
        <v>4.9419763943099951E-2</v>
      </c>
      <c r="EB122" s="45" t="str">
        <f t="shared" si="171"/>
        <v/>
      </c>
      <c r="EG122" s="32">
        <f t="shared" si="172"/>
        <v>112</v>
      </c>
      <c r="EH122" s="32">
        <f t="shared" si="173"/>
        <v>113</v>
      </c>
      <c r="EI122" s="32">
        <f t="shared" si="174"/>
        <v>-0.40723991631668843</v>
      </c>
      <c r="EJ122" s="32">
        <f t="shared" si="175"/>
        <v>0.36719556142717458</v>
      </c>
      <c r="EK122" s="32" t="e">
        <f t="shared" si="176"/>
        <v>#N/A</v>
      </c>
      <c r="EL122" s="32" t="e">
        <f t="shared" si="177"/>
        <v>#N/A</v>
      </c>
      <c r="EM122" s="32" t="e">
        <f t="shared" si="178"/>
        <v>#N/A</v>
      </c>
      <c r="EN122" s="32" t="b">
        <f t="shared" si="179"/>
        <v>0</v>
      </c>
      <c r="EO122" s="32" t="b">
        <f t="shared" si="180"/>
        <v>1</v>
      </c>
      <c r="EP122" s="32" t="b">
        <f t="shared" si="181"/>
        <v>0</v>
      </c>
      <c r="EQ122" s="32" t="b">
        <f t="shared" si="182"/>
        <v>1</v>
      </c>
      <c r="ER122" s="32">
        <f t="shared" si="183"/>
        <v>0.36719556142717458</v>
      </c>
      <c r="ES122" s="32" t="e">
        <f t="shared" si="184"/>
        <v>#N/A</v>
      </c>
      <c r="ET122" s="32">
        <f t="shared" si="185"/>
        <v>0.36719556142717458</v>
      </c>
      <c r="EU122" s="45" t="str">
        <f t="shared" si="186"/>
        <v/>
      </c>
      <c r="EV12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2" s="32" t="e" cm="1">
        <f t="array" ref="EY122">IF($CR$3,INDEX(Eu_tabel_a[[#This Row],[Styrke venstre]:[Styrke tosidet]],EY$7),NA())</f>
        <v>#N/A</v>
      </c>
      <c r="EZ122" s="32" t="e">
        <f>IF(EY$3,IF(CHOOSE(EY$7,Eu_tabel_a[[#This Row],[x base]]&gt;0,Eu_tabel_a[[#This Row],[x base]]&lt;0,Eu_tabel_a[[#This Row],[x base]]=0),1,NA()),NA())</f>
        <v>#N/A</v>
      </c>
      <c r="FA122" s="32" t="e">
        <f>IF(CHOOSE(EY$7,Eu_tabel_a[[#This Row],[x base]]&gt;0,Eu_tabel_a[[#This Row],[x base]]&lt;0,Eu_tabel_a[[#This Row],[x base]]=0),Eu_tabel_a[[#This Row],[Styrke, aktiv]],NA())</f>
        <v>#N/A</v>
      </c>
      <c r="FB122" s="32" t="e">
        <f>IFERROR(IF($EY$3,Eu_tabel_a[[#This Row],[Styrke, aktiv]],NA()),NA())</f>
        <v>#N/A</v>
      </c>
      <c r="FC122" s="32" t="e">
        <f>IF(ISNA(Eu_tabel_a[[#This Row],[Sand negativ
Nulhypotese afvises
Korrekt]]),NA(),IF(EY$3,1,NA()))</f>
        <v>#N/A</v>
      </c>
      <c r="FD122" s="33" t="str" cm="1">
        <f t="array" ref="FD122">IFERROR(_xlfn.SWITCH(Eu_tabel_a[[#This Row],[Indeks]],_xlfn.IFNA(FB$2,-99),FB$5,_xlfn.IFNA(FB$3,-99),FB$6,_xlfn.IFNA(FB$4,-99),FB$7,""),"")</f>
        <v/>
      </c>
      <c r="FE122" s="32">
        <f>Eu_tabel_a[[#This Row],[x base]]*SQRT(Eu_a_h0_x*(1-Eu_a_h0_x)/Eu_a_n_x)+Eu_a_h0_x</f>
        <v>0</v>
      </c>
      <c r="FJ122" s="74" t="e">
        <f t="shared" si="130"/>
        <v>#N/A</v>
      </c>
      <c r="FK122" s="82" t="e">
        <f t="shared" si="218"/>
        <v>#DIV/0!</v>
      </c>
      <c r="FL122" s="7" t="e">
        <f t="shared" si="124"/>
        <v>#DIV/0!</v>
      </c>
      <c r="FM122" t="e">
        <f t="shared" si="219"/>
        <v>#DIV/0!</v>
      </c>
      <c r="FN122" s="8" t="e">
        <f t="shared" si="220"/>
        <v>#DIV/0!</v>
      </c>
      <c r="FO122" s="8" t="e">
        <f t="shared" si="221"/>
        <v>#DIV/0!</v>
      </c>
      <c r="FP122" s="81" t="e">
        <f t="shared" si="222"/>
        <v>#DIV/0!</v>
      </c>
      <c r="FQ122" s="74" t="e">
        <f t="shared" ca="1" si="125"/>
        <v>#N/A</v>
      </c>
      <c r="FR122" s="82" t="e" vm="3">
        <f t="shared" ca="1" si="131"/>
        <v>#VALUE!</v>
      </c>
      <c r="FS122" s="7" t="e" vm="3">
        <f t="shared" ca="1" si="126"/>
        <v>#VALUE!</v>
      </c>
      <c r="FT122" t="e" vm="3">
        <f t="shared" ca="1" si="120"/>
        <v>#VALUE!</v>
      </c>
      <c r="FU122" s="8" t="e" vm="3">
        <f t="shared" ca="1" si="121"/>
        <v>#VALUE!</v>
      </c>
      <c r="FV122" s="8" t="e" vm="3">
        <f t="shared" ca="1" si="122"/>
        <v>#VALUE!</v>
      </c>
      <c r="FW122" s="81" t="e" vm="3">
        <f t="shared" ca="1" si="123"/>
        <v>#VALUE!</v>
      </c>
      <c r="FX122" s="74" t="e">
        <f t="shared" si="127"/>
        <v>#N/A</v>
      </c>
      <c r="FY122" s="82" t="e">
        <f t="shared" si="132"/>
        <v>#N/A</v>
      </c>
      <c r="FZ122" s="7" t="e">
        <f t="shared" si="128"/>
        <v>#N/A</v>
      </c>
      <c r="GA122" t="e">
        <f t="shared" si="133"/>
        <v>#N/A</v>
      </c>
      <c r="GB122" s="8" t="e">
        <f t="shared" si="134"/>
        <v>#N/A</v>
      </c>
      <c r="GC122" s="8" t="e">
        <f t="shared" si="135"/>
        <v>#N/A</v>
      </c>
      <c r="GD122" s="81" t="e">
        <f t="shared" si="136"/>
        <v>#N/A</v>
      </c>
      <c r="GE122" s="74" t="e">
        <f t="shared" si="137"/>
        <v>#N/A</v>
      </c>
      <c r="GF122" s="82" t="e">
        <f t="shared" si="138"/>
        <v>#N/A</v>
      </c>
      <c r="GG122" s="7" t="e">
        <f t="shared" si="129"/>
        <v>#N/A</v>
      </c>
      <c r="GH122" t="e">
        <f t="shared" si="139"/>
        <v>#N/A</v>
      </c>
      <c r="GI122" s="8" t="e">
        <f t="shared" si="140"/>
        <v>#N/A</v>
      </c>
      <c r="GJ122" s="8" t="e">
        <f t="shared" si="141"/>
        <v>#N/A</v>
      </c>
      <c r="GK122" s="81" t="e">
        <f t="shared" si="142"/>
        <v>#N/A</v>
      </c>
      <c r="GL122" s="81"/>
      <c r="GM122" s="81"/>
      <c r="GP122" s="32">
        <f t="shared" si="187"/>
        <v>112</v>
      </c>
      <c r="GQ122" s="32">
        <f t="shared" si="188"/>
        <v>113</v>
      </c>
      <c r="GR122" s="32">
        <f t="shared" si="189"/>
        <v>-0.40723991631668843</v>
      </c>
      <c r="GS122" s="32">
        <f t="shared" si="190"/>
        <v>0.36719556142717458</v>
      </c>
      <c r="GT122" s="32" t="e">
        <f t="shared" si="191"/>
        <v>#N/A</v>
      </c>
      <c r="GU122" s="32" t="e">
        <f t="shared" si="192"/>
        <v>#N/A</v>
      </c>
      <c r="GV122" s="32" t="e">
        <f t="shared" si="193"/>
        <v>#N/A</v>
      </c>
      <c r="GW122" s="32" t="b">
        <f t="shared" si="194"/>
        <v>0</v>
      </c>
      <c r="GX122" s="32" t="b">
        <f t="shared" si="195"/>
        <v>1</v>
      </c>
      <c r="GY122" s="32" t="b">
        <f t="shared" si="196"/>
        <v>0</v>
      </c>
      <c r="GZ122" s="32" t="b">
        <f t="shared" si="197"/>
        <v>1</v>
      </c>
      <c r="HA122" s="32">
        <f t="shared" si="198"/>
        <v>0.36719556142717458</v>
      </c>
      <c r="HB122" s="32" t="e">
        <f t="shared" si="199"/>
        <v>#N/A</v>
      </c>
      <c r="HC122" s="32">
        <f t="shared" si="200"/>
        <v>0.36719556142717458</v>
      </c>
      <c r="HD122" s="45" t="str">
        <f t="shared" si="201"/>
        <v/>
      </c>
      <c r="HJ122" s="32">
        <f t="shared" si="202"/>
        <v>112</v>
      </c>
      <c r="HK122" s="32">
        <f t="shared" si="203"/>
        <v>113</v>
      </c>
      <c r="HL122" s="32">
        <f t="shared" si="204"/>
        <v>-0.63061956346396641</v>
      </c>
      <c r="HM122" s="32" t="e">
        <f t="shared" si="205"/>
        <v>#N/A</v>
      </c>
      <c r="HN122" s="32">
        <f t="shared" si="206"/>
        <v>0.30864613159943455</v>
      </c>
      <c r="HO122" s="32" t="e">
        <f t="shared" si="207"/>
        <v>#N/A</v>
      </c>
      <c r="HP122" s="32" t="e">
        <f t="shared" si="208"/>
        <v>#N/A</v>
      </c>
      <c r="HQ122" s="32" t="b">
        <f t="shared" si="209"/>
        <v>1</v>
      </c>
      <c r="HR122" s="32" t="b">
        <f t="shared" si="210"/>
        <v>0</v>
      </c>
      <c r="HS122" s="32" t="b">
        <f t="shared" si="211"/>
        <v>0</v>
      </c>
      <c r="HT122" s="32" t="b">
        <f t="shared" si="212"/>
        <v>1</v>
      </c>
      <c r="HU122" s="32">
        <f t="shared" si="213"/>
        <v>0.30864613159943455</v>
      </c>
      <c r="HV122" s="32">
        <f t="shared" si="214"/>
        <v>0.30864613159943455</v>
      </c>
      <c r="HW122" s="32" t="e">
        <f t="shared" si="215"/>
        <v>#N/A</v>
      </c>
      <c r="HX122" s="45" t="str">
        <f t="shared" si="216"/>
        <v/>
      </c>
    </row>
    <row r="123" spans="78:232" x14ac:dyDescent="0.2">
      <c r="BZ123" s="32">
        <f t="shared" si="143"/>
        <v>113</v>
      </c>
      <c r="CA123" s="32">
        <f>Eu_tabel_g[[#This Row],[Indeks]]+1</f>
        <v>114</v>
      </c>
      <c r="CB123" s="32">
        <f t="shared" si="144"/>
        <v>-0.38328462712158906</v>
      </c>
      <c r="CC123" s="32">
        <f t="shared" si="145"/>
        <v>0.37068890990689796</v>
      </c>
      <c r="CD123" s="32" t="e">
        <f t="shared" si="146"/>
        <v>#N/A</v>
      </c>
      <c r="CE123" s="32" t="e">
        <f t="shared" si="147"/>
        <v>#N/A</v>
      </c>
      <c r="CF123" s="32" t="e">
        <f t="shared" si="148"/>
        <v>#N/A</v>
      </c>
      <c r="CG123" s="32" t="b">
        <f t="shared" si="149"/>
        <v>0</v>
      </c>
      <c r="CH123" s="32" t="b">
        <f t="shared" si="150"/>
        <v>1</v>
      </c>
      <c r="CI123" s="32" t="b">
        <f t="shared" si="151"/>
        <v>0</v>
      </c>
      <c r="CJ123" s="32" t="b">
        <f t="shared" si="152"/>
        <v>1</v>
      </c>
      <c r="CK123" s="32">
        <f t="shared" si="217"/>
        <v>0.37068890990689796</v>
      </c>
      <c r="CL123" s="32" t="e">
        <f t="shared" si="153"/>
        <v>#N/A</v>
      </c>
      <c r="CM123" s="32">
        <f t="shared" si="154"/>
        <v>0.37068890990689796</v>
      </c>
      <c r="CN123" s="45" t="str">
        <f t="shared" si="155"/>
        <v/>
      </c>
      <c r="CO123" s="32">
        <f>_xlfn.NORM.DIST(_xlfn.NORM.INV(1-Eu_g_konfidensniveau,0,1)-Eu_tabel_g[[#This Row],[x base]],0,1,TRUE)</f>
        <v>0.10355195846784909</v>
      </c>
      <c r="CP123" s="32">
        <f>1-_xlfn.NORM.DIST(_xlfn.NORM.INV(Eu_g_konfidensniveau,0,1)-Eu_tabel_g[[#This Row],[x base]],0,1,TRUE)</f>
        <v>2.1273069807946188E-2</v>
      </c>
      <c r="CQ123" s="32">
        <f>_xlfn.NORM.DIST(_xlfn.NORM.INV((1-Eu_g_konfidensniveau)/2,0,1)-Eu_tabel_g[[#This Row],[x base]],0,1,TRUE)+1-_xlfn.NORM.DIST(_xlfn.NORM.INV(1-(1-Eu_g_konfidensniveau)/2,0,1)-Eu_tabel_g[[#This Row],[x base]],0,1,TRUE)</f>
        <v>6.6992981287097075E-2</v>
      </c>
      <c r="CR123" s="32" t="e" cm="1">
        <f t="array" ref="CR123">IF($CR$3,INDEX(Eu_tabel_g[[#This Row],[Styrke venstre]:[Styrke tosidet]],CR$7),NA())</f>
        <v>#N/A</v>
      </c>
      <c r="CS123" s="52" t="e">
        <f>Eu_tabel_g[[#This Row],[Falsk positiv
Nulhypotese accepteres
Fejltype 1]]</f>
        <v>#N/A</v>
      </c>
      <c r="CT123" s="52" t="e">
        <f>IF(CHOOSE(CR$7,Eu_tabel_g[[#This Row],[x base]]&gt;0,Eu_tabel_g[[#This Row],[x base]]&lt;0,Eu_tabel_g[[#This Row],[x base]]=0),Eu_tabel_g[[#This Row],[Styrke, aktiv]],NA())</f>
        <v>#N/A</v>
      </c>
      <c r="CU123" s="52" t="e">
        <f>IFERROR(IF($CR$3,Eu_tabel_g[[#This Row],[Styrke, aktiv]],NA()),NA())</f>
        <v>#N/A</v>
      </c>
      <c r="CV123" s="52" t="e">
        <f>IF(ISNA(Eu_tabel_g[[#This Row],[Sand negativ
Nulhypotese afvises
Korrekt]]),NA(),IF($CR$3,1,NA()))</f>
        <v>#N/A</v>
      </c>
      <c r="CW123" s="34" t="str" cm="1">
        <f t="array" ref="CW123">_xlfn.SWITCH(BZ123,_xlfn.IFNA(CU$2,-99),CU$5,_xlfn.IFNA(CU$3,-99),CU$6,_xlfn.IFNA(CU$4,-99),CU$7,"")</f>
        <v/>
      </c>
      <c r="DA123" s="7">
        <f t="shared" si="156"/>
        <v>0.8</v>
      </c>
      <c r="DB123">
        <f>IF(ROW(Styrkeberegning_G[[#This Row],[X base venstre]])=ROW(Styrkeberegning_G[[#Headers],[X base venstre]])+1,DB$7/(DA$7/$B$67),DB122/(DA122/$B$67))</f>
        <v>-2.8015817870135784</v>
      </c>
      <c r="DC123">
        <f>Styrkeberegning_G[[#This Row],[X base venstre]]*-1</f>
        <v>2.8015817870135784</v>
      </c>
      <c r="DN123" s="32">
        <f t="shared" si="157"/>
        <v>113</v>
      </c>
      <c r="DO123" s="32">
        <f t="shared" si="158"/>
        <v>114</v>
      </c>
      <c r="DP123" s="32">
        <f t="shared" si="159"/>
        <v>14.723859439774804</v>
      </c>
      <c r="DQ123" s="32" t="e">
        <f t="shared" si="160"/>
        <v>#N/A</v>
      </c>
      <c r="DR123" s="32" t="e">
        <f t="shared" si="161"/>
        <v>#N/A</v>
      </c>
      <c r="DS123" s="32">
        <f t="shared" si="162"/>
        <v>4.8342631422654346E-2</v>
      </c>
      <c r="DT123" s="32" t="e">
        <f t="shared" si="163"/>
        <v>#N/A</v>
      </c>
      <c r="DU123" s="32" t="b">
        <f t="shared" si="164"/>
        <v>0</v>
      </c>
      <c r="DV123" s="32" t="b">
        <f t="shared" si="165"/>
        <v>1</v>
      </c>
      <c r="DW123" s="32" t="b">
        <f t="shared" si="166"/>
        <v>0</v>
      </c>
      <c r="DX123" s="32" t="b">
        <f t="shared" si="167"/>
        <v>1</v>
      </c>
      <c r="DY123" s="32">
        <f t="shared" si="168"/>
        <v>4.8342631422654346E-2</v>
      </c>
      <c r="DZ123" s="32" t="e">
        <f t="shared" si="169"/>
        <v>#N/A</v>
      </c>
      <c r="EA123" s="32">
        <f t="shared" si="170"/>
        <v>4.8342631422654346E-2</v>
      </c>
      <c r="EB123" s="45" t="str">
        <f t="shared" si="171"/>
        <v/>
      </c>
      <c r="EG123" s="32">
        <f t="shared" si="172"/>
        <v>113</v>
      </c>
      <c r="EH123" s="32">
        <f t="shared" si="173"/>
        <v>114</v>
      </c>
      <c r="EI123" s="32">
        <f t="shared" si="174"/>
        <v>-0.38328462712158906</v>
      </c>
      <c r="EJ123" s="32">
        <f t="shared" si="175"/>
        <v>0.37068890990689796</v>
      </c>
      <c r="EK123" s="32" t="e">
        <f t="shared" si="176"/>
        <v>#N/A</v>
      </c>
      <c r="EL123" s="32" t="e">
        <f t="shared" si="177"/>
        <v>#N/A</v>
      </c>
      <c r="EM123" s="32" t="e">
        <f t="shared" si="178"/>
        <v>#N/A</v>
      </c>
      <c r="EN123" s="32" t="b">
        <f t="shared" si="179"/>
        <v>0</v>
      </c>
      <c r="EO123" s="32" t="b">
        <f t="shared" si="180"/>
        <v>1</v>
      </c>
      <c r="EP123" s="32" t="b">
        <f t="shared" si="181"/>
        <v>0</v>
      </c>
      <c r="EQ123" s="32" t="b">
        <f t="shared" si="182"/>
        <v>1</v>
      </c>
      <c r="ER123" s="32">
        <f t="shared" si="183"/>
        <v>0.37068890990689796</v>
      </c>
      <c r="ES123" s="32" t="e">
        <f t="shared" si="184"/>
        <v>#N/A</v>
      </c>
      <c r="ET123" s="32">
        <f t="shared" si="185"/>
        <v>0.37068890990689796</v>
      </c>
      <c r="EU123" s="45" t="str">
        <f t="shared" si="186"/>
        <v/>
      </c>
      <c r="EV12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3" s="32" t="e" cm="1">
        <f t="array" ref="EY123">IF($CR$3,INDEX(Eu_tabel_a[[#This Row],[Styrke venstre]:[Styrke tosidet]],EY$7),NA())</f>
        <v>#N/A</v>
      </c>
      <c r="EZ123" s="32" t="e">
        <f>IF(EY$3,IF(CHOOSE(EY$7,Eu_tabel_a[[#This Row],[x base]]&gt;0,Eu_tabel_a[[#This Row],[x base]]&lt;0,Eu_tabel_a[[#This Row],[x base]]=0),1,NA()),NA())</f>
        <v>#N/A</v>
      </c>
      <c r="FA123" s="32" t="e">
        <f>IF(CHOOSE(EY$7,Eu_tabel_a[[#This Row],[x base]]&gt;0,Eu_tabel_a[[#This Row],[x base]]&lt;0,Eu_tabel_a[[#This Row],[x base]]=0),Eu_tabel_a[[#This Row],[Styrke, aktiv]],NA())</f>
        <v>#N/A</v>
      </c>
      <c r="FB123" s="32" t="e">
        <f>IFERROR(IF($EY$3,Eu_tabel_a[[#This Row],[Styrke, aktiv]],NA()),NA())</f>
        <v>#N/A</v>
      </c>
      <c r="FC123" s="32" t="e">
        <f>IF(ISNA(Eu_tabel_a[[#This Row],[Sand negativ
Nulhypotese afvises
Korrekt]]),NA(),IF(EY$3,1,NA()))</f>
        <v>#N/A</v>
      </c>
      <c r="FD123" s="33" t="str" cm="1">
        <f t="array" ref="FD123">IFERROR(_xlfn.SWITCH(Eu_tabel_a[[#This Row],[Indeks]],_xlfn.IFNA(FB$2,-99),FB$5,_xlfn.IFNA(FB$3,-99),FB$6,_xlfn.IFNA(FB$4,-99),FB$7,""),"")</f>
        <v/>
      </c>
      <c r="FE123" s="32">
        <f>Eu_tabel_a[[#This Row],[x base]]*SQRT(Eu_a_h0_x*(1-Eu_a_h0_x)/Eu_a_n_x)+Eu_a_h0_x</f>
        <v>0</v>
      </c>
      <c r="FJ123" s="74" t="e">
        <f t="shared" si="130"/>
        <v>#N/A</v>
      </c>
      <c r="FK123" s="82" t="e">
        <f t="shared" si="218"/>
        <v>#DIV/0!</v>
      </c>
      <c r="FL123" s="7" t="e">
        <f t="shared" si="124"/>
        <v>#DIV/0!</v>
      </c>
      <c r="FM123" t="e">
        <f t="shared" si="219"/>
        <v>#DIV/0!</v>
      </c>
      <c r="FN123" s="8" t="e">
        <f t="shared" si="220"/>
        <v>#DIV/0!</v>
      </c>
      <c r="FO123" s="8" t="e">
        <f t="shared" si="221"/>
        <v>#DIV/0!</v>
      </c>
      <c r="FP123" s="81" t="e">
        <f t="shared" si="222"/>
        <v>#DIV/0!</v>
      </c>
      <c r="FQ123" s="74" t="e">
        <f t="shared" ca="1" si="125"/>
        <v>#N/A</v>
      </c>
      <c r="FR123" s="82" t="e" vm="3">
        <f t="shared" ca="1" si="131"/>
        <v>#VALUE!</v>
      </c>
      <c r="FS123" s="7" t="e" vm="3">
        <f t="shared" ca="1" si="126"/>
        <v>#VALUE!</v>
      </c>
      <c r="FT123" t="e" vm="3">
        <f t="shared" ca="1" si="120"/>
        <v>#VALUE!</v>
      </c>
      <c r="FU123" s="8" t="e" vm="3">
        <f t="shared" ca="1" si="121"/>
        <v>#VALUE!</v>
      </c>
      <c r="FV123" s="8" t="e" vm="3">
        <f t="shared" ca="1" si="122"/>
        <v>#VALUE!</v>
      </c>
      <c r="FW123" s="81" t="e" vm="3">
        <f t="shared" ca="1" si="123"/>
        <v>#VALUE!</v>
      </c>
      <c r="FX123" s="74" t="e">
        <f t="shared" si="127"/>
        <v>#N/A</v>
      </c>
      <c r="FY123" s="82" t="e">
        <f t="shared" si="132"/>
        <v>#N/A</v>
      </c>
      <c r="FZ123" s="7" t="e">
        <f t="shared" si="128"/>
        <v>#N/A</v>
      </c>
      <c r="GA123" t="e">
        <f t="shared" si="133"/>
        <v>#N/A</v>
      </c>
      <c r="GB123" s="8" t="e">
        <f t="shared" si="134"/>
        <v>#N/A</v>
      </c>
      <c r="GC123" s="8" t="e">
        <f t="shared" si="135"/>
        <v>#N/A</v>
      </c>
      <c r="GD123" s="81" t="e">
        <f t="shared" si="136"/>
        <v>#N/A</v>
      </c>
      <c r="GE123" s="74" t="e">
        <f t="shared" si="137"/>
        <v>#N/A</v>
      </c>
      <c r="GF123" s="82" t="e">
        <f t="shared" si="138"/>
        <v>#N/A</v>
      </c>
      <c r="GG123" s="7" t="e">
        <f t="shared" si="129"/>
        <v>#N/A</v>
      </c>
      <c r="GH123" t="e">
        <f t="shared" si="139"/>
        <v>#N/A</v>
      </c>
      <c r="GI123" s="8" t="e">
        <f t="shared" si="140"/>
        <v>#N/A</v>
      </c>
      <c r="GJ123" s="8" t="e">
        <f t="shared" si="141"/>
        <v>#N/A</v>
      </c>
      <c r="GK123" s="81" t="e">
        <f t="shared" si="142"/>
        <v>#N/A</v>
      </c>
      <c r="GL123" s="81"/>
      <c r="GM123" s="81"/>
      <c r="GP123" s="32">
        <f t="shared" si="187"/>
        <v>113</v>
      </c>
      <c r="GQ123" s="32">
        <f t="shared" si="188"/>
        <v>114</v>
      </c>
      <c r="GR123" s="32">
        <f t="shared" si="189"/>
        <v>-0.38328462712158906</v>
      </c>
      <c r="GS123" s="32">
        <f t="shared" si="190"/>
        <v>0.37068890990689796</v>
      </c>
      <c r="GT123" s="32" t="e">
        <f t="shared" si="191"/>
        <v>#N/A</v>
      </c>
      <c r="GU123" s="32" t="e">
        <f t="shared" si="192"/>
        <v>#N/A</v>
      </c>
      <c r="GV123" s="32" t="e">
        <f t="shared" si="193"/>
        <v>#N/A</v>
      </c>
      <c r="GW123" s="32" t="b">
        <f t="shared" si="194"/>
        <v>0</v>
      </c>
      <c r="GX123" s="32" t="b">
        <f t="shared" si="195"/>
        <v>1</v>
      </c>
      <c r="GY123" s="32" t="b">
        <f t="shared" si="196"/>
        <v>0</v>
      </c>
      <c r="GZ123" s="32" t="b">
        <f t="shared" si="197"/>
        <v>1</v>
      </c>
      <c r="HA123" s="32">
        <f t="shared" si="198"/>
        <v>0.37068890990689796</v>
      </c>
      <c r="HB123" s="32" t="e">
        <f t="shared" si="199"/>
        <v>#N/A</v>
      </c>
      <c r="HC123" s="32">
        <f t="shared" si="200"/>
        <v>0.37068890990689796</v>
      </c>
      <c r="HD123" s="45" t="str">
        <f t="shared" si="201"/>
        <v/>
      </c>
      <c r="HJ123" s="32">
        <f t="shared" si="202"/>
        <v>113</v>
      </c>
      <c r="HK123" s="32">
        <f t="shared" si="203"/>
        <v>114</v>
      </c>
      <c r="HL123" s="32">
        <f t="shared" si="204"/>
        <v>-0.59352429502490978</v>
      </c>
      <c r="HM123" s="32" t="e">
        <f t="shared" si="205"/>
        <v>#N/A</v>
      </c>
      <c r="HN123" s="32">
        <f t="shared" si="206"/>
        <v>0.3163422496360116</v>
      </c>
      <c r="HO123" s="32" t="e">
        <f t="shared" si="207"/>
        <v>#N/A</v>
      </c>
      <c r="HP123" s="32" t="e">
        <f t="shared" si="208"/>
        <v>#N/A</v>
      </c>
      <c r="HQ123" s="32" t="b">
        <f t="shared" si="209"/>
        <v>1</v>
      </c>
      <c r="HR123" s="32" t="b">
        <f t="shared" si="210"/>
        <v>0</v>
      </c>
      <c r="HS123" s="32" t="b">
        <f t="shared" si="211"/>
        <v>0</v>
      </c>
      <c r="HT123" s="32" t="b">
        <f t="shared" si="212"/>
        <v>1</v>
      </c>
      <c r="HU123" s="32">
        <f t="shared" si="213"/>
        <v>0.3163422496360116</v>
      </c>
      <c r="HV123" s="32">
        <f t="shared" si="214"/>
        <v>0.3163422496360116</v>
      </c>
      <c r="HW123" s="32" t="e">
        <f t="shared" si="215"/>
        <v>#N/A</v>
      </c>
      <c r="HX123" s="45" t="str">
        <f t="shared" si="216"/>
        <v/>
      </c>
    </row>
    <row r="124" spans="78:232" x14ac:dyDescent="0.2">
      <c r="BZ124" s="32">
        <f t="shared" si="143"/>
        <v>114</v>
      </c>
      <c r="CA124" s="32">
        <f>Eu_tabel_g[[#This Row],[Indeks]]+1</f>
        <v>115</v>
      </c>
      <c r="CB124" s="32">
        <f t="shared" si="144"/>
        <v>-0.35932933792649013</v>
      </c>
      <c r="CC124" s="32">
        <f t="shared" si="145"/>
        <v>0.37400080851990369</v>
      </c>
      <c r="CD124" s="32" t="e">
        <f t="shared" si="146"/>
        <v>#N/A</v>
      </c>
      <c r="CE124" s="32" t="e">
        <f t="shared" si="147"/>
        <v>#N/A</v>
      </c>
      <c r="CF124" s="32" t="e">
        <f t="shared" si="148"/>
        <v>#N/A</v>
      </c>
      <c r="CG124" s="32" t="b">
        <f t="shared" si="149"/>
        <v>0</v>
      </c>
      <c r="CH124" s="32" t="b">
        <f t="shared" si="150"/>
        <v>1</v>
      </c>
      <c r="CI124" s="32" t="b">
        <f t="shared" si="151"/>
        <v>0</v>
      </c>
      <c r="CJ124" s="32" t="b">
        <f t="shared" si="152"/>
        <v>1</v>
      </c>
      <c r="CK124" s="32">
        <f t="shared" si="217"/>
        <v>0.37400080851990369</v>
      </c>
      <c r="CL124" s="32" t="e">
        <f t="shared" si="153"/>
        <v>#N/A</v>
      </c>
      <c r="CM124" s="32">
        <f t="shared" si="154"/>
        <v>0.37400080851990369</v>
      </c>
      <c r="CN124" s="45" t="str">
        <f t="shared" si="155"/>
        <v/>
      </c>
      <c r="CO124" s="32">
        <f>_xlfn.NORM.DIST(_xlfn.NORM.INV(1-Eu_g_konfidensniveau,0,1)-Eu_tabel_g[[#This Row],[x base]],0,1,TRUE)</f>
        <v>9.9304567300618568E-2</v>
      </c>
      <c r="CP124" s="32">
        <f>1-_xlfn.NORM.DIST(_xlfn.NORM.INV(Eu_g_konfidensniveau,0,1)-Eu_tabel_g[[#This Row],[x base]],0,1,TRUE)</f>
        <v>2.2525232347582635E-2</v>
      </c>
      <c r="CQ124" s="32">
        <f>_xlfn.NORM.DIST(_xlfn.NORM.INV((1-Eu_g_konfidensniveau)/2,0,1)-Eu_tabel_g[[#This Row],[x base]],0,1,TRUE)+1-_xlfn.NORM.DIST(_xlfn.NORM.INV(1-(1-Eu_g_konfidensniveau)/2,0,1)-Eu_tabel_g[[#This Row],[x base]],0,1,TRUE)</f>
        <v>6.4918500529934198E-2</v>
      </c>
      <c r="CR124" s="32" t="e" cm="1">
        <f t="array" ref="CR124">IF($CR$3,INDEX(Eu_tabel_g[[#This Row],[Styrke venstre]:[Styrke tosidet]],CR$7),NA())</f>
        <v>#N/A</v>
      </c>
      <c r="CS124" s="52" t="e">
        <f>Eu_tabel_g[[#This Row],[Falsk positiv
Nulhypotese accepteres
Fejltype 1]]</f>
        <v>#N/A</v>
      </c>
      <c r="CT124" s="52" t="e">
        <f>IF(CHOOSE(CR$7,Eu_tabel_g[[#This Row],[x base]]&gt;0,Eu_tabel_g[[#This Row],[x base]]&lt;0,Eu_tabel_g[[#This Row],[x base]]=0),Eu_tabel_g[[#This Row],[Styrke, aktiv]],NA())</f>
        <v>#N/A</v>
      </c>
      <c r="CU124" s="52" t="e">
        <f>IFERROR(IF($CR$3,Eu_tabel_g[[#This Row],[Styrke, aktiv]],NA()),NA())</f>
        <v>#N/A</v>
      </c>
      <c r="CV124" s="52" t="e">
        <f>IF(ISNA(Eu_tabel_g[[#This Row],[Sand negativ
Nulhypotese afvises
Korrekt]]),NA(),IF($CR$3,1,NA()))</f>
        <v>#N/A</v>
      </c>
      <c r="CW124" s="34" t="str" cm="1">
        <f t="array" ref="CW124">_xlfn.SWITCH(BZ124,_xlfn.IFNA(CU$2,-99),CU$5,_xlfn.IFNA(CU$3,-99),CU$6,_xlfn.IFNA(CU$4,-99),CU$7,"")</f>
        <v/>
      </c>
      <c r="DA124" s="7">
        <f t="shared" si="156"/>
        <v>0.8</v>
      </c>
      <c r="DB124">
        <f>IF(ROW(Styrkeberegning_G[[#This Row],[X base venstre]])=ROW(Styrkeberegning_G[[#Headers],[X base venstre]])+1,DB$7/(DA$7/$B$67),DB123/(DA123/$B$67))</f>
        <v>-2.8015817870135784</v>
      </c>
      <c r="DC124">
        <f>Styrkeberegning_G[[#This Row],[X base venstre]]*-1</f>
        <v>2.8015817870135784</v>
      </c>
      <c r="DN124" s="32">
        <f t="shared" si="157"/>
        <v>114</v>
      </c>
      <c r="DO124" s="32">
        <f t="shared" si="158"/>
        <v>115</v>
      </c>
      <c r="DP124" s="32">
        <f t="shared" si="159"/>
        <v>14.837930296191805</v>
      </c>
      <c r="DQ124" s="32" t="e">
        <f t="shared" si="160"/>
        <v>#N/A</v>
      </c>
      <c r="DR124" s="32" t="e">
        <f t="shared" si="161"/>
        <v>#N/A</v>
      </c>
      <c r="DS124" s="32">
        <f t="shared" si="162"/>
        <v>4.7276204397881473E-2</v>
      </c>
      <c r="DT124" s="32" t="e">
        <f t="shared" si="163"/>
        <v>#N/A</v>
      </c>
      <c r="DU124" s="32" t="b">
        <f t="shared" si="164"/>
        <v>0</v>
      </c>
      <c r="DV124" s="32" t="b">
        <f t="shared" si="165"/>
        <v>1</v>
      </c>
      <c r="DW124" s="32" t="b">
        <f t="shared" si="166"/>
        <v>0</v>
      </c>
      <c r="DX124" s="32" t="b">
        <f t="shared" si="167"/>
        <v>1</v>
      </c>
      <c r="DY124" s="32">
        <f t="shared" si="168"/>
        <v>4.7276204397881473E-2</v>
      </c>
      <c r="DZ124" s="32" t="e">
        <f t="shared" si="169"/>
        <v>#N/A</v>
      </c>
      <c r="EA124" s="32">
        <f t="shared" si="170"/>
        <v>4.7276204397881473E-2</v>
      </c>
      <c r="EB124" s="45" t="str">
        <f t="shared" si="171"/>
        <v/>
      </c>
      <c r="EG124" s="32">
        <f t="shared" si="172"/>
        <v>114</v>
      </c>
      <c r="EH124" s="32">
        <f t="shared" si="173"/>
        <v>115</v>
      </c>
      <c r="EI124" s="32">
        <f t="shared" si="174"/>
        <v>-0.35932933792649013</v>
      </c>
      <c r="EJ124" s="32">
        <f t="shared" si="175"/>
        <v>0.37400080851990369</v>
      </c>
      <c r="EK124" s="32" t="e">
        <f t="shared" si="176"/>
        <v>#N/A</v>
      </c>
      <c r="EL124" s="32" t="e">
        <f t="shared" si="177"/>
        <v>#N/A</v>
      </c>
      <c r="EM124" s="32" t="e">
        <f t="shared" si="178"/>
        <v>#N/A</v>
      </c>
      <c r="EN124" s="32" t="b">
        <f t="shared" si="179"/>
        <v>0</v>
      </c>
      <c r="EO124" s="32" t="b">
        <f t="shared" si="180"/>
        <v>1</v>
      </c>
      <c r="EP124" s="32" t="b">
        <f t="shared" si="181"/>
        <v>0</v>
      </c>
      <c r="EQ124" s="32" t="b">
        <f t="shared" si="182"/>
        <v>1</v>
      </c>
      <c r="ER124" s="32">
        <f t="shared" si="183"/>
        <v>0.37400080851990369</v>
      </c>
      <c r="ES124" s="32" t="e">
        <f t="shared" si="184"/>
        <v>#N/A</v>
      </c>
      <c r="ET124" s="32">
        <f t="shared" si="185"/>
        <v>0.37400080851990369</v>
      </c>
      <c r="EU124" s="45" t="str">
        <f t="shared" si="186"/>
        <v/>
      </c>
      <c r="EV12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4" s="32" t="e" cm="1">
        <f t="array" ref="EY124">IF($CR$3,INDEX(Eu_tabel_a[[#This Row],[Styrke venstre]:[Styrke tosidet]],EY$7),NA())</f>
        <v>#N/A</v>
      </c>
      <c r="EZ124" s="32" t="e">
        <f>IF(EY$3,IF(CHOOSE(EY$7,Eu_tabel_a[[#This Row],[x base]]&gt;0,Eu_tabel_a[[#This Row],[x base]]&lt;0,Eu_tabel_a[[#This Row],[x base]]=0),1,NA()),NA())</f>
        <v>#N/A</v>
      </c>
      <c r="FA124" s="32" t="e">
        <f>IF(CHOOSE(EY$7,Eu_tabel_a[[#This Row],[x base]]&gt;0,Eu_tabel_a[[#This Row],[x base]]&lt;0,Eu_tabel_a[[#This Row],[x base]]=0),Eu_tabel_a[[#This Row],[Styrke, aktiv]],NA())</f>
        <v>#N/A</v>
      </c>
      <c r="FB124" s="32" t="e">
        <f>IFERROR(IF($EY$3,Eu_tabel_a[[#This Row],[Styrke, aktiv]],NA()),NA())</f>
        <v>#N/A</v>
      </c>
      <c r="FC124" s="32" t="e">
        <f>IF(ISNA(Eu_tabel_a[[#This Row],[Sand negativ
Nulhypotese afvises
Korrekt]]),NA(),IF(EY$3,1,NA()))</f>
        <v>#N/A</v>
      </c>
      <c r="FD124" s="33" t="str" cm="1">
        <f t="array" ref="FD124">IFERROR(_xlfn.SWITCH(Eu_tabel_a[[#This Row],[Indeks]],_xlfn.IFNA(FB$2,-99),FB$5,_xlfn.IFNA(FB$3,-99),FB$6,_xlfn.IFNA(FB$4,-99),FB$7,""),"")</f>
        <v/>
      </c>
      <c r="FE124" s="32">
        <f>Eu_tabel_a[[#This Row],[x base]]*SQRT(Eu_a_h0_x*(1-Eu_a_h0_x)/Eu_a_n_x)+Eu_a_h0_x</f>
        <v>0</v>
      </c>
      <c r="FJ124" s="74" t="e">
        <f t="shared" si="130"/>
        <v>#N/A</v>
      </c>
      <c r="FK124" s="82" t="e">
        <f t="shared" si="218"/>
        <v>#DIV/0!</v>
      </c>
      <c r="FL124" s="7" t="e">
        <f t="shared" si="124"/>
        <v>#DIV/0!</v>
      </c>
      <c r="FM124" t="e">
        <f t="shared" si="219"/>
        <v>#DIV/0!</v>
      </c>
      <c r="FN124" s="8" t="e">
        <f t="shared" si="220"/>
        <v>#DIV/0!</v>
      </c>
      <c r="FO124" s="8" t="e">
        <f t="shared" si="221"/>
        <v>#DIV/0!</v>
      </c>
      <c r="FP124" s="81" t="e">
        <f t="shared" si="222"/>
        <v>#DIV/0!</v>
      </c>
      <c r="FQ124" s="74" t="e">
        <f t="shared" ca="1" si="125"/>
        <v>#N/A</v>
      </c>
      <c r="FR124" s="82" t="e" vm="3">
        <f t="shared" ca="1" si="131"/>
        <v>#VALUE!</v>
      </c>
      <c r="FS124" s="7" t="e" vm="3">
        <f t="shared" ca="1" si="126"/>
        <v>#VALUE!</v>
      </c>
      <c r="FT124" t="e" vm="3">
        <f t="shared" ca="1" si="120"/>
        <v>#VALUE!</v>
      </c>
      <c r="FU124" s="8" t="e" vm="3">
        <f t="shared" ca="1" si="121"/>
        <v>#VALUE!</v>
      </c>
      <c r="FV124" s="8" t="e" vm="3">
        <f t="shared" ca="1" si="122"/>
        <v>#VALUE!</v>
      </c>
      <c r="FW124" s="81" t="e" vm="3">
        <f t="shared" ca="1" si="123"/>
        <v>#VALUE!</v>
      </c>
      <c r="FX124" s="74" t="e">
        <f t="shared" si="127"/>
        <v>#N/A</v>
      </c>
      <c r="FY124" s="82" t="e">
        <f t="shared" si="132"/>
        <v>#N/A</v>
      </c>
      <c r="FZ124" s="7" t="e">
        <f t="shared" si="128"/>
        <v>#N/A</v>
      </c>
      <c r="GA124" t="e">
        <f t="shared" si="133"/>
        <v>#N/A</v>
      </c>
      <c r="GB124" s="8" t="e">
        <f t="shared" si="134"/>
        <v>#N/A</v>
      </c>
      <c r="GC124" s="8" t="e">
        <f t="shared" si="135"/>
        <v>#N/A</v>
      </c>
      <c r="GD124" s="81" t="e">
        <f t="shared" si="136"/>
        <v>#N/A</v>
      </c>
      <c r="GE124" s="74" t="e">
        <f t="shared" si="137"/>
        <v>#N/A</v>
      </c>
      <c r="GF124" s="82" t="e">
        <f t="shared" si="138"/>
        <v>#N/A</v>
      </c>
      <c r="GG124" s="7" t="e">
        <f t="shared" si="129"/>
        <v>#N/A</v>
      </c>
      <c r="GH124" t="e">
        <f t="shared" si="139"/>
        <v>#N/A</v>
      </c>
      <c r="GI124" s="8" t="e">
        <f t="shared" si="140"/>
        <v>#N/A</v>
      </c>
      <c r="GJ124" s="8" t="e">
        <f t="shared" si="141"/>
        <v>#N/A</v>
      </c>
      <c r="GK124" s="81" t="e">
        <f t="shared" si="142"/>
        <v>#N/A</v>
      </c>
      <c r="GL124" s="81"/>
      <c r="GM124" s="81"/>
      <c r="GP124" s="32">
        <f t="shared" si="187"/>
        <v>114</v>
      </c>
      <c r="GQ124" s="32">
        <f t="shared" si="188"/>
        <v>115</v>
      </c>
      <c r="GR124" s="32">
        <f t="shared" si="189"/>
        <v>-0.35932933792649013</v>
      </c>
      <c r="GS124" s="32">
        <f t="shared" si="190"/>
        <v>0.37400080851990369</v>
      </c>
      <c r="GT124" s="32" t="e">
        <f t="shared" si="191"/>
        <v>#N/A</v>
      </c>
      <c r="GU124" s="32" t="e">
        <f t="shared" si="192"/>
        <v>#N/A</v>
      </c>
      <c r="GV124" s="32" t="e">
        <f t="shared" si="193"/>
        <v>#N/A</v>
      </c>
      <c r="GW124" s="32" t="b">
        <f t="shared" si="194"/>
        <v>0</v>
      </c>
      <c r="GX124" s="32" t="b">
        <f t="shared" si="195"/>
        <v>1</v>
      </c>
      <c r="GY124" s="32" t="b">
        <f t="shared" si="196"/>
        <v>0</v>
      </c>
      <c r="GZ124" s="32" t="b">
        <f t="shared" si="197"/>
        <v>1</v>
      </c>
      <c r="HA124" s="32">
        <f t="shared" si="198"/>
        <v>0.37400080851990369</v>
      </c>
      <c r="HB124" s="32" t="e">
        <f t="shared" si="199"/>
        <v>#N/A</v>
      </c>
      <c r="HC124" s="32">
        <f t="shared" si="200"/>
        <v>0.37400080851990369</v>
      </c>
      <c r="HD124" s="45" t="str">
        <f t="shared" si="201"/>
        <v/>
      </c>
      <c r="HJ124" s="32">
        <f t="shared" si="202"/>
        <v>114</v>
      </c>
      <c r="HK124" s="32">
        <f t="shared" si="203"/>
        <v>115</v>
      </c>
      <c r="HL124" s="32">
        <f t="shared" si="204"/>
        <v>-0.55642902658585225</v>
      </c>
      <c r="HM124" s="32" t="e">
        <f t="shared" si="205"/>
        <v>#N/A</v>
      </c>
      <c r="HN124" s="32">
        <f t="shared" si="206"/>
        <v>0.32379165108150787</v>
      </c>
      <c r="HO124" s="32" t="e">
        <f t="shared" si="207"/>
        <v>#N/A</v>
      </c>
      <c r="HP124" s="32" t="e">
        <f t="shared" si="208"/>
        <v>#N/A</v>
      </c>
      <c r="HQ124" s="32" t="b">
        <f t="shared" si="209"/>
        <v>1</v>
      </c>
      <c r="HR124" s="32" t="b">
        <f t="shared" si="210"/>
        <v>0</v>
      </c>
      <c r="HS124" s="32" t="b">
        <f t="shared" si="211"/>
        <v>0</v>
      </c>
      <c r="HT124" s="32" t="b">
        <f t="shared" si="212"/>
        <v>1</v>
      </c>
      <c r="HU124" s="32">
        <f t="shared" si="213"/>
        <v>0.32379165108150787</v>
      </c>
      <c r="HV124" s="32">
        <f t="shared" si="214"/>
        <v>0.32379165108150787</v>
      </c>
      <c r="HW124" s="32" t="e">
        <f t="shared" si="215"/>
        <v>#N/A</v>
      </c>
      <c r="HX124" s="45" t="str">
        <f t="shared" si="216"/>
        <v/>
      </c>
    </row>
    <row r="125" spans="78:232" x14ac:dyDescent="0.2">
      <c r="BZ125" s="32">
        <f t="shared" si="143"/>
        <v>115</v>
      </c>
      <c r="CA125" s="32">
        <f>Eu_tabel_g[[#This Row],[Indeks]]+1</f>
        <v>116</v>
      </c>
      <c r="CB125" s="32">
        <f t="shared" si="144"/>
        <v>-0.33537404873139076</v>
      </c>
      <c r="CC125" s="32">
        <f t="shared" si="145"/>
        <v>0.37712581912279941</v>
      </c>
      <c r="CD125" s="32" t="e">
        <f t="shared" si="146"/>
        <v>#N/A</v>
      </c>
      <c r="CE125" s="32" t="e">
        <f t="shared" si="147"/>
        <v>#N/A</v>
      </c>
      <c r="CF125" s="32" t="e">
        <f t="shared" si="148"/>
        <v>#N/A</v>
      </c>
      <c r="CG125" s="32" t="b">
        <f t="shared" si="149"/>
        <v>0</v>
      </c>
      <c r="CH125" s="32" t="b">
        <f t="shared" si="150"/>
        <v>1</v>
      </c>
      <c r="CI125" s="32" t="b">
        <f t="shared" si="151"/>
        <v>0</v>
      </c>
      <c r="CJ125" s="32" t="b">
        <f t="shared" si="152"/>
        <v>1</v>
      </c>
      <c r="CK125" s="32">
        <f t="shared" si="217"/>
        <v>0.37712581912279941</v>
      </c>
      <c r="CL125" s="32" t="e">
        <f t="shared" si="153"/>
        <v>#N/A</v>
      </c>
      <c r="CM125" s="32">
        <f t="shared" si="154"/>
        <v>0.37712581912279941</v>
      </c>
      <c r="CN125" s="45" t="str">
        <f t="shared" si="155"/>
        <v/>
      </c>
      <c r="CO125" s="32">
        <f>_xlfn.NORM.DIST(_xlfn.NORM.INV(1-Eu_g_konfidensniveau,0,1)-Eu_tabel_g[[#This Row],[x base]],0,1,TRUE)</f>
        <v>9.5185975462999145E-2</v>
      </c>
      <c r="CP125" s="32">
        <f>1-_xlfn.NORM.DIST(_xlfn.NORM.INV(Eu_g_konfidensniveau,0,1)-Eu_tabel_g[[#This Row],[x base]],0,1,TRUE)</f>
        <v>2.3838975689185804E-2</v>
      </c>
      <c r="CQ125" s="32">
        <f>_xlfn.NORM.DIST(_xlfn.NORM.INV((1-Eu_g_konfidensniveau)/2,0,1)-Eu_tabel_g[[#This Row],[x base]],0,1,TRUE)+1-_xlfn.NORM.DIST(_xlfn.NORM.INV(1-(1-Eu_g_konfidensniveau)/2,0,1)-Eu_tabel_g[[#This Row],[x base]],0,1,TRUE)</f>
        <v>6.2981861292597308E-2</v>
      </c>
      <c r="CR125" s="32" t="e" cm="1">
        <f t="array" ref="CR125">IF($CR$3,INDEX(Eu_tabel_g[[#This Row],[Styrke venstre]:[Styrke tosidet]],CR$7),NA())</f>
        <v>#N/A</v>
      </c>
      <c r="CS125" s="52" t="e">
        <f>Eu_tabel_g[[#This Row],[Falsk positiv
Nulhypotese accepteres
Fejltype 1]]</f>
        <v>#N/A</v>
      </c>
      <c r="CT125" s="52" t="e">
        <f>IF(CHOOSE(CR$7,Eu_tabel_g[[#This Row],[x base]]&gt;0,Eu_tabel_g[[#This Row],[x base]]&lt;0,Eu_tabel_g[[#This Row],[x base]]=0),Eu_tabel_g[[#This Row],[Styrke, aktiv]],NA())</f>
        <v>#N/A</v>
      </c>
      <c r="CU125" s="52" t="e">
        <f>IFERROR(IF($CR$3,Eu_tabel_g[[#This Row],[Styrke, aktiv]],NA()),NA())</f>
        <v>#N/A</v>
      </c>
      <c r="CV125" s="52" t="e">
        <f>IF(ISNA(Eu_tabel_g[[#This Row],[Sand negativ
Nulhypotese afvises
Korrekt]]),NA(),IF($CR$3,1,NA()))</f>
        <v>#N/A</v>
      </c>
      <c r="CW125" s="34" t="str" cm="1">
        <f t="array" ref="CW125">_xlfn.SWITCH(BZ125,_xlfn.IFNA(CU$2,-99),CU$5,_xlfn.IFNA(CU$3,-99),CU$6,_xlfn.IFNA(CU$4,-99),CU$7,"")</f>
        <v/>
      </c>
      <c r="DA125" s="7">
        <f t="shared" si="156"/>
        <v>0.8</v>
      </c>
      <c r="DB125">
        <f>IF(ROW(Styrkeberegning_G[[#This Row],[X base venstre]])=ROW(Styrkeberegning_G[[#Headers],[X base venstre]])+1,DB$7/(DA$7/$B$67),DB124/(DA124/$B$67))</f>
        <v>-2.8015817870135784</v>
      </c>
      <c r="DC125">
        <f>Styrkeberegning_G[[#This Row],[X base venstre]]*-1</f>
        <v>2.8015817870135784</v>
      </c>
      <c r="DN125" s="32">
        <f t="shared" si="157"/>
        <v>115</v>
      </c>
      <c r="DO125" s="32">
        <f t="shared" si="158"/>
        <v>116</v>
      </c>
      <c r="DP125" s="32">
        <f t="shared" si="159"/>
        <v>14.952001152608807</v>
      </c>
      <c r="DQ125" s="32" t="e">
        <f t="shared" si="160"/>
        <v>#N/A</v>
      </c>
      <c r="DR125" s="32" t="e">
        <f t="shared" si="161"/>
        <v>#N/A</v>
      </c>
      <c r="DS125" s="32">
        <f t="shared" si="162"/>
        <v>4.6221007593830528E-2</v>
      </c>
      <c r="DT125" s="32" t="e">
        <f t="shared" si="163"/>
        <v>#N/A</v>
      </c>
      <c r="DU125" s="32" t="b">
        <f t="shared" si="164"/>
        <v>0</v>
      </c>
      <c r="DV125" s="32" t="b">
        <f t="shared" si="165"/>
        <v>1</v>
      </c>
      <c r="DW125" s="32" t="b">
        <f t="shared" si="166"/>
        <v>0</v>
      </c>
      <c r="DX125" s="32" t="b">
        <f t="shared" si="167"/>
        <v>1</v>
      </c>
      <c r="DY125" s="32">
        <f t="shared" si="168"/>
        <v>4.6221007593830528E-2</v>
      </c>
      <c r="DZ125" s="32" t="e">
        <f t="shared" si="169"/>
        <v>#N/A</v>
      </c>
      <c r="EA125" s="32">
        <f t="shared" si="170"/>
        <v>4.6221007593830528E-2</v>
      </c>
      <c r="EB125" s="45" t="str">
        <f t="shared" si="171"/>
        <v/>
      </c>
      <c r="EG125" s="32">
        <f t="shared" si="172"/>
        <v>115</v>
      </c>
      <c r="EH125" s="32">
        <f t="shared" si="173"/>
        <v>116</v>
      </c>
      <c r="EI125" s="32">
        <f t="shared" si="174"/>
        <v>-0.33537404873139076</v>
      </c>
      <c r="EJ125" s="32">
        <f t="shared" si="175"/>
        <v>0.37712581912279941</v>
      </c>
      <c r="EK125" s="32" t="e">
        <f t="shared" si="176"/>
        <v>#N/A</v>
      </c>
      <c r="EL125" s="32" t="e">
        <f t="shared" si="177"/>
        <v>#N/A</v>
      </c>
      <c r="EM125" s="32" t="e">
        <f t="shared" si="178"/>
        <v>#N/A</v>
      </c>
      <c r="EN125" s="32" t="b">
        <f t="shared" si="179"/>
        <v>0</v>
      </c>
      <c r="EO125" s="32" t="b">
        <f t="shared" si="180"/>
        <v>1</v>
      </c>
      <c r="EP125" s="32" t="b">
        <f t="shared" si="181"/>
        <v>0</v>
      </c>
      <c r="EQ125" s="32" t="b">
        <f t="shared" si="182"/>
        <v>1</v>
      </c>
      <c r="ER125" s="32">
        <f t="shared" si="183"/>
        <v>0.37712581912279941</v>
      </c>
      <c r="ES125" s="32" t="e">
        <f t="shared" si="184"/>
        <v>#N/A</v>
      </c>
      <c r="ET125" s="32">
        <f t="shared" si="185"/>
        <v>0.37712581912279941</v>
      </c>
      <c r="EU125" s="45" t="str">
        <f t="shared" si="186"/>
        <v/>
      </c>
      <c r="EV12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5" s="32" t="e" cm="1">
        <f t="array" ref="EY125">IF($CR$3,INDEX(Eu_tabel_a[[#This Row],[Styrke venstre]:[Styrke tosidet]],EY$7),NA())</f>
        <v>#N/A</v>
      </c>
      <c r="EZ125" s="32" t="e">
        <f>IF(EY$3,IF(CHOOSE(EY$7,Eu_tabel_a[[#This Row],[x base]]&gt;0,Eu_tabel_a[[#This Row],[x base]]&lt;0,Eu_tabel_a[[#This Row],[x base]]=0),1,NA()),NA())</f>
        <v>#N/A</v>
      </c>
      <c r="FA125" s="32" t="e">
        <f>IF(CHOOSE(EY$7,Eu_tabel_a[[#This Row],[x base]]&gt;0,Eu_tabel_a[[#This Row],[x base]]&lt;0,Eu_tabel_a[[#This Row],[x base]]=0),Eu_tabel_a[[#This Row],[Styrke, aktiv]],NA())</f>
        <v>#N/A</v>
      </c>
      <c r="FB125" s="32" t="e">
        <f>IFERROR(IF($EY$3,Eu_tabel_a[[#This Row],[Styrke, aktiv]],NA()),NA())</f>
        <v>#N/A</v>
      </c>
      <c r="FC125" s="32" t="e">
        <f>IF(ISNA(Eu_tabel_a[[#This Row],[Sand negativ
Nulhypotese afvises
Korrekt]]),NA(),IF(EY$3,1,NA()))</f>
        <v>#N/A</v>
      </c>
      <c r="FD125" s="33" t="str" cm="1">
        <f t="array" ref="FD125">IFERROR(_xlfn.SWITCH(Eu_tabel_a[[#This Row],[Indeks]],_xlfn.IFNA(FB$2,-99),FB$5,_xlfn.IFNA(FB$3,-99),FB$6,_xlfn.IFNA(FB$4,-99),FB$7,""),"")</f>
        <v/>
      </c>
      <c r="FE125" s="32">
        <f>Eu_tabel_a[[#This Row],[x base]]*SQRT(Eu_a_h0_x*(1-Eu_a_h0_x)/Eu_a_n_x)+Eu_a_h0_x</f>
        <v>0</v>
      </c>
      <c r="FJ125" s="74" t="e">
        <f t="shared" si="130"/>
        <v>#N/A</v>
      </c>
      <c r="FK125" s="82" t="e">
        <f t="shared" si="218"/>
        <v>#DIV/0!</v>
      </c>
      <c r="FL125" s="7" t="e">
        <f t="shared" si="124"/>
        <v>#DIV/0!</v>
      </c>
      <c r="FM125" t="e">
        <f t="shared" si="219"/>
        <v>#DIV/0!</v>
      </c>
      <c r="FN125" s="8" t="e">
        <f t="shared" si="220"/>
        <v>#DIV/0!</v>
      </c>
      <c r="FO125" s="8" t="e">
        <f t="shared" si="221"/>
        <v>#DIV/0!</v>
      </c>
      <c r="FP125" s="81" t="e">
        <f t="shared" si="222"/>
        <v>#DIV/0!</v>
      </c>
      <c r="FQ125" s="74" t="e">
        <f t="shared" ca="1" si="125"/>
        <v>#N/A</v>
      </c>
      <c r="FR125" s="82" t="e" vm="3">
        <f t="shared" ca="1" si="131"/>
        <v>#VALUE!</v>
      </c>
      <c r="FS125" s="7" t="e" vm="3">
        <f t="shared" ca="1" si="126"/>
        <v>#VALUE!</v>
      </c>
      <c r="FT125" t="e" vm="3">
        <f t="shared" ca="1" si="120"/>
        <v>#VALUE!</v>
      </c>
      <c r="FU125" s="8" t="e" vm="3">
        <f t="shared" ca="1" si="121"/>
        <v>#VALUE!</v>
      </c>
      <c r="FV125" s="8" t="e" vm="3">
        <f t="shared" ca="1" si="122"/>
        <v>#VALUE!</v>
      </c>
      <c r="FW125" s="81" t="e" vm="3">
        <f t="shared" ca="1" si="123"/>
        <v>#VALUE!</v>
      </c>
      <c r="FX125" s="74" t="e">
        <f t="shared" si="127"/>
        <v>#N/A</v>
      </c>
      <c r="FY125" s="82" t="e">
        <f t="shared" si="132"/>
        <v>#N/A</v>
      </c>
      <c r="FZ125" s="7" t="e">
        <f t="shared" si="128"/>
        <v>#N/A</v>
      </c>
      <c r="GA125" t="e">
        <f t="shared" si="133"/>
        <v>#N/A</v>
      </c>
      <c r="GB125" s="8" t="e">
        <f t="shared" si="134"/>
        <v>#N/A</v>
      </c>
      <c r="GC125" s="8" t="e">
        <f t="shared" si="135"/>
        <v>#N/A</v>
      </c>
      <c r="GD125" s="81" t="e">
        <f t="shared" si="136"/>
        <v>#N/A</v>
      </c>
      <c r="GE125" s="74" t="e">
        <f t="shared" si="137"/>
        <v>#N/A</v>
      </c>
      <c r="GF125" s="82" t="e">
        <f t="shared" si="138"/>
        <v>#N/A</v>
      </c>
      <c r="GG125" s="7" t="e">
        <f t="shared" si="129"/>
        <v>#N/A</v>
      </c>
      <c r="GH125" t="e">
        <f t="shared" si="139"/>
        <v>#N/A</v>
      </c>
      <c r="GI125" s="8" t="e">
        <f t="shared" si="140"/>
        <v>#N/A</v>
      </c>
      <c r="GJ125" s="8" t="e">
        <f t="shared" si="141"/>
        <v>#N/A</v>
      </c>
      <c r="GK125" s="81" t="e">
        <f t="shared" si="142"/>
        <v>#N/A</v>
      </c>
      <c r="GL125" s="81"/>
      <c r="GM125" s="81"/>
      <c r="GP125" s="32">
        <f t="shared" si="187"/>
        <v>115</v>
      </c>
      <c r="GQ125" s="32">
        <f t="shared" si="188"/>
        <v>116</v>
      </c>
      <c r="GR125" s="32">
        <f t="shared" si="189"/>
        <v>-0.33537404873139076</v>
      </c>
      <c r="GS125" s="32">
        <f t="shared" si="190"/>
        <v>0.37712581912279941</v>
      </c>
      <c r="GT125" s="32" t="e">
        <f t="shared" si="191"/>
        <v>#N/A</v>
      </c>
      <c r="GU125" s="32" t="e">
        <f t="shared" si="192"/>
        <v>#N/A</v>
      </c>
      <c r="GV125" s="32" t="e">
        <f t="shared" si="193"/>
        <v>#N/A</v>
      </c>
      <c r="GW125" s="32" t="b">
        <f t="shared" si="194"/>
        <v>0</v>
      </c>
      <c r="GX125" s="32" t="b">
        <f t="shared" si="195"/>
        <v>1</v>
      </c>
      <c r="GY125" s="32" t="b">
        <f t="shared" si="196"/>
        <v>0</v>
      </c>
      <c r="GZ125" s="32" t="b">
        <f t="shared" si="197"/>
        <v>1</v>
      </c>
      <c r="HA125" s="32">
        <f t="shared" si="198"/>
        <v>0.37712581912279941</v>
      </c>
      <c r="HB125" s="32" t="e">
        <f t="shared" si="199"/>
        <v>#N/A</v>
      </c>
      <c r="HC125" s="32">
        <f t="shared" si="200"/>
        <v>0.37712581912279941</v>
      </c>
      <c r="HD125" s="45" t="str">
        <f t="shared" si="201"/>
        <v/>
      </c>
      <c r="HJ125" s="32">
        <f t="shared" si="202"/>
        <v>115</v>
      </c>
      <c r="HK125" s="32">
        <f t="shared" si="203"/>
        <v>116</v>
      </c>
      <c r="HL125" s="32">
        <f t="shared" si="204"/>
        <v>-0.51933375814679561</v>
      </c>
      <c r="HM125" s="32" t="e">
        <f t="shared" si="205"/>
        <v>#N/A</v>
      </c>
      <c r="HN125" s="32">
        <f t="shared" si="206"/>
        <v>0.33095998215482658</v>
      </c>
      <c r="HO125" s="32" t="e">
        <f t="shared" si="207"/>
        <v>#N/A</v>
      </c>
      <c r="HP125" s="32" t="e">
        <f t="shared" si="208"/>
        <v>#N/A</v>
      </c>
      <c r="HQ125" s="32" t="b">
        <f t="shared" si="209"/>
        <v>1</v>
      </c>
      <c r="HR125" s="32" t="b">
        <f t="shared" si="210"/>
        <v>0</v>
      </c>
      <c r="HS125" s="32" t="b">
        <f t="shared" si="211"/>
        <v>0</v>
      </c>
      <c r="HT125" s="32" t="b">
        <f t="shared" si="212"/>
        <v>1</v>
      </c>
      <c r="HU125" s="32">
        <f t="shared" si="213"/>
        <v>0.33095998215482658</v>
      </c>
      <c r="HV125" s="32">
        <f t="shared" si="214"/>
        <v>0.33095998215482658</v>
      </c>
      <c r="HW125" s="32" t="e">
        <f t="shared" si="215"/>
        <v>#N/A</v>
      </c>
      <c r="HX125" s="45" t="str">
        <f t="shared" si="216"/>
        <v/>
      </c>
    </row>
    <row r="126" spans="78:232" x14ac:dyDescent="0.2">
      <c r="BZ126" s="32">
        <f t="shared" si="143"/>
        <v>116</v>
      </c>
      <c r="CA126" s="32">
        <f>Eu_tabel_g[[#This Row],[Indeks]]+1</f>
        <v>117</v>
      </c>
      <c r="CB126" s="32">
        <f t="shared" si="144"/>
        <v>-0.31141875953629139</v>
      </c>
      <c r="CC126" s="32">
        <f t="shared" si="145"/>
        <v>0.38005877958699552</v>
      </c>
      <c r="CD126" s="32" t="e">
        <f t="shared" si="146"/>
        <v>#N/A</v>
      </c>
      <c r="CE126" s="32" t="e">
        <f t="shared" si="147"/>
        <v>#N/A</v>
      </c>
      <c r="CF126" s="32" t="e">
        <f t="shared" si="148"/>
        <v>#N/A</v>
      </c>
      <c r="CG126" s="32" t="b">
        <f t="shared" si="149"/>
        <v>0</v>
      </c>
      <c r="CH126" s="32" t="b">
        <f t="shared" si="150"/>
        <v>1</v>
      </c>
      <c r="CI126" s="32" t="b">
        <f t="shared" si="151"/>
        <v>0</v>
      </c>
      <c r="CJ126" s="32" t="b">
        <f t="shared" si="152"/>
        <v>1</v>
      </c>
      <c r="CK126" s="32">
        <f t="shared" ref="CK126:CK157" si="223">_xlfn.AGGREGATE(9,6,CC126:CF126)</f>
        <v>0.38005877958699552</v>
      </c>
      <c r="CL126" s="32" t="e">
        <f t="shared" si="153"/>
        <v>#N/A</v>
      </c>
      <c r="CM126" s="32">
        <f t="shared" si="154"/>
        <v>0.38005877958699552</v>
      </c>
      <c r="CN126" s="45" t="str">
        <f t="shared" si="155"/>
        <v/>
      </c>
      <c r="CO126" s="32">
        <f>_xlfn.NORM.DIST(_xlfn.NORM.INV(1-Eu_g_konfidensniveau,0,1)-Eu_tabel_g[[#This Row],[x base]],0,1,TRUE)</f>
        <v>9.1194568240704876E-2</v>
      </c>
      <c r="CP126" s="32">
        <f>1-_xlfn.NORM.DIST(_xlfn.NORM.INV(Eu_g_konfidensniveau,0,1)-Eu_tabel_g[[#This Row],[x base]],0,1,TRUE)</f>
        <v>2.5216537638391379E-2</v>
      </c>
      <c r="CQ126" s="32">
        <f>_xlfn.NORM.DIST(_xlfn.NORM.INV((1-Eu_g_konfidensniveau)/2,0,1)-Eu_tabel_g[[#This Row],[x base]],0,1,TRUE)+1-_xlfn.NORM.DIST(_xlfn.NORM.INV(1-(1-Eu_g_konfidensniveau)/2,0,1)-Eu_tabel_g[[#This Row],[x base]],0,1,TRUE)</f>
        <v>6.1182328184333556E-2</v>
      </c>
      <c r="CR126" s="32" t="e" cm="1">
        <f t="array" ref="CR126">IF($CR$3,INDEX(Eu_tabel_g[[#This Row],[Styrke venstre]:[Styrke tosidet]],CR$7),NA())</f>
        <v>#N/A</v>
      </c>
      <c r="CS126" s="52" t="e">
        <f>Eu_tabel_g[[#This Row],[Falsk positiv
Nulhypotese accepteres
Fejltype 1]]</f>
        <v>#N/A</v>
      </c>
      <c r="CT126" s="52" t="e">
        <f>IF(CHOOSE(CR$7,Eu_tabel_g[[#This Row],[x base]]&gt;0,Eu_tabel_g[[#This Row],[x base]]&lt;0,Eu_tabel_g[[#This Row],[x base]]=0),Eu_tabel_g[[#This Row],[Styrke, aktiv]],NA())</f>
        <v>#N/A</v>
      </c>
      <c r="CU126" s="52" t="e">
        <f>IFERROR(IF($CR$3,Eu_tabel_g[[#This Row],[Styrke, aktiv]],NA()),NA())</f>
        <v>#N/A</v>
      </c>
      <c r="CV126" s="52" t="e">
        <f>IF(ISNA(Eu_tabel_g[[#This Row],[Sand negativ
Nulhypotese afvises
Korrekt]]),NA(),IF($CR$3,1,NA()))</f>
        <v>#N/A</v>
      </c>
      <c r="CW126" s="34" t="str" cm="1">
        <f t="array" ref="CW126">_xlfn.SWITCH(BZ126,_xlfn.IFNA(CU$2,-99),CU$5,_xlfn.IFNA(CU$3,-99),CU$6,_xlfn.IFNA(CU$4,-99),CU$7,"")</f>
        <v/>
      </c>
      <c r="DA126" s="7">
        <f t="shared" si="156"/>
        <v>0.8</v>
      </c>
      <c r="DB126">
        <f>IF(ROW(Styrkeberegning_G[[#This Row],[X base venstre]])=ROW(Styrkeberegning_G[[#Headers],[X base venstre]])+1,DB$7/(DA$7/$B$67),DB125/(DA125/$B$67))</f>
        <v>-2.8015817870135784</v>
      </c>
      <c r="DC126">
        <f>Styrkeberegning_G[[#This Row],[X base venstre]]*-1</f>
        <v>2.8015817870135784</v>
      </c>
      <c r="DN126" s="32">
        <f t="shared" si="157"/>
        <v>116</v>
      </c>
      <c r="DO126" s="32">
        <f t="shared" si="158"/>
        <v>117</v>
      </c>
      <c r="DP126" s="32">
        <f t="shared" si="159"/>
        <v>15.066072009025806</v>
      </c>
      <c r="DQ126" s="32" t="e">
        <f t="shared" si="160"/>
        <v>#N/A</v>
      </c>
      <c r="DR126" s="32" t="e">
        <f t="shared" si="161"/>
        <v>#N/A</v>
      </c>
      <c r="DS126" s="32">
        <f t="shared" si="162"/>
        <v>4.5177527956623796E-2</v>
      </c>
      <c r="DT126" s="32" t="e">
        <f t="shared" si="163"/>
        <v>#N/A</v>
      </c>
      <c r="DU126" s="32" t="b">
        <f t="shared" si="164"/>
        <v>0</v>
      </c>
      <c r="DV126" s="32" t="b">
        <f t="shared" si="165"/>
        <v>1</v>
      </c>
      <c r="DW126" s="32" t="b">
        <f t="shared" si="166"/>
        <v>0</v>
      </c>
      <c r="DX126" s="32" t="b">
        <f t="shared" si="167"/>
        <v>1</v>
      </c>
      <c r="DY126" s="32">
        <f t="shared" si="168"/>
        <v>4.5177527956623796E-2</v>
      </c>
      <c r="DZ126" s="32" t="e">
        <f t="shared" si="169"/>
        <v>#N/A</v>
      </c>
      <c r="EA126" s="32">
        <f t="shared" si="170"/>
        <v>4.5177527956623796E-2</v>
      </c>
      <c r="EB126" s="45" t="str">
        <f t="shared" si="171"/>
        <v/>
      </c>
      <c r="EG126" s="32">
        <f t="shared" si="172"/>
        <v>116</v>
      </c>
      <c r="EH126" s="32">
        <f t="shared" si="173"/>
        <v>117</v>
      </c>
      <c r="EI126" s="32">
        <f t="shared" si="174"/>
        <v>-0.31141875953629139</v>
      </c>
      <c r="EJ126" s="32">
        <f t="shared" si="175"/>
        <v>0.38005877958699552</v>
      </c>
      <c r="EK126" s="32" t="e">
        <f t="shared" si="176"/>
        <v>#N/A</v>
      </c>
      <c r="EL126" s="32" t="e">
        <f t="shared" si="177"/>
        <v>#N/A</v>
      </c>
      <c r="EM126" s="32" t="e">
        <f t="shared" si="178"/>
        <v>#N/A</v>
      </c>
      <c r="EN126" s="32" t="b">
        <f t="shared" si="179"/>
        <v>0</v>
      </c>
      <c r="EO126" s="32" t="b">
        <f t="shared" si="180"/>
        <v>1</v>
      </c>
      <c r="EP126" s="32" t="b">
        <f t="shared" si="181"/>
        <v>0</v>
      </c>
      <c r="EQ126" s="32" t="b">
        <f t="shared" si="182"/>
        <v>1</v>
      </c>
      <c r="ER126" s="32">
        <f t="shared" si="183"/>
        <v>0.38005877958699552</v>
      </c>
      <c r="ES126" s="32" t="e">
        <f t="shared" si="184"/>
        <v>#N/A</v>
      </c>
      <c r="ET126" s="32">
        <f t="shared" si="185"/>
        <v>0.38005877958699552</v>
      </c>
      <c r="EU126" s="45" t="str">
        <f t="shared" si="186"/>
        <v/>
      </c>
      <c r="EV12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6" s="32" t="e" cm="1">
        <f t="array" ref="EY126">IF($CR$3,INDEX(Eu_tabel_a[[#This Row],[Styrke venstre]:[Styrke tosidet]],EY$7),NA())</f>
        <v>#N/A</v>
      </c>
      <c r="EZ126" s="32" t="e">
        <f>IF(EY$3,IF(CHOOSE(EY$7,Eu_tabel_a[[#This Row],[x base]]&gt;0,Eu_tabel_a[[#This Row],[x base]]&lt;0,Eu_tabel_a[[#This Row],[x base]]=0),1,NA()),NA())</f>
        <v>#N/A</v>
      </c>
      <c r="FA126" s="32" t="e">
        <f>IF(CHOOSE(EY$7,Eu_tabel_a[[#This Row],[x base]]&gt;0,Eu_tabel_a[[#This Row],[x base]]&lt;0,Eu_tabel_a[[#This Row],[x base]]=0),Eu_tabel_a[[#This Row],[Styrke, aktiv]],NA())</f>
        <v>#N/A</v>
      </c>
      <c r="FB126" s="32" t="e">
        <f>IFERROR(IF($EY$3,Eu_tabel_a[[#This Row],[Styrke, aktiv]],NA()),NA())</f>
        <v>#N/A</v>
      </c>
      <c r="FC126" s="32" t="e">
        <f>IF(ISNA(Eu_tabel_a[[#This Row],[Sand negativ
Nulhypotese afvises
Korrekt]]),NA(),IF(EY$3,1,NA()))</f>
        <v>#N/A</v>
      </c>
      <c r="FD126" s="33" t="str" cm="1">
        <f t="array" ref="FD126">IFERROR(_xlfn.SWITCH(Eu_tabel_a[[#This Row],[Indeks]],_xlfn.IFNA(FB$2,-99),FB$5,_xlfn.IFNA(FB$3,-99),FB$6,_xlfn.IFNA(FB$4,-99),FB$7,""),"")</f>
        <v/>
      </c>
      <c r="FE126" s="32">
        <f>Eu_tabel_a[[#This Row],[x base]]*SQRT(Eu_a_h0_x*(1-Eu_a_h0_x)/Eu_a_n_x)+Eu_a_h0_x</f>
        <v>0</v>
      </c>
      <c r="FJ126" s="74" t="e">
        <f t="shared" si="130"/>
        <v>#N/A</v>
      </c>
      <c r="FK126" s="82" t="e">
        <f t="shared" si="218"/>
        <v>#DIV/0!</v>
      </c>
      <c r="FL126" s="7" t="e">
        <f t="shared" si="124"/>
        <v>#DIV/0!</v>
      </c>
      <c r="FM126" t="e">
        <f t="shared" si="219"/>
        <v>#DIV/0!</v>
      </c>
      <c r="FN126" s="8" t="e">
        <f t="shared" si="220"/>
        <v>#DIV/0!</v>
      </c>
      <c r="FO126" s="8" t="e">
        <f t="shared" si="221"/>
        <v>#DIV/0!</v>
      </c>
      <c r="FP126" s="81" t="e">
        <f t="shared" si="222"/>
        <v>#DIV/0!</v>
      </c>
      <c r="FQ126" s="74" t="e">
        <f t="shared" ca="1" si="125"/>
        <v>#N/A</v>
      </c>
      <c r="FR126" s="82" t="e" vm="3">
        <f t="shared" ca="1" si="131"/>
        <v>#VALUE!</v>
      </c>
      <c r="FS126" s="7" t="e" vm="3">
        <f t="shared" ca="1" si="126"/>
        <v>#VALUE!</v>
      </c>
      <c r="FT126" t="e" vm="3">
        <f t="shared" ca="1" si="120"/>
        <v>#VALUE!</v>
      </c>
      <c r="FU126" s="8" t="e" vm="3">
        <f t="shared" ca="1" si="121"/>
        <v>#VALUE!</v>
      </c>
      <c r="FV126" s="8" t="e" vm="3">
        <f t="shared" ca="1" si="122"/>
        <v>#VALUE!</v>
      </c>
      <c r="FW126" s="81" t="e" vm="3">
        <f t="shared" ca="1" si="123"/>
        <v>#VALUE!</v>
      </c>
      <c r="FX126" s="74" t="e">
        <f t="shared" si="127"/>
        <v>#N/A</v>
      </c>
      <c r="FY126" s="82" t="e">
        <f t="shared" si="132"/>
        <v>#N/A</v>
      </c>
      <c r="FZ126" s="7" t="e">
        <f t="shared" si="128"/>
        <v>#N/A</v>
      </c>
      <c r="GA126" t="e">
        <f t="shared" si="133"/>
        <v>#N/A</v>
      </c>
      <c r="GB126" s="8" t="e">
        <f t="shared" si="134"/>
        <v>#N/A</v>
      </c>
      <c r="GC126" s="8" t="e">
        <f t="shared" si="135"/>
        <v>#N/A</v>
      </c>
      <c r="GD126" s="81" t="e">
        <f t="shared" si="136"/>
        <v>#N/A</v>
      </c>
      <c r="GE126" s="74" t="e">
        <f t="shared" si="137"/>
        <v>#N/A</v>
      </c>
      <c r="GF126" s="82" t="e">
        <f t="shared" si="138"/>
        <v>#N/A</v>
      </c>
      <c r="GG126" s="7" t="e">
        <f t="shared" si="129"/>
        <v>#N/A</v>
      </c>
      <c r="GH126" t="e">
        <f t="shared" si="139"/>
        <v>#N/A</v>
      </c>
      <c r="GI126" s="8" t="e">
        <f t="shared" si="140"/>
        <v>#N/A</v>
      </c>
      <c r="GJ126" s="8" t="e">
        <f t="shared" si="141"/>
        <v>#N/A</v>
      </c>
      <c r="GK126" s="81" t="e">
        <f t="shared" si="142"/>
        <v>#N/A</v>
      </c>
      <c r="GL126" s="81"/>
      <c r="GM126" s="81"/>
      <c r="GP126" s="32">
        <f t="shared" si="187"/>
        <v>116</v>
      </c>
      <c r="GQ126" s="32">
        <f t="shared" si="188"/>
        <v>117</v>
      </c>
      <c r="GR126" s="32">
        <f t="shared" si="189"/>
        <v>-0.31141875953629139</v>
      </c>
      <c r="GS126" s="32">
        <f t="shared" si="190"/>
        <v>0.38005877958699552</v>
      </c>
      <c r="GT126" s="32" t="e">
        <f t="shared" si="191"/>
        <v>#N/A</v>
      </c>
      <c r="GU126" s="32" t="e">
        <f t="shared" si="192"/>
        <v>#N/A</v>
      </c>
      <c r="GV126" s="32" t="e">
        <f t="shared" si="193"/>
        <v>#N/A</v>
      </c>
      <c r="GW126" s="32" t="b">
        <f t="shared" si="194"/>
        <v>0</v>
      </c>
      <c r="GX126" s="32" t="b">
        <f t="shared" si="195"/>
        <v>1</v>
      </c>
      <c r="GY126" s="32" t="b">
        <f t="shared" si="196"/>
        <v>0</v>
      </c>
      <c r="GZ126" s="32" t="b">
        <f t="shared" si="197"/>
        <v>1</v>
      </c>
      <c r="HA126" s="32">
        <f t="shared" si="198"/>
        <v>0.38005877958699552</v>
      </c>
      <c r="HB126" s="32" t="e">
        <f t="shared" si="199"/>
        <v>#N/A</v>
      </c>
      <c r="HC126" s="32">
        <f t="shared" si="200"/>
        <v>0.38005877958699552</v>
      </c>
      <c r="HD126" s="45" t="str">
        <f t="shared" si="201"/>
        <v/>
      </c>
      <c r="HJ126" s="32">
        <f t="shared" si="202"/>
        <v>116</v>
      </c>
      <c r="HK126" s="32">
        <f t="shared" si="203"/>
        <v>117</v>
      </c>
      <c r="HL126" s="32">
        <f t="shared" si="204"/>
        <v>-0.48223848970773897</v>
      </c>
      <c r="HM126" s="32" t="e">
        <f t="shared" si="205"/>
        <v>#N/A</v>
      </c>
      <c r="HN126" s="32">
        <f t="shared" si="206"/>
        <v>0.3378131221968852</v>
      </c>
      <c r="HO126" s="32" t="e">
        <f t="shared" si="207"/>
        <v>#N/A</v>
      </c>
      <c r="HP126" s="32" t="e">
        <f t="shared" si="208"/>
        <v>#N/A</v>
      </c>
      <c r="HQ126" s="32" t="b">
        <f t="shared" si="209"/>
        <v>1</v>
      </c>
      <c r="HR126" s="32" t="b">
        <f t="shared" si="210"/>
        <v>0</v>
      </c>
      <c r="HS126" s="32" t="b">
        <f t="shared" si="211"/>
        <v>0</v>
      </c>
      <c r="HT126" s="32" t="b">
        <f t="shared" si="212"/>
        <v>1</v>
      </c>
      <c r="HU126" s="32">
        <f t="shared" si="213"/>
        <v>0.3378131221968852</v>
      </c>
      <c r="HV126" s="32">
        <f t="shared" si="214"/>
        <v>0.3378131221968852</v>
      </c>
      <c r="HW126" s="32" t="e">
        <f t="shared" si="215"/>
        <v>#N/A</v>
      </c>
      <c r="HX126" s="45" t="str">
        <f t="shared" si="216"/>
        <v/>
      </c>
    </row>
    <row r="127" spans="78:232" x14ac:dyDescent="0.2">
      <c r="BZ127" s="32">
        <f t="shared" si="143"/>
        <v>117</v>
      </c>
      <c r="CA127" s="32">
        <f>Eu_tabel_g[[#This Row],[Indeks]]+1</f>
        <v>118</v>
      </c>
      <c r="CB127" s="32">
        <f t="shared" si="144"/>
        <v>-0.28746347034119202</v>
      </c>
      <c r="CC127" s="32">
        <f t="shared" si="145"/>
        <v>0.38279481799811688</v>
      </c>
      <c r="CD127" s="32" t="e">
        <f t="shared" si="146"/>
        <v>#N/A</v>
      </c>
      <c r="CE127" s="32" t="e">
        <f t="shared" si="147"/>
        <v>#N/A</v>
      </c>
      <c r="CF127" s="32" t="e">
        <f t="shared" si="148"/>
        <v>#N/A</v>
      </c>
      <c r="CG127" s="32" t="b">
        <f t="shared" si="149"/>
        <v>0</v>
      </c>
      <c r="CH127" s="32" t="b">
        <f t="shared" si="150"/>
        <v>1</v>
      </c>
      <c r="CI127" s="32" t="b">
        <f t="shared" si="151"/>
        <v>0</v>
      </c>
      <c r="CJ127" s="32" t="b">
        <f t="shared" si="152"/>
        <v>1</v>
      </c>
      <c r="CK127" s="32">
        <f t="shared" si="223"/>
        <v>0.38279481799811688</v>
      </c>
      <c r="CL127" s="32" t="e">
        <f t="shared" si="153"/>
        <v>#N/A</v>
      </c>
      <c r="CM127" s="32">
        <f t="shared" si="154"/>
        <v>0.38279481799811688</v>
      </c>
      <c r="CN127" s="45" t="str">
        <f t="shared" si="155"/>
        <v/>
      </c>
      <c r="CO127" s="32">
        <f>_xlfn.NORM.DIST(_xlfn.NORM.INV(1-Eu_g_konfidensniveau,0,1)-Eu_tabel_g[[#This Row],[x base]],0,1,TRUE)</f>
        <v>8.732863711346614E-2</v>
      </c>
      <c r="CP127" s="32">
        <f>1-_xlfn.NORM.DIST(_xlfn.NORM.INV(Eu_g_konfidensniveau,0,1)-Eu_tabel_g[[#This Row],[x base]],0,1,TRUE)</f>
        <v>2.6660189708944237E-2</v>
      </c>
      <c r="CQ127" s="32">
        <f>_xlfn.NORM.DIST(_xlfn.NORM.INV((1-Eu_g_konfidensniveau)/2,0,1)-Eu_tabel_g[[#This Row],[x base]],0,1,TRUE)+1-_xlfn.NORM.DIST(_xlfn.NORM.INV(1-(1-Eu_g_konfidensniveau)/2,0,1)-Eu_tabel_g[[#This Row],[x base]],0,1,TRUE)</f>
        <v>5.9519194294059163E-2</v>
      </c>
      <c r="CR127" s="32" t="e" cm="1">
        <f t="array" ref="CR127">IF($CR$3,INDEX(Eu_tabel_g[[#This Row],[Styrke venstre]:[Styrke tosidet]],CR$7),NA())</f>
        <v>#N/A</v>
      </c>
      <c r="CS127" s="52" t="e">
        <f>Eu_tabel_g[[#This Row],[Falsk positiv
Nulhypotese accepteres
Fejltype 1]]</f>
        <v>#N/A</v>
      </c>
      <c r="CT127" s="52" t="e">
        <f>IF(CHOOSE(CR$7,Eu_tabel_g[[#This Row],[x base]]&gt;0,Eu_tabel_g[[#This Row],[x base]]&lt;0,Eu_tabel_g[[#This Row],[x base]]=0),Eu_tabel_g[[#This Row],[Styrke, aktiv]],NA())</f>
        <v>#N/A</v>
      </c>
      <c r="CU127" s="52" t="e">
        <f>IFERROR(IF($CR$3,Eu_tabel_g[[#This Row],[Styrke, aktiv]],NA()),NA())</f>
        <v>#N/A</v>
      </c>
      <c r="CV127" s="52" t="e">
        <f>IF(ISNA(Eu_tabel_g[[#This Row],[Sand negativ
Nulhypotese afvises
Korrekt]]),NA(),IF($CR$3,1,NA()))</f>
        <v>#N/A</v>
      </c>
      <c r="CW127" s="34" t="str" cm="1">
        <f t="array" ref="CW127">_xlfn.SWITCH(BZ127,_xlfn.IFNA(CU$2,-99),CU$5,_xlfn.IFNA(CU$3,-99),CU$6,_xlfn.IFNA(CU$4,-99),CU$7,"")</f>
        <v/>
      </c>
      <c r="DA127" s="7">
        <f t="shared" si="156"/>
        <v>0.8</v>
      </c>
      <c r="DB127">
        <f>IF(ROW(Styrkeberegning_G[[#This Row],[X base venstre]])=ROW(Styrkeberegning_G[[#Headers],[X base venstre]])+1,DB$7/(DA$7/$B$67),DB126/(DA126/$B$67))</f>
        <v>-2.8015817870135784</v>
      </c>
      <c r="DC127">
        <f>Styrkeberegning_G[[#This Row],[X base venstre]]*-1</f>
        <v>2.8015817870135784</v>
      </c>
      <c r="DN127" s="32">
        <f t="shared" si="157"/>
        <v>117</v>
      </c>
      <c r="DO127" s="32">
        <f t="shared" si="158"/>
        <v>118</v>
      </c>
      <c r="DP127" s="32">
        <f t="shared" si="159"/>
        <v>15.180142865442807</v>
      </c>
      <c r="DQ127" s="32" t="e">
        <f t="shared" si="160"/>
        <v>#N/A</v>
      </c>
      <c r="DR127" s="32" t="e">
        <f t="shared" si="161"/>
        <v>#N/A</v>
      </c>
      <c r="DS127" s="32">
        <f t="shared" si="162"/>
        <v>4.4146215782358278E-2</v>
      </c>
      <c r="DT127" s="32" t="e">
        <f t="shared" si="163"/>
        <v>#N/A</v>
      </c>
      <c r="DU127" s="32" t="b">
        <f t="shared" si="164"/>
        <v>0</v>
      </c>
      <c r="DV127" s="32" t="b">
        <f t="shared" si="165"/>
        <v>1</v>
      </c>
      <c r="DW127" s="32" t="b">
        <f t="shared" si="166"/>
        <v>0</v>
      </c>
      <c r="DX127" s="32" t="b">
        <f t="shared" si="167"/>
        <v>1</v>
      </c>
      <c r="DY127" s="32">
        <f t="shared" si="168"/>
        <v>4.4146215782358278E-2</v>
      </c>
      <c r="DZ127" s="32" t="e">
        <f t="shared" si="169"/>
        <v>#N/A</v>
      </c>
      <c r="EA127" s="32">
        <f t="shared" si="170"/>
        <v>4.4146215782358278E-2</v>
      </c>
      <c r="EB127" s="45" t="str">
        <f t="shared" si="171"/>
        <v/>
      </c>
      <c r="EG127" s="32">
        <f t="shared" si="172"/>
        <v>117</v>
      </c>
      <c r="EH127" s="32">
        <f t="shared" si="173"/>
        <v>118</v>
      </c>
      <c r="EI127" s="32">
        <f t="shared" si="174"/>
        <v>-0.28746347034119202</v>
      </c>
      <c r="EJ127" s="32">
        <f t="shared" si="175"/>
        <v>0.38279481799811688</v>
      </c>
      <c r="EK127" s="32" t="e">
        <f t="shared" si="176"/>
        <v>#N/A</v>
      </c>
      <c r="EL127" s="32" t="e">
        <f t="shared" si="177"/>
        <v>#N/A</v>
      </c>
      <c r="EM127" s="32" t="e">
        <f t="shared" si="178"/>
        <v>#N/A</v>
      </c>
      <c r="EN127" s="32" t="b">
        <f t="shared" si="179"/>
        <v>0</v>
      </c>
      <c r="EO127" s="32" t="b">
        <f t="shared" si="180"/>
        <v>1</v>
      </c>
      <c r="EP127" s="32" t="b">
        <f t="shared" si="181"/>
        <v>0</v>
      </c>
      <c r="EQ127" s="32" t="b">
        <f t="shared" si="182"/>
        <v>1</v>
      </c>
      <c r="ER127" s="32">
        <f t="shared" si="183"/>
        <v>0.38279481799811688</v>
      </c>
      <c r="ES127" s="32" t="e">
        <f t="shared" si="184"/>
        <v>#N/A</v>
      </c>
      <c r="ET127" s="32">
        <f t="shared" si="185"/>
        <v>0.38279481799811688</v>
      </c>
      <c r="EU127" s="45" t="str">
        <f t="shared" si="186"/>
        <v/>
      </c>
      <c r="EV12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7" s="32" t="e" cm="1">
        <f t="array" ref="EY127">IF($CR$3,INDEX(Eu_tabel_a[[#This Row],[Styrke venstre]:[Styrke tosidet]],EY$7),NA())</f>
        <v>#N/A</v>
      </c>
      <c r="EZ127" s="32" t="e">
        <f>IF(EY$3,IF(CHOOSE(EY$7,Eu_tabel_a[[#This Row],[x base]]&gt;0,Eu_tabel_a[[#This Row],[x base]]&lt;0,Eu_tabel_a[[#This Row],[x base]]=0),1,NA()),NA())</f>
        <v>#N/A</v>
      </c>
      <c r="FA127" s="32" t="e">
        <f>IF(CHOOSE(EY$7,Eu_tabel_a[[#This Row],[x base]]&gt;0,Eu_tabel_a[[#This Row],[x base]]&lt;0,Eu_tabel_a[[#This Row],[x base]]=0),Eu_tabel_a[[#This Row],[Styrke, aktiv]],NA())</f>
        <v>#N/A</v>
      </c>
      <c r="FB127" s="32" t="e">
        <f>IFERROR(IF($EY$3,Eu_tabel_a[[#This Row],[Styrke, aktiv]],NA()),NA())</f>
        <v>#N/A</v>
      </c>
      <c r="FC127" s="32" t="e">
        <f>IF(ISNA(Eu_tabel_a[[#This Row],[Sand negativ
Nulhypotese afvises
Korrekt]]),NA(),IF(EY$3,1,NA()))</f>
        <v>#N/A</v>
      </c>
      <c r="FD127" s="33" t="str" cm="1">
        <f t="array" ref="FD127">IFERROR(_xlfn.SWITCH(Eu_tabel_a[[#This Row],[Indeks]],_xlfn.IFNA(FB$2,-99),FB$5,_xlfn.IFNA(FB$3,-99),FB$6,_xlfn.IFNA(FB$4,-99),FB$7,""),"")</f>
        <v/>
      </c>
      <c r="FE127" s="32">
        <f>Eu_tabel_a[[#This Row],[x base]]*SQRT(Eu_a_h0_x*(1-Eu_a_h0_x)/Eu_a_n_x)+Eu_a_h0_x</f>
        <v>0</v>
      </c>
      <c r="FJ127" s="74" t="e">
        <f t="shared" si="130"/>
        <v>#N/A</v>
      </c>
      <c r="FK127" s="82" t="e">
        <f t="shared" si="218"/>
        <v>#DIV/0!</v>
      </c>
      <c r="FL127" s="7" t="e">
        <f t="shared" si="124"/>
        <v>#DIV/0!</v>
      </c>
      <c r="FM127" t="e">
        <f t="shared" si="219"/>
        <v>#DIV/0!</v>
      </c>
      <c r="FN127" s="8" t="e">
        <f t="shared" si="220"/>
        <v>#DIV/0!</v>
      </c>
      <c r="FO127" s="8" t="e">
        <f t="shared" si="221"/>
        <v>#DIV/0!</v>
      </c>
      <c r="FP127" s="81" t="e">
        <f t="shared" si="222"/>
        <v>#DIV/0!</v>
      </c>
      <c r="FQ127" s="74" t="e">
        <f t="shared" ca="1" si="125"/>
        <v>#N/A</v>
      </c>
      <c r="FR127" s="82" t="e" vm="3">
        <f t="shared" ca="1" si="131"/>
        <v>#VALUE!</v>
      </c>
      <c r="FS127" s="7" t="e" vm="3">
        <f t="shared" ca="1" si="126"/>
        <v>#VALUE!</v>
      </c>
      <c r="FT127" t="e" vm="3">
        <f t="shared" ca="1" si="120"/>
        <v>#VALUE!</v>
      </c>
      <c r="FU127" s="8" t="e" vm="3">
        <f t="shared" ca="1" si="121"/>
        <v>#VALUE!</v>
      </c>
      <c r="FV127" s="8" t="e" vm="3">
        <f t="shared" ca="1" si="122"/>
        <v>#VALUE!</v>
      </c>
      <c r="FW127" s="81" t="e" vm="3">
        <f t="shared" ca="1" si="123"/>
        <v>#VALUE!</v>
      </c>
      <c r="FX127" s="74" t="e">
        <f t="shared" si="127"/>
        <v>#N/A</v>
      </c>
      <c r="FY127" s="82" t="e">
        <f t="shared" si="132"/>
        <v>#N/A</v>
      </c>
      <c r="FZ127" s="7" t="e">
        <f t="shared" si="128"/>
        <v>#N/A</v>
      </c>
      <c r="GA127" t="e">
        <f t="shared" si="133"/>
        <v>#N/A</v>
      </c>
      <c r="GB127" s="8" t="e">
        <f t="shared" si="134"/>
        <v>#N/A</v>
      </c>
      <c r="GC127" s="8" t="e">
        <f t="shared" si="135"/>
        <v>#N/A</v>
      </c>
      <c r="GD127" s="81" t="e">
        <f t="shared" si="136"/>
        <v>#N/A</v>
      </c>
      <c r="GE127" s="74" t="e">
        <f t="shared" si="137"/>
        <v>#N/A</v>
      </c>
      <c r="GF127" s="82" t="e">
        <f t="shared" si="138"/>
        <v>#N/A</v>
      </c>
      <c r="GG127" s="7" t="e">
        <f t="shared" si="129"/>
        <v>#N/A</v>
      </c>
      <c r="GH127" t="e">
        <f t="shared" si="139"/>
        <v>#N/A</v>
      </c>
      <c r="GI127" s="8" t="e">
        <f t="shared" si="140"/>
        <v>#N/A</v>
      </c>
      <c r="GJ127" s="8" t="e">
        <f t="shared" si="141"/>
        <v>#N/A</v>
      </c>
      <c r="GK127" s="81" t="e">
        <f t="shared" si="142"/>
        <v>#N/A</v>
      </c>
      <c r="GL127" s="81"/>
      <c r="GM127" s="81"/>
      <c r="GP127" s="32">
        <f t="shared" si="187"/>
        <v>117</v>
      </c>
      <c r="GQ127" s="32">
        <f t="shared" si="188"/>
        <v>118</v>
      </c>
      <c r="GR127" s="32">
        <f t="shared" si="189"/>
        <v>-0.28746347034119202</v>
      </c>
      <c r="GS127" s="32">
        <f t="shared" si="190"/>
        <v>0.38279481799811688</v>
      </c>
      <c r="GT127" s="32" t="e">
        <f t="shared" si="191"/>
        <v>#N/A</v>
      </c>
      <c r="GU127" s="32" t="e">
        <f t="shared" si="192"/>
        <v>#N/A</v>
      </c>
      <c r="GV127" s="32" t="e">
        <f t="shared" si="193"/>
        <v>#N/A</v>
      </c>
      <c r="GW127" s="32" t="b">
        <f t="shared" si="194"/>
        <v>0</v>
      </c>
      <c r="GX127" s="32" t="b">
        <f t="shared" si="195"/>
        <v>1</v>
      </c>
      <c r="GY127" s="32" t="b">
        <f t="shared" si="196"/>
        <v>0</v>
      </c>
      <c r="GZ127" s="32" t="b">
        <f t="shared" si="197"/>
        <v>1</v>
      </c>
      <c r="HA127" s="32">
        <f t="shared" si="198"/>
        <v>0.38279481799811688</v>
      </c>
      <c r="HB127" s="32" t="e">
        <f t="shared" si="199"/>
        <v>#N/A</v>
      </c>
      <c r="HC127" s="32">
        <f t="shared" si="200"/>
        <v>0.38279481799811688</v>
      </c>
      <c r="HD127" s="45" t="str">
        <f t="shared" si="201"/>
        <v/>
      </c>
      <c r="HJ127" s="32">
        <f t="shared" si="202"/>
        <v>117</v>
      </c>
      <c r="HK127" s="32">
        <f t="shared" si="203"/>
        <v>118</v>
      </c>
      <c r="HL127" s="32">
        <f t="shared" si="204"/>
        <v>-0.44514322126868233</v>
      </c>
      <c r="HM127" s="32" t="e">
        <f t="shared" si="205"/>
        <v>#N/A</v>
      </c>
      <c r="HN127" s="32">
        <f t="shared" si="206"/>
        <v>0.34431748323144512</v>
      </c>
      <c r="HO127" s="32" t="e">
        <f t="shared" si="207"/>
        <v>#N/A</v>
      </c>
      <c r="HP127" s="32" t="e">
        <f t="shared" si="208"/>
        <v>#N/A</v>
      </c>
      <c r="HQ127" s="32" t="b">
        <f t="shared" si="209"/>
        <v>1</v>
      </c>
      <c r="HR127" s="32" t="b">
        <f t="shared" si="210"/>
        <v>0</v>
      </c>
      <c r="HS127" s="32" t="b">
        <f t="shared" si="211"/>
        <v>0</v>
      </c>
      <c r="HT127" s="32" t="b">
        <f t="shared" si="212"/>
        <v>1</v>
      </c>
      <c r="HU127" s="32">
        <f t="shared" si="213"/>
        <v>0.34431748323144512</v>
      </c>
      <c r="HV127" s="32">
        <f t="shared" si="214"/>
        <v>0.34431748323144512</v>
      </c>
      <c r="HW127" s="32" t="e">
        <f t="shared" si="215"/>
        <v>#N/A</v>
      </c>
      <c r="HX127" s="45" t="str">
        <f t="shared" si="216"/>
        <v/>
      </c>
    </row>
    <row r="128" spans="78:232" x14ac:dyDescent="0.2">
      <c r="BZ128" s="32">
        <f t="shared" si="143"/>
        <v>118</v>
      </c>
      <c r="CA128" s="32">
        <f>Eu_tabel_g[[#This Row],[Indeks]]+1</f>
        <v>119</v>
      </c>
      <c r="CB128" s="32">
        <f t="shared" si="144"/>
        <v>-0.26350818114609265</v>
      </c>
      <c r="CC128" s="32">
        <f t="shared" si="145"/>
        <v>0.38532936613430413</v>
      </c>
      <c r="CD128" s="32" t="e">
        <f t="shared" si="146"/>
        <v>#N/A</v>
      </c>
      <c r="CE128" s="32" t="e">
        <f t="shared" si="147"/>
        <v>#N/A</v>
      </c>
      <c r="CF128" s="32" t="e">
        <f t="shared" si="148"/>
        <v>#N/A</v>
      </c>
      <c r="CG128" s="32" t="b">
        <f t="shared" si="149"/>
        <v>0</v>
      </c>
      <c r="CH128" s="32" t="b">
        <f t="shared" si="150"/>
        <v>1</v>
      </c>
      <c r="CI128" s="32" t="b">
        <f t="shared" si="151"/>
        <v>0</v>
      </c>
      <c r="CJ128" s="32" t="b">
        <f t="shared" si="152"/>
        <v>1</v>
      </c>
      <c r="CK128" s="32">
        <f t="shared" si="223"/>
        <v>0.38532936613430413</v>
      </c>
      <c r="CL128" s="32" t="e">
        <f t="shared" si="153"/>
        <v>#N/A</v>
      </c>
      <c r="CM128" s="32">
        <f t="shared" si="154"/>
        <v>0.38532936613430413</v>
      </c>
      <c r="CN128" s="45" t="str">
        <f t="shared" si="155"/>
        <v/>
      </c>
      <c r="CO128" s="32">
        <f>_xlfn.NORM.DIST(_xlfn.NORM.INV(1-Eu_g_konfidensniveau,0,1)-Eu_tabel_g[[#This Row],[x base]],0,1,TRUE)</f>
        <v>8.358638557164863E-2</v>
      </c>
      <c r="CP128" s="32">
        <f>1-_xlfn.NORM.DIST(_xlfn.NORM.INV(Eu_g_konfidensniveau,0,1)-Eu_tabel_g[[#This Row],[x base]],0,1,TRUE)</f>
        <v>2.8172234747108615E-2</v>
      </c>
      <c r="CQ128" s="32">
        <f>_xlfn.NORM.DIST(_xlfn.NORM.INV((1-Eu_g_konfidensniveau)/2,0,1)-Eu_tabel_g[[#This Row],[x base]],0,1,TRUE)+1-_xlfn.NORM.DIST(_xlfn.NORM.INV(1-(1-Eu_g_konfidensniveau)/2,0,1)-Eu_tabel_g[[#This Row],[x base]],0,1,TRUE)</f>
        <v>5.7991785795311168E-2</v>
      </c>
      <c r="CR128" s="32" t="e" cm="1">
        <f t="array" ref="CR128">IF($CR$3,INDEX(Eu_tabel_g[[#This Row],[Styrke venstre]:[Styrke tosidet]],CR$7),NA())</f>
        <v>#N/A</v>
      </c>
      <c r="CS128" s="52" t="e">
        <f>Eu_tabel_g[[#This Row],[Falsk positiv
Nulhypotese accepteres
Fejltype 1]]</f>
        <v>#N/A</v>
      </c>
      <c r="CT128" s="52" t="e">
        <f>IF(CHOOSE(CR$7,Eu_tabel_g[[#This Row],[x base]]&gt;0,Eu_tabel_g[[#This Row],[x base]]&lt;0,Eu_tabel_g[[#This Row],[x base]]=0),Eu_tabel_g[[#This Row],[Styrke, aktiv]],NA())</f>
        <v>#N/A</v>
      </c>
      <c r="CU128" s="52" t="e">
        <f>IFERROR(IF($CR$3,Eu_tabel_g[[#This Row],[Styrke, aktiv]],NA()),NA())</f>
        <v>#N/A</v>
      </c>
      <c r="CV128" s="52" t="e">
        <f>IF(ISNA(Eu_tabel_g[[#This Row],[Sand negativ
Nulhypotese afvises
Korrekt]]),NA(),IF($CR$3,1,NA()))</f>
        <v>#N/A</v>
      </c>
      <c r="CW128" s="34" t="str" cm="1">
        <f t="array" ref="CW128">_xlfn.SWITCH(BZ128,_xlfn.IFNA(CU$2,-99),CU$5,_xlfn.IFNA(CU$3,-99),CU$6,_xlfn.IFNA(CU$4,-99),CU$7,"")</f>
        <v/>
      </c>
      <c r="DA128" s="7">
        <f t="shared" si="156"/>
        <v>0.8</v>
      </c>
      <c r="DB128">
        <f>IF(ROW(Styrkeberegning_G[[#This Row],[X base venstre]])=ROW(Styrkeberegning_G[[#Headers],[X base venstre]])+1,DB$7/(DA$7/$B$67),DB127/(DA127/$B$67))</f>
        <v>-2.8015817870135784</v>
      </c>
      <c r="DC128">
        <f>Styrkeberegning_G[[#This Row],[X base venstre]]*-1</f>
        <v>2.8015817870135784</v>
      </c>
      <c r="DN128" s="32">
        <f t="shared" si="157"/>
        <v>118</v>
      </c>
      <c r="DO128" s="32">
        <f t="shared" si="158"/>
        <v>119</v>
      </c>
      <c r="DP128" s="32">
        <f t="shared" si="159"/>
        <v>15.294213721859808</v>
      </c>
      <c r="DQ128" s="32" t="e">
        <f t="shared" si="160"/>
        <v>#N/A</v>
      </c>
      <c r="DR128" s="32" t="e">
        <f t="shared" si="161"/>
        <v>#N/A</v>
      </c>
      <c r="DS128" s="32">
        <f t="shared" si="162"/>
        <v>4.3127485856716836E-2</v>
      </c>
      <c r="DT128" s="32" t="e">
        <f t="shared" si="163"/>
        <v>#N/A</v>
      </c>
      <c r="DU128" s="32" t="b">
        <f t="shared" si="164"/>
        <v>0</v>
      </c>
      <c r="DV128" s="32" t="b">
        <f t="shared" si="165"/>
        <v>1</v>
      </c>
      <c r="DW128" s="32" t="b">
        <f t="shared" si="166"/>
        <v>0</v>
      </c>
      <c r="DX128" s="32" t="b">
        <f t="shared" si="167"/>
        <v>1</v>
      </c>
      <c r="DY128" s="32">
        <f t="shared" si="168"/>
        <v>4.3127485856716836E-2</v>
      </c>
      <c r="DZ128" s="32" t="e">
        <f t="shared" si="169"/>
        <v>#N/A</v>
      </c>
      <c r="EA128" s="32">
        <f t="shared" si="170"/>
        <v>4.3127485856716836E-2</v>
      </c>
      <c r="EB128" s="45" t="str">
        <f t="shared" si="171"/>
        <v/>
      </c>
      <c r="EG128" s="32">
        <f t="shared" si="172"/>
        <v>118</v>
      </c>
      <c r="EH128" s="32">
        <f t="shared" si="173"/>
        <v>119</v>
      </c>
      <c r="EI128" s="32">
        <f t="shared" si="174"/>
        <v>-0.26350818114609265</v>
      </c>
      <c r="EJ128" s="32">
        <f t="shared" si="175"/>
        <v>0.38532936613430413</v>
      </c>
      <c r="EK128" s="32" t="e">
        <f t="shared" si="176"/>
        <v>#N/A</v>
      </c>
      <c r="EL128" s="32" t="e">
        <f t="shared" si="177"/>
        <v>#N/A</v>
      </c>
      <c r="EM128" s="32" t="e">
        <f t="shared" si="178"/>
        <v>#N/A</v>
      </c>
      <c r="EN128" s="32" t="b">
        <f t="shared" si="179"/>
        <v>0</v>
      </c>
      <c r="EO128" s="32" t="b">
        <f t="shared" si="180"/>
        <v>1</v>
      </c>
      <c r="EP128" s="32" t="b">
        <f t="shared" si="181"/>
        <v>0</v>
      </c>
      <c r="EQ128" s="32" t="b">
        <f t="shared" si="182"/>
        <v>1</v>
      </c>
      <c r="ER128" s="32">
        <f t="shared" si="183"/>
        <v>0.38532936613430413</v>
      </c>
      <c r="ES128" s="32" t="e">
        <f t="shared" si="184"/>
        <v>#N/A</v>
      </c>
      <c r="ET128" s="32">
        <f t="shared" si="185"/>
        <v>0.38532936613430413</v>
      </c>
      <c r="EU128" s="45" t="str">
        <f t="shared" si="186"/>
        <v/>
      </c>
      <c r="EV12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8" s="32" t="e" cm="1">
        <f t="array" ref="EY128">IF($CR$3,INDEX(Eu_tabel_a[[#This Row],[Styrke venstre]:[Styrke tosidet]],EY$7),NA())</f>
        <v>#N/A</v>
      </c>
      <c r="EZ128" s="32" t="e">
        <f>IF(EY$3,IF(CHOOSE(EY$7,Eu_tabel_a[[#This Row],[x base]]&gt;0,Eu_tabel_a[[#This Row],[x base]]&lt;0,Eu_tabel_a[[#This Row],[x base]]=0),1,NA()),NA())</f>
        <v>#N/A</v>
      </c>
      <c r="FA128" s="32" t="e">
        <f>IF(CHOOSE(EY$7,Eu_tabel_a[[#This Row],[x base]]&gt;0,Eu_tabel_a[[#This Row],[x base]]&lt;0,Eu_tabel_a[[#This Row],[x base]]=0),Eu_tabel_a[[#This Row],[Styrke, aktiv]],NA())</f>
        <v>#N/A</v>
      </c>
      <c r="FB128" s="32" t="e">
        <f>IFERROR(IF($EY$3,Eu_tabel_a[[#This Row],[Styrke, aktiv]],NA()),NA())</f>
        <v>#N/A</v>
      </c>
      <c r="FC128" s="32" t="e">
        <f>IF(ISNA(Eu_tabel_a[[#This Row],[Sand negativ
Nulhypotese afvises
Korrekt]]),NA(),IF(EY$3,1,NA()))</f>
        <v>#N/A</v>
      </c>
      <c r="FD128" s="33" t="str" cm="1">
        <f t="array" ref="FD128">IFERROR(_xlfn.SWITCH(Eu_tabel_a[[#This Row],[Indeks]],_xlfn.IFNA(FB$2,-99),FB$5,_xlfn.IFNA(FB$3,-99),FB$6,_xlfn.IFNA(FB$4,-99),FB$7,""),"")</f>
        <v/>
      </c>
      <c r="FE128" s="32">
        <f>Eu_tabel_a[[#This Row],[x base]]*SQRT(Eu_a_h0_x*(1-Eu_a_h0_x)/Eu_a_n_x)+Eu_a_h0_x</f>
        <v>0</v>
      </c>
      <c r="FJ128" s="74" t="e">
        <f t="shared" si="130"/>
        <v>#N/A</v>
      </c>
      <c r="FK128" s="82" t="e">
        <f t="shared" si="218"/>
        <v>#DIV/0!</v>
      </c>
      <c r="FL128" s="7" t="e">
        <f t="shared" si="124"/>
        <v>#DIV/0!</v>
      </c>
      <c r="FM128" t="e">
        <f t="shared" si="219"/>
        <v>#DIV/0!</v>
      </c>
      <c r="FN128" s="8" t="e">
        <f t="shared" si="220"/>
        <v>#DIV/0!</v>
      </c>
      <c r="FO128" s="8" t="e">
        <f t="shared" si="221"/>
        <v>#DIV/0!</v>
      </c>
      <c r="FP128" s="81" t="e">
        <f t="shared" si="222"/>
        <v>#DIV/0!</v>
      </c>
      <c r="FQ128" s="74" t="e">
        <f t="shared" ca="1" si="125"/>
        <v>#N/A</v>
      </c>
      <c r="FR128" s="82" t="e" vm="3">
        <f t="shared" ca="1" si="131"/>
        <v>#VALUE!</v>
      </c>
      <c r="FS128" s="7" t="e" vm="3">
        <f t="shared" ca="1" si="126"/>
        <v>#VALUE!</v>
      </c>
      <c r="FT128" t="e" vm="3">
        <f t="shared" ca="1" si="120"/>
        <v>#VALUE!</v>
      </c>
      <c r="FU128" s="8" t="e" vm="3">
        <f t="shared" ca="1" si="121"/>
        <v>#VALUE!</v>
      </c>
      <c r="FV128" s="8" t="e" vm="3">
        <f t="shared" ca="1" si="122"/>
        <v>#VALUE!</v>
      </c>
      <c r="FW128" s="81" t="e" vm="3">
        <f t="shared" ca="1" si="123"/>
        <v>#VALUE!</v>
      </c>
      <c r="FX128" s="74" t="e">
        <f t="shared" si="127"/>
        <v>#N/A</v>
      </c>
      <c r="FY128" s="82" t="e">
        <f t="shared" si="132"/>
        <v>#N/A</v>
      </c>
      <c r="FZ128" s="7" t="e">
        <f t="shared" si="128"/>
        <v>#N/A</v>
      </c>
      <c r="GA128" t="e">
        <f t="shared" si="133"/>
        <v>#N/A</v>
      </c>
      <c r="GB128" s="8" t="e">
        <f t="shared" si="134"/>
        <v>#N/A</v>
      </c>
      <c r="GC128" s="8" t="e">
        <f t="shared" si="135"/>
        <v>#N/A</v>
      </c>
      <c r="GD128" s="81" t="e">
        <f t="shared" si="136"/>
        <v>#N/A</v>
      </c>
      <c r="GE128" s="74" t="e">
        <f t="shared" si="137"/>
        <v>#N/A</v>
      </c>
      <c r="GF128" s="82" t="e">
        <f t="shared" si="138"/>
        <v>#N/A</v>
      </c>
      <c r="GG128" s="7" t="e">
        <f t="shared" si="129"/>
        <v>#N/A</v>
      </c>
      <c r="GH128" t="e">
        <f t="shared" si="139"/>
        <v>#N/A</v>
      </c>
      <c r="GI128" s="8" t="e">
        <f t="shared" si="140"/>
        <v>#N/A</v>
      </c>
      <c r="GJ128" s="8" t="e">
        <f t="shared" si="141"/>
        <v>#N/A</v>
      </c>
      <c r="GK128" s="81" t="e">
        <f t="shared" si="142"/>
        <v>#N/A</v>
      </c>
      <c r="GL128" s="81"/>
      <c r="GM128" s="81"/>
      <c r="GP128" s="32">
        <f t="shared" si="187"/>
        <v>118</v>
      </c>
      <c r="GQ128" s="32">
        <f t="shared" si="188"/>
        <v>119</v>
      </c>
      <c r="GR128" s="32">
        <f t="shared" si="189"/>
        <v>-0.26350818114609265</v>
      </c>
      <c r="GS128" s="32">
        <f t="shared" si="190"/>
        <v>0.38532936613430413</v>
      </c>
      <c r="GT128" s="32" t="e">
        <f t="shared" si="191"/>
        <v>#N/A</v>
      </c>
      <c r="GU128" s="32" t="e">
        <f t="shared" si="192"/>
        <v>#N/A</v>
      </c>
      <c r="GV128" s="32" t="e">
        <f t="shared" si="193"/>
        <v>#N/A</v>
      </c>
      <c r="GW128" s="32" t="b">
        <f t="shared" si="194"/>
        <v>0</v>
      </c>
      <c r="GX128" s="32" t="b">
        <f t="shared" si="195"/>
        <v>1</v>
      </c>
      <c r="GY128" s="32" t="b">
        <f t="shared" si="196"/>
        <v>0</v>
      </c>
      <c r="GZ128" s="32" t="b">
        <f t="shared" si="197"/>
        <v>1</v>
      </c>
      <c r="HA128" s="32">
        <f t="shared" si="198"/>
        <v>0.38532936613430413</v>
      </c>
      <c r="HB128" s="32" t="e">
        <f t="shared" si="199"/>
        <v>#N/A</v>
      </c>
      <c r="HC128" s="32">
        <f t="shared" si="200"/>
        <v>0.38532936613430413</v>
      </c>
      <c r="HD128" s="45" t="str">
        <f t="shared" si="201"/>
        <v/>
      </c>
      <c r="HJ128" s="32">
        <f t="shared" si="202"/>
        <v>118</v>
      </c>
      <c r="HK128" s="32">
        <f t="shared" si="203"/>
        <v>119</v>
      </c>
      <c r="HL128" s="32">
        <f t="shared" si="204"/>
        <v>-0.4080479528296248</v>
      </c>
      <c r="HM128" s="32" t="e">
        <f t="shared" si="205"/>
        <v>#N/A</v>
      </c>
      <c r="HN128" s="32">
        <f t="shared" si="206"/>
        <v>0.35044031794837699</v>
      </c>
      <c r="HO128" s="32" t="e">
        <f t="shared" si="207"/>
        <v>#N/A</v>
      </c>
      <c r="HP128" s="32" t="e">
        <f t="shared" si="208"/>
        <v>#N/A</v>
      </c>
      <c r="HQ128" s="32" t="b">
        <f t="shared" si="209"/>
        <v>1</v>
      </c>
      <c r="HR128" s="32" t="b">
        <f t="shared" si="210"/>
        <v>0</v>
      </c>
      <c r="HS128" s="32" t="b">
        <f t="shared" si="211"/>
        <v>0</v>
      </c>
      <c r="HT128" s="32" t="b">
        <f t="shared" si="212"/>
        <v>1</v>
      </c>
      <c r="HU128" s="32">
        <f t="shared" si="213"/>
        <v>0.35044031794837699</v>
      </c>
      <c r="HV128" s="32">
        <f t="shared" si="214"/>
        <v>0.35044031794837699</v>
      </c>
      <c r="HW128" s="32" t="e">
        <f t="shared" si="215"/>
        <v>#N/A</v>
      </c>
      <c r="HX128" s="45" t="str">
        <f t="shared" si="216"/>
        <v/>
      </c>
    </row>
    <row r="129" spans="78:232" x14ac:dyDescent="0.2">
      <c r="BZ129" s="32">
        <f t="shared" si="143"/>
        <v>119</v>
      </c>
      <c r="CA129" s="32">
        <f>Eu_tabel_g[[#This Row],[Indeks]]+1</f>
        <v>120</v>
      </c>
      <c r="CB129" s="32">
        <f t="shared" si="144"/>
        <v>-0.23955289195099327</v>
      </c>
      <c r="CC129" s="32">
        <f t="shared" si="145"/>
        <v>0.38765817217124104</v>
      </c>
      <c r="CD129" s="32" t="e">
        <f t="shared" si="146"/>
        <v>#N/A</v>
      </c>
      <c r="CE129" s="32" t="e">
        <f t="shared" si="147"/>
        <v>#N/A</v>
      </c>
      <c r="CF129" s="32" t="e">
        <f t="shared" si="148"/>
        <v>#N/A</v>
      </c>
      <c r="CG129" s="32" t="b">
        <f t="shared" si="149"/>
        <v>0</v>
      </c>
      <c r="CH129" s="32" t="b">
        <f t="shared" si="150"/>
        <v>1</v>
      </c>
      <c r="CI129" s="32" t="b">
        <f t="shared" si="151"/>
        <v>0</v>
      </c>
      <c r="CJ129" s="32" t="b">
        <f t="shared" si="152"/>
        <v>1</v>
      </c>
      <c r="CK129" s="32">
        <f t="shared" si="223"/>
        <v>0.38765817217124104</v>
      </c>
      <c r="CL129" s="32" t="e">
        <f t="shared" si="153"/>
        <v>#N/A</v>
      </c>
      <c r="CM129" s="32">
        <f t="shared" si="154"/>
        <v>0.38765817217124104</v>
      </c>
      <c r="CN129" s="45" t="str">
        <f t="shared" si="155"/>
        <v/>
      </c>
      <c r="CO129" s="32">
        <f>_xlfn.NORM.DIST(_xlfn.NORM.INV(1-Eu_g_konfidensniveau,0,1)-Eu_tabel_g[[#This Row],[x base]],0,1,TRUE)</f>
        <v>7.9965934948739603E-2</v>
      </c>
      <c r="CP129" s="32">
        <f>1-_xlfn.NORM.DIST(_xlfn.NORM.INV(Eu_g_konfidensniveau,0,1)-Eu_tabel_g[[#This Row],[x base]],0,1,TRUE)</f>
        <v>2.9755004368531734E-2</v>
      </c>
      <c r="CQ129" s="32">
        <f>_xlfn.NORM.DIST(_xlfn.NORM.INV((1-Eu_g_konfidensniveau)/2,0,1)-Eu_tabel_g[[#This Row],[x base]],0,1,TRUE)+1-_xlfn.NORM.DIST(_xlfn.NORM.INV(1-(1-Eu_g_konfidensniveau)/2,0,1)-Eu_tabel_g[[#This Row],[x base]],0,1,TRUE)</f>
        <v>5.6599466268946075E-2</v>
      </c>
      <c r="CR129" s="32" t="e" cm="1">
        <f t="array" ref="CR129">IF($CR$3,INDEX(Eu_tabel_g[[#This Row],[Styrke venstre]:[Styrke tosidet]],CR$7),NA())</f>
        <v>#N/A</v>
      </c>
      <c r="CS129" s="52" t="e">
        <f>Eu_tabel_g[[#This Row],[Falsk positiv
Nulhypotese accepteres
Fejltype 1]]</f>
        <v>#N/A</v>
      </c>
      <c r="CT129" s="52" t="e">
        <f>IF(CHOOSE(CR$7,Eu_tabel_g[[#This Row],[x base]]&gt;0,Eu_tabel_g[[#This Row],[x base]]&lt;0,Eu_tabel_g[[#This Row],[x base]]=0),Eu_tabel_g[[#This Row],[Styrke, aktiv]],NA())</f>
        <v>#N/A</v>
      </c>
      <c r="CU129" s="52" t="e">
        <f>IFERROR(IF($CR$3,Eu_tabel_g[[#This Row],[Styrke, aktiv]],NA()),NA())</f>
        <v>#N/A</v>
      </c>
      <c r="CV129" s="52" t="e">
        <f>IF(ISNA(Eu_tabel_g[[#This Row],[Sand negativ
Nulhypotese afvises
Korrekt]]),NA(),IF($CR$3,1,NA()))</f>
        <v>#N/A</v>
      </c>
      <c r="CW129" s="34" t="str" cm="1">
        <f t="array" ref="CW129">_xlfn.SWITCH(BZ129,_xlfn.IFNA(CU$2,-99),CU$5,_xlfn.IFNA(CU$3,-99),CU$6,_xlfn.IFNA(CU$4,-99),CU$7,"")</f>
        <v/>
      </c>
      <c r="DA129" s="7">
        <f t="shared" si="156"/>
        <v>0.8</v>
      </c>
      <c r="DB129">
        <f>IF(ROW(Styrkeberegning_G[[#This Row],[X base venstre]])=ROW(Styrkeberegning_G[[#Headers],[X base venstre]])+1,DB$7/(DA$7/$B$67),DB128/(DA128/$B$67))</f>
        <v>-2.8015817870135784</v>
      </c>
      <c r="DC129">
        <f>Styrkeberegning_G[[#This Row],[X base venstre]]*-1</f>
        <v>2.8015817870135784</v>
      </c>
      <c r="DN129" s="32">
        <f t="shared" si="157"/>
        <v>119</v>
      </c>
      <c r="DO129" s="32">
        <f t="shared" si="158"/>
        <v>120</v>
      </c>
      <c r="DP129" s="32">
        <f t="shared" si="159"/>
        <v>15.40828457827681</v>
      </c>
      <c r="DQ129" s="32" t="e">
        <f t="shared" si="160"/>
        <v>#N/A</v>
      </c>
      <c r="DR129" s="32" t="e">
        <f t="shared" si="161"/>
        <v>#N/A</v>
      </c>
      <c r="DS129" s="32">
        <f t="shared" si="162"/>
        <v>4.2121718601716034E-2</v>
      </c>
      <c r="DT129" s="32" t="e">
        <f t="shared" si="163"/>
        <v>#N/A</v>
      </c>
      <c r="DU129" s="32" t="b">
        <f t="shared" si="164"/>
        <v>0</v>
      </c>
      <c r="DV129" s="32" t="b">
        <f t="shared" si="165"/>
        <v>1</v>
      </c>
      <c r="DW129" s="32" t="b">
        <f t="shared" si="166"/>
        <v>0</v>
      </c>
      <c r="DX129" s="32" t="b">
        <f t="shared" si="167"/>
        <v>1</v>
      </c>
      <c r="DY129" s="32">
        <f t="shared" si="168"/>
        <v>4.2121718601716034E-2</v>
      </c>
      <c r="DZ129" s="32" t="e">
        <f t="shared" si="169"/>
        <v>#N/A</v>
      </c>
      <c r="EA129" s="32">
        <f t="shared" si="170"/>
        <v>4.2121718601716034E-2</v>
      </c>
      <c r="EB129" s="45" t="str">
        <f t="shared" si="171"/>
        <v/>
      </c>
      <c r="EG129" s="32">
        <f t="shared" si="172"/>
        <v>119</v>
      </c>
      <c r="EH129" s="32">
        <f t="shared" si="173"/>
        <v>120</v>
      </c>
      <c r="EI129" s="32">
        <f t="shared" si="174"/>
        <v>-0.23955289195099327</v>
      </c>
      <c r="EJ129" s="32">
        <f t="shared" si="175"/>
        <v>0.38765817217124104</v>
      </c>
      <c r="EK129" s="32" t="e">
        <f t="shared" si="176"/>
        <v>#N/A</v>
      </c>
      <c r="EL129" s="32" t="e">
        <f t="shared" si="177"/>
        <v>#N/A</v>
      </c>
      <c r="EM129" s="32" t="e">
        <f t="shared" si="178"/>
        <v>#N/A</v>
      </c>
      <c r="EN129" s="32" t="b">
        <f t="shared" si="179"/>
        <v>0</v>
      </c>
      <c r="EO129" s="32" t="b">
        <f t="shared" si="180"/>
        <v>1</v>
      </c>
      <c r="EP129" s="32" t="b">
        <f t="shared" si="181"/>
        <v>0</v>
      </c>
      <c r="EQ129" s="32" t="b">
        <f t="shared" si="182"/>
        <v>1</v>
      </c>
      <c r="ER129" s="32">
        <f t="shared" si="183"/>
        <v>0.38765817217124104</v>
      </c>
      <c r="ES129" s="32" t="e">
        <f t="shared" si="184"/>
        <v>#N/A</v>
      </c>
      <c r="ET129" s="32">
        <f t="shared" si="185"/>
        <v>0.38765817217124104</v>
      </c>
      <c r="EU129" s="45" t="str">
        <f t="shared" si="186"/>
        <v/>
      </c>
      <c r="EV12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9" s="32" t="e" cm="1">
        <f t="array" ref="EY129">IF($CR$3,INDEX(Eu_tabel_a[[#This Row],[Styrke venstre]:[Styrke tosidet]],EY$7),NA())</f>
        <v>#N/A</v>
      </c>
      <c r="EZ129" s="32" t="e">
        <f>IF(EY$3,IF(CHOOSE(EY$7,Eu_tabel_a[[#This Row],[x base]]&gt;0,Eu_tabel_a[[#This Row],[x base]]&lt;0,Eu_tabel_a[[#This Row],[x base]]=0),1,NA()),NA())</f>
        <v>#N/A</v>
      </c>
      <c r="FA129" s="32" t="e">
        <f>IF(CHOOSE(EY$7,Eu_tabel_a[[#This Row],[x base]]&gt;0,Eu_tabel_a[[#This Row],[x base]]&lt;0,Eu_tabel_a[[#This Row],[x base]]=0),Eu_tabel_a[[#This Row],[Styrke, aktiv]],NA())</f>
        <v>#N/A</v>
      </c>
      <c r="FB129" s="32" t="e">
        <f>IFERROR(IF($EY$3,Eu_tabel_a[[#This Row],[Styrke, aktiv]],NA()),NA())</f>
        <v>#N/A</v>
      </c>
      <c r="FC129" s="32" t="e">
        <f>IF(ISNA(Eu_tabel_a[[#This Row],[Sand negativ
Nulhypotese afvises
Korrekt]]),NA(),IF(EY$3,1,NA()))</f>
        <v>#N/A</v>
      </c>
      <c r="FD129" s="33" t="str" cm="1">
        <f t="array" ref="FD129">IFERROR(_xlfn.SWITCH(Eu_tabel_a[[#This Row],[Indeks]],_xlfn.IFNA(FB$2,-99),FB$5,_xlfn.IFNA(FB$3,-99),FB$6,_xlfn.IFNA(FB$4,-99),FB$7,""),"")</f>
        <v/>
      </c>
      <c r="FE129" s="32">
        <f>Eu_tabel_a[[#This Row],[x base]]*SQRT(Eu_a_h0_x*(1-Eu_a_h0_x)/Eu_a_n_x)+Eu_a_h0_x</f>
        <v>0</v>
      </c>
      <c r="FJ129" s="74" t="e">
        <f t="shared" si="130"/>
        <v>#N/A</v>
      </c>
      <c r="FK129" s="82" t="e">
        <f t="shared" si="218"/>
        <v>#DIV/0!</v>
      </c>
      <c r="FL129" s="7" t="e">
        <f t="shared" si="124"/>
        <v>#DIV/0!</v>
      </c>
      <c r="FM129" t="e">
        <f t="shared" si="219"/>
        <v>#DIV/0!</v>
      </c>
      <c r="FN129" s="8" t="e">
        <f t="shared" si="220"/>
        <v>#DIV/0!</v>
      </c>
      <c r="FO129" s="8" t="e">
        <f t="shared" si="221"/>
        <v>#DIV/0!</v>
      </c>
      <c r="FP129" s="81" t="e">
        <f t="shared" si="222"/>
        <v>#DIV/0!</v>
      </c>
      <c r="FQ129" s="74" t="e">
        <f t="shared" ca="1" si="125"/>
        <v>#N/A</v>
      </c>
      <c r="FR129" s="82" t="e" vm="3">
        <f t="shared" ca="1" si="131"/>
        <v>#VALUE!</v>
      </c>
      <c r="FS129" s="7" t="e" vm="3">
        <f t="shared" ca="1" si="126"/>
        <v>#VALUE!</v>
      </c>
      <c r="FT129" t="e" vm="3">
        <f t="shared" ca="1" si="120"/>
        <v>#VALUE!</v>
      </c>
      <c r="FU129" s="8" t="e" vm="3">
        <f t="shared" ca="1" si="121"/>
        <v>#VALUE!</v>
      </c>
      <c r="FV129" s="8" t="e" vm="3">
        <f t="shared" ca="1" si="122"/>
        <v>#VALUE!</v>
      </c>
      <c r="FW129" s="81" t="e" vm="3">
        <f t="shared" ca="1" si="123"/>
        <v>#VALUE!</v>
      </c>
      <c r="FX129" s="74" t="e">
        <f t="shared" si="127"/>
        <v>#N/A</v>
      </c>
      <c r="FY129" s="82" t="e">
        <f t="shared" si="132"/>
        <v>#N/A</v>
      </c>
      <c r="FZ129" s="7" t="e">
        <f t="shared" si="128"/>
        <v>#N/A</v>
      </c>
      <c r="GA129" t="e">
        <f t="shared" si="133"/>
        <v>#N/A</v>
      </c>
      <c r="GB129" s="8" t="e">
        <f t="shared" si="134"/>
        <v>#N/A</v>
      </c>
      <c r="GC129" s="8" t="e">
        <f t="shared" si="135"/>
        <v>#N/A</v>
      </c>
      <c r="GD129" s="81" t="e">
        <f t="shared" si="136"/>
        <v>#N/A</v>
      </c>
      <c r="GE129" s="74" t="e">
        <f t="shared" si="137"/>
        <v>#N/A</v>
      </c>
      <c r="GF129" s="82" t="e">
        <f t="shared" si="138"/>
        <v>#N/A</v>
      </c>
      <c r="GG129" s="7" t="e">
        <f t="shared" si="129"/>
        <v>#N/A</v>
      </c>
      <c r="GH129" t="e">
        <f t="shared" si="139"/>
        <v>#N/A</v>
      </c>
      <c r="GI129" s="8" t="e">
        <f t="shared" si="140"/>
        <v>#N/A</v>
      </c>
      <c r="GJ129" s="8" t="e">
        <f t="shared" si="141"/>
        <v>#N/A</v>
      </c>
      <c r="GK129" s="81" t="e">
        <f t="shared" si="142"/>
        <v>#N/A</v>
      </c>
      <c r="GL129" s="81"/>
      <c r="GM129" s="81"/>
      <c r="GP129" s="32">
        <f t="shared" si="187"/>
        <v>119</v>
      </c>
      <c r="GQ129" s="32">
        <f t="shared" si="188"/>
        <v>120</v>
      </c>
      <c r="GR129" s="32">
        <f t="shared" si="189"/>
        <v>-0.23955289195099327</v>
      </c>
      <c r="GS129" s="32">
        <f t="shared" si="190"/>
        <v>0.38765817217124104</v>
      </c>
      <c r="GT129" s="32" t="e">
        <f t="shared" si="191"/>
        <v>#N/A</v>
      </c>
      <c r="GU129" s="32" t="e">
        <f t="shared" si="192"/>
        <v>#N/A</v>
      </c>
      <c r="GV129" s="32" t="e">
        <f t="shared" si="193"/>
        <v>#N/A</v>
      </c>
      <c r="GW129" s="32" t="b">
        <f t="shared" si="194"/>
        <v>0</v>
      </c>
      <c r="GX129" s="32" t="b">
        <f t="shared" si="195"/>
        <v>1</v>
      </c>
      <c r="GY129" s="32" t="b">
        <f t="shared" si="196"/>
        <v>0</v>
      </c>
      <c r="GZ129" s="32" t="b">
        <f t="shared" si="197"/>
        <v>1</v>
      </c>
      <c r="HA129" s="32">
        <f t="shared" si="198"/>
        <v>0.38765817217124104</v>
      </c>
      <c r="HB129" s="32" t="e">
        <f t="shared" si="199"/>
        <v>#N/A</v>
      </c>
      <c r="HC129" s="32">
        <f t="shared" si="200"/>
        <v>0.38765817217124104</v>
      </c>
      <c r="HD129" s="45" t="str">
        <f t="shared" si="201"/>
        <v/>
      </c>
      <c r="HJ129" s="32">
        <f t="shared" si="202"/>
        <v>119</v>
      </c>
      <c r="HK129" s="32">
        <f t="shared" si="203"/>
        <v>120</v>
      </c>
      <c r="HL129" s="32">
        <f t="shared" si="204"/>
        <v>-0.37095268439056817</v>
      </c>
      <c r="HM129" s="32" t="e">
        <f t="shared" si="205"/>
        <v>#N/A</v>
      </c>
      <c r="HN129" s="32">
        <f t="shared" si="206"/>
        <v>0.35615003188924521</v>
      </c>
      <c r="HO129" s="32" t="e">
        <f t="shared" si="207"/>
        <v>#N/A</v>
      </c>
      <c r="HP129" s="32" t="e">
        <f t="shared" si="208"/>
        <v>#N/A</v>
      </c>
      <c r="HQ129" s="32" t="b">
        <f t="shared" si="209"/>
        <v>1</v>
      </c>
      <c r="HR129" s="32" t="b">
        <f t="shared" si="210"/>
        <v>0</v>
      </c>
      <c r="HS129" s="32" t="b">
        <f t="shared" si="211"/>
        <v>0</v>
      </c>
      <c r="HT129" s="32" t="b">
        <f t="shared" si="212"/>
        <v>1</v>
      </c>
      <c r="HU129" s="32">
        <f t="shared" si="213"/>
        <v>0.35615003188924521</v>
      </c>
      <c r="HV129" s="32">
        <f t="shared" si="214"/>
        <v>0.35615003188924521</v>
      </c>
      <c r="HW129" s="32" t="e">
        <f t="shared" si="215"/>
        <v>#N/A</v>
      </c>
      <c r="HX129" s="45" t="str">
        <f t="shared" si="216"/>
        <v/>
      </c>
    </row>
    <row r="130" spans="78:232" x14ac:dyDescent="0.2">
      <c r="BZ130" s="32">
        <f t="shared" si="143"/>
        <v>120</v>
      </c>
      <c r="CA130" s="32">
        <f>Eu_tabel_g[[#This Row],[Indeks]]+1</f>
        <v>121</v>
      </c>
      <c r="CB130" s="32">
        <f t="shared" si="144"/>
        <v>-0.2155976027558939</v>
      </c>
      <c r="CC130" s="32">
        <f t="shared" si="145"/>
        <v>0.38977731256446624</v>
      </c>
      <c r="CD130" s="32" t="e">
        <f t="shared" si="146"/>
        <v>#N/A</v>
      </c>
      <c r="CE130" s="32" t="e">
        <f t="shared" si="147"/>
        <v>#N/A</v>
      </c>
      <c r="CF130" s="32" t="e">
        <f t="shared" si="148"/>
        <v>#N/A</v>
      </c>
      <c r="CG130" s="32" t="b">
        <f t="shared" si="149"/>
        <v>0</v>
      </c>
      <c r="CH130" s="32" t="b">
        <f t="shared" si="150"/>
        <v>1</v>
      </c>
      <c r="CI130" s="32" t="b">
        <f t="shared" si="151"/>
        <v>0</v>
      </c>
      <c r="CJ130" s="32" t="b">
        <f t="shared" si="152"/>
        <v>1</v>
      </c>
      <c r="CK130" s="32">
        <f t="shared" si="223"/>
        <v>0.38977731256446624</v>
      </c>
      <c r="CL130" s="32" t="e">
        <f t="shared" si="153"/>
        <v>#N/A</v>
      </c>
      <c r="CM130" s="32">
        <f t="shared" si="154"/>
        <v>0.38977731256446624</v>
      </c>
      <c r="CN130" s="45" t="str">
        <f t="shared" si="155"/>
        <v/>
      </c>
      <c r="CO130" s="32">
        <f>_xlfn.NORM.DIST(_xlfn.NORM.INV(1-Eu_g_konfidensniveau,0,1)-Eu_tabel_g[[#This Row],[x base]],0,1,TRUE)</f>
        <v>7.6465330252738495E-2</v>
      </c>
      <c r="CP130" s="32">
        <f>1-_xlfn.NORM.DIST(_xlfn.NORM.INV(Eu_g_konfidensniveau,0,1)-Eu_tabel_g[[#This Row],[x base]],0,1,TRUE)</f>
        <v>3.141085620614481E-2</v>
      </c>
      <c r="CQ130" s="32">
        <f>_xlfn.NORM.DIST(_xlfn.NORM.INV((1-Eu_g_konfidensniveau)/2,0,1)-Eu_tabel_g[[#This Row],[x base]],0,1,TRUE)+1-_xlfn.NORM.DIST(_xlfn.NORM.INV(1-(1-Eu_g_konfidensniveau)/2,0,1)-Eu_tabel_g[[#This Row],[x base]],0,1,TRUE)</f>
        <v>5.534164073024217E-2</v>
      </c>
      <c r="CR130" s="32" t="e" cm="1">
        <f t="array" ref="CR130">IF($CR$3,INDEX(Eu_tabel_g[[#This Row],[Styrke venstre]:[Styrke tosidet]],CR$7),NA())</f>
        <v>#N/A</v>
      </c>
      <c r="CS130" s="52" t="e">
        <f>Eu_tabel_g[[#This Row],[Falsk positiv
Nulhypotese accepteres
Fejltype 1]]</f>
        <v>#N/A</v>
      </c>
      <c r="CT130" s="52" t="e">
        <f>IF(CHOOSE(CR$7,Eu_tabel_g[[#This Row],[x base]]&gt;0,Eu_tabel_g[[#This Row],[x base]]&lt;0,Eu_tabel_g[[#This Row],[x base]]=0),Eu_tabel_g[[#This Row],[Styrke, aktiv]],NA())</f>
        <v>#N/A</v>
      </c>
      <c r="CU130" s="52" t="e">
        <f>IFERROR(IF($CR$3,Eu_tabel_g[[#This Row],[Styrke, aktiv]],NA()),NA())</f>
        <v>#N/A</v>
      </c>
      <c r="CV130" s="52" t="e">
        <f>IF(ISNA(Eu_tabel_g[[#This Row],[Sand negativ
Nulhypotese afvises
Korrekt]]),NA(),IF($CR$3,1,NA()))</f>
        <v>#N/A</v>
      </c>
      <c r="CW130" s="34" t="str" cm="1">
        <f t="array" ref="CW130">_xlfn.SWITCH(BZ130,_xlfn.IFNA(CU$2,-99),CU$5,_xlfn.IFNA(CU$3,-99),CU$6,_xlfn.IFNA(CU$4,-99),CU$7,"")</f>
        <v/>
      </c>
      <c r="DA130" s="7">
        <f t="shared" si="156"/>
        <v>0.8</v>
      </c>
      <c r="DB130">
        <f>IF(ROW(Styrkeberegning_G[[#This Row],[X base venstre]])=ROW(Styrkeberegning_G[[#Headers],[X base venstre]])+1,DB$7/(DA$7/$B$67),DB129/(DA129/$B$67))</f>
        <v>-2.8015817870135784</v>
      </c>
      <c r="DC130">
        <f>Styrkeberegning_G[[#This Row],[X base venstre]]*-1</f>
        <v>2.8015817870135784</v>
      </c>
      <c r="DN130" s="32">
        <f t="shared" si="157"/>
        <v>120</v>
      </c>
      <c r="DO130" s="32">
        <f t="shared" si="158"/>
        <v>121</v>
      </c>
      <c r="DP130" s="32">
        <f t="shared" si="159"/>
        <v>15.522355434693811</v>
      </c>
      <c r="DQ130" s="32" t="e">
        <f t="shared" si="160"/>
        <v>#N/A</v>
      </c>
      <c r="DR130" s="32" t="e">
        <f t="shared" si="161"/>
        <v>#N/A</v>
      </c>
      <c r="DS130" s="32">
        <f t="shared" si="162"/>
        <v>4.1129261226258734E-2</v>
      </c>
      <c r="DT130" s="32" t="e">
        <f t="shared" si="163"/>
        <v>#N/A</v>
      </c>
      <c r="DU130" s="32" t="b">
        <f t="shared" si="164"/>
        <v>0</v>
      </c>
      <c r="DV130" s="32" t="b">
        <f t="shared" si="165"/>
        <v>1</v>
      </c>
      <c r="DW130" s="32" t="b">
        <f t="shared" si="166"/>
        <v>0</v>
      </c>
      <c r="DX130" s="32" t="b">
        <f t="shared" si="167"/>
        <v>1</v>
      </c>
      <c r="DY130" s="32">
        <f t="shared" si="168"/>
        <v>4.1129261226258734E-2</v>
      </c>
      <c r="DZ130" s="32" t="e">
        <f t="shared" si="169"/>
        <v>#N/A</v>
      </c>
      <c r="EA130" s="32">
        <f t="shared" si="170"/>
        <v>4.1129261226258734E-2</v>
      </c>
      <c r="EB130" s="45" t="str">
        <f t="shared" si="171"/>
        <v/>
      </c>
      <c r="EG130" s="32">
        <f t="shared" si="172"/>
        <v>120</v>
      </c>
      <c r="EH130" s="32">
        <f t="shared" si="173"/>
        <v>121</v>
      </c>
      <c r="EI130" s="32">
        <f t="shared" si="174"/>
        <v>-0.2155976027558939</v>
      </c>
      <c r="EJ130" s="32">
        <f t="shared" si="175"/>
        <v>0.38977731256446624</v>
      </c>
      <c r="EK130" s="32" t="e">
        <f t="shared" si="176"/>
        <v>#N/A</v>
      </c>
      <c r="EL130" s="32" t="e">
        <f t="shared" si="177"/>
        <v>#N/A</v>
      </c>
      <c r="EM130" s="32" t="e">
        <f t="shared" si="178"/>
        <v>#N/A</v>
      </c>
      <c r="EN130" s="32" t="b">
        <f t="shared" si="179"/>
        <v>0</v>
      </c>
      <c r="EO130" s="32" t="b">
        <f t="shared" si="180"/>
        <v>1</v>
      </c>
      <c r="EP130" s="32" t="b">
        <f t="shared" si="181"/>
        <v>0</v>
      </c>
      <c r="EQ130" s="32" t="b">
        <f t="shared" si="182"/>
        <v>1</v>
      </c>
      <c r="ER130" s="32">
        <f t="shared" si="183"/>
        <v>0.38977731256446624</v>
      </c>
      <c r="ES130" s="32" t="e">
        <f t="shared" si="184"/>
        <v>#N/A</v>
      </c>
      <c r="ET130" s="32">
        <f t="shared" si="185"/>
        <v>0.38977731256446624</v>
      </c>
      <c r="EU130" s="45" t="str">
        <f t="shared" si="186"/>
        <v/>
      </c>
      <c r="EV13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0" s="32" t="e" cm="1">
        <f t="array" ref="EY130">IF($CR$3,INDEX(Eu_tabel_a[[#This Row],[Styrke venstre]:[Styrke tosidet]],EY$7),NA())</f>
        <v>#N/A</v>
      </c>
      <c r="EZ130" s="32" t="e">
        <f>IF(EY$3,IF(CHOOSE(EY$7,Eu_tabel_a[[#This Row],[x base]]&gt;0,Eu_tabel_a[[#This Row],[x base]]&lt;0,Eu_tabel_a[[#This Row],[x base]]=0),1,NA()),NA())</f>
        <v>#N/A</v>
      </c>
      <c r="FA130" s="32" t="e">
        <f>IF(CHOOSE(EY$7,Eu_tabel_a[[#This Row],[x base]]&gt;0,Eu_tabel_a[[#This Row],[x base]]&lt;0,Eu_tabel_a[[#This Row],[x base]]=0),Eu_tabel_a[[#This Row],[Styrke, aktiv]],NA())</f>
        <v>#N/A</v>
      </c>
      <c r="FB130" s="32" t="e">
        <f>IFERROR(IF($EY$3,Eu_tabel_a[[#This Row],[Styrke, aktiv]],NA()),NA())</f>
        <v>#N/A</v>
      </c>
      <c r="FC130" s="32" t="e">
        <f>IF(ISNA(Eu_tabel_a[[#This Row],[Sand negativ
Nulhypotese afvises
Korrekt]]),NA(),IF(EY$3,1,NA()))</f>
        <v>#N/A</v>
      </c>
      <c r="FD130" s="33" t="str" cm="1">
        <f t="array" ref="FD130">IFERROR(_xlfn.SWITCH(Eu_tabel_a[[#This Row],[Indeks]],_xlfn.IFNA(FB$2,-99),FB$5,_xlfn.IFNA(FB$3,-99),FB$6,_xlfn.IFNA(FB$4,-99),FB$7,""),"")</f>
        <v/>
      </c>
      <c r="FE130" s="32">
        <f>Eu_tabel_a[[#This Row],[x base]]*SQRT(Eu_a_h0_x*(1-Eu_a_h0_x)/Eu_a_n_x)+Eu_a_h0_x</f>
        <v>0</v>
      </c>
      <c r="FJ130" s="74" t="e">
        <f t="shared" si="130"/>
        <v>#N/A</v>
      </c>
      <c r="FK130" s="82" t="e">
        <f t="shared" si="218"/>
        <v>#DIV/0!</v>
      </c>
      <c r="FL130" s="7" t="e">
        <f t="shared" si="124"/>
        <v>#DIV/0!</v>
      </c>
      <c r="FM130" t="e">
        <f t="shared" si="219"/>
        <v>#DIV/0!</v>
      </c>
      <c r="FN130" s="8" t="e">
        <f t="shared" si="220"/>
        <v>#DIV/0!</v>
      </c>
      <c r="FO130" s="8" t="e">
        <f t="shared" si="221"/>
        <v>#DIV/0!</v>
      </c>
      <c r="FP130" s="81" t="e">
        <f t="shared" si="222"/>
        <v>#DIV/0!</v>
      </c>
      <c r="FQ130" s="74" t="e">
        <f t="shared" ca="1" si="125"/>
        <v>#N/A</v>
      </c>
      <c r="FR130" s="82" t="e" vm="3">
        <f t="shared" ca="1" si="131"/>
        <v>#VALUE!</v>
      </c>
      <c r="FS130" s="7" t="e" vm="3">
        <f t="shared" ca="1" si="126"/>
        <v>#VALUE!</v>
      </c>
      <c r="FT130" t="e" vm="3">
        <f t="shared" ca="1" si="120"/>
        <v>#VALUE!</v>
      </c>
      <c r="FU130" s="8" t="e" vm="3">
        <f t="shared" ca="1" si="121"/>
        <v>#VALUE!</v>
      </c>
      <c r="FV130" s="8" t="e" vm="3">
        <f t="shared" ca="1" si="122"/>
        <v>#VALUE!</v>
      </c>
      <c r="FW130" s="81" t="e" vm="3">
        <f t="shared" ca="1" si="123"/>
        <v>#VALUE!</v>
      </c>
      <c r="FX130" s="74" t="e">
        <f t="shared" si="127"/>
        <v>#N/A</v>
      </c>
      <c r="FY130" s="82" t="e">
        <f t="shared" si="132"/>
        <v>#N/A</v>
      </c>
      <c r="FZ130" s="7" t="e">
        <f t="shared" si="128"/>
        <v>#N/A</v>
      </c>
      <c r="GA130" t="e">
        <f t="shared" si="133"/>
        <v>#N/A</v>
      </c>
      <c r="GB130" s="8" t="e">
        <f t="shared" si="134"/>
        <v>#N/A</v>
      </c>
      <c r="GC130" s="8" t="e">
        <f t="shared" si="135"/>
        <v>#N/A</v>
      </c>
      <c r="GD130" s="81" t="e">
        <f t="shared" si="136"/>
        <v>#N/A</v>
      </c>
      <c r="GE130" s="74" t="e">
        <f t="shared" si="137"/>
        <v>#N/A</v>
      </c>
      <c r="GF130" s="82" t="e">
        <f t="shared" si="138"/>
        <v>#N/A</v>
      </c>
      <c r="GG130" s="7" t="e">
        <f t="shared" si="129"/>
        <v>#N/A</v>
      </c>
      <c r="GH130" t="e">
        <f t="shared" si="139"/>
        <v>#N/A</v>
      </c>
      <c r="GI130" s="8" t="e">
        <f t="shared" si="140"/>
        <v>#N/A</v>
      </c>
      <c r="GJ130" s="8" t="e">
        <f t="shared" si="141"/>
        <v>#N/A</v>
      </c>
      <c r="GK130" s="81" t="e">
        <f t="shared" si="142"/>
        <v>#N/A</v>
      </c>
      <c r="GL130" s="81"/>
      <c r="GM130" s="81"/>
      <c r="GP130" s="32">
        <f t="shared" si="187"/>
        <v>120</v>
      </c>
      <c r="GQ130" s="32">
        <f t="shared" si="188"/>
        <v>121</v>
      </c>
      <c r="GR130" s="32">
        <f t="shared" si="189"/>
        <v>-0.2155976027558939</v>
      </c>
      <c r="GS130" s="32">
        <f t="shared" si="190"/>
        <v>0.38977731256446624</v>
      </c>
      <c r="GT130" s="32" t="e">
        <f t="shared" si="191"/>
        <v>#N/A</v>
      </c>
      <c r="GU130" s="32" t="e">
        <f t="shared" si="192"/>
        <v>#N/A</v>
      </c>
      <c r="GV130" s="32" t="e">
        <f t="shared" si="193"/>
        <v>#N/A</v>
      </c>
      <c r="GW130" s="32" t="b">
        <f t="shared" si="194"/>
        <v>0</v>
      </c>
      <c r="GX130" s="32" t="b">
        <f t="shared" si="195"/>
        <v>1</v>
      </c>
      <c r="GY130" s="32" t="b">
        <f t="shared" si="196"/>
        <v>0</v>
      </c>
      <c r="GZ130" s="32" t="b">
        <f t="shared" si="197"/>
        <v>1</v>
      </c>
      <c r="HA130" s="32">
        <f t="shared" si="198"/>
        <v>0.38977731256446624</v>
      </c>
      <c r="HB130" s="32" t="e">
        <f t="shared" si="199"/>
        <v>#N/A</v>
      </c>
      <c r="HC130" s="32">
        <f t="shared" si="200"/>
        <v>0.38977731256446624</v>
      </c>
      <c r="HD130" s="45" t="str">
        <f t="shared" si="201"/>
        <v/>
      </c>
      <c r="HJ130" s="32">
        <f t="shared" si="202"/>
        <v>120</v>
      </c>
      <c r="HK130" s="32">
        <f t="shared" si="203"/>
        <v>121</v>
      </c>
      <c r="HL130" s="32">
        <f t="shared" si="204"/>
        <v>-0.33385741595151153</v>
      </c>
      <c r="HM130" s="32" t="e">
        <f t="shared" si="205"/>
        <v>#N/A</v>
      </c>
      <c r="HN130" s="32">
        <f t="shared" si="206"/>
        <v>0.36141649529983938</v>
      </c>
      <c r="HO130" s="32" t="e">
        <f t="shared" si="207"/>
        <v>#N/A</v>
      </c>
      <c r="HP130" s="32" t="e">
        <f t="shared" si="208"/>
        <v>#N/A</v>
      </c>
      <c r="HQ130" s="32" t="b">
        <f t="shared" si="209"/>
        <v>1</v>
      </c>
      <c r="HR130" s="32" t="b">
        <f t="shared" si="210"/>
        <v>0</v>
      </c>
      <c r="HS130" s="32" t="b">
        <f t="shared" si="211"/>
        <v>0</v>
      </c>
      <c r="HT130" s="32" t="b">
        <f t="shared" si="212"/>
        <v>1</v>
      </c>
      <c r="HU130" s="32">
        <f t="shared" si="213"/>
        <v>0.36141649529983938</v>
      </c>
      <c r="HV130" s="32">
        <f t="shared" si="214"/>
        <v>0.36141649529983938</v>
      </c>
      <c r="HW130" s="32" t="e">
        <f t="shared" si="215"/>
        <v>#N/A</v>
      </c>
      <c r="HX130" s="45" t="str">
        <f t="shared" si="216"/>
        <v/>
      </c>
    </row>
    <row r="131" spans="78:232" x14ac:dyDescent="0.2">
      <c r="BZ131" s="32">
        <f t="shared" si="143"/>
        <v>121</v>
      </c>
      <c r="CA131" s="32">
        <f>Eu_tabel_g[[#This Row],[Indeks]]+1</f>
        <v>122</v>
      </c>
      <c r="CB131" s="32">
        <f t="shared" si="144"/>
        <v>-0.19164231356079453</v>
      </c>
      <c r="CC131" s="32">
        <f t="shared" si="145"/>
        <v>0.39168320306250204</v>
      </c>
      <c r="CD131" s="32" t="e">
        <f t="shared" si="146"/>
        <v>#N/A</v>
      </c>
      <c r="CE131" s="32" t="e">
        <f t="shared" si="147"/>
        <v>#N/A</v>
      </c>
      <c r="CF131" s="32" t="e">
        <f t="shared" si="148"/>
        <v>#N/A</v>
      </c>
      <c r="CG131" s="32" t="b">
        <f t="shared" si="149"/>
        <v>0</v>
      </c>
      <c r="CH131" s="32" t="b">
        <f t="shared" si="150"/>
        <v>1</v>
      </c>
      <c r="CI131" s="32" t="b">
        <f t="shared" si="151"/>
        <v>0</v>
      </c>
      <c r="CJ131" s="32" t="b">
        <f t="shared" si="152"/>
        <v>1</v>
      </c>
      <c r="CK131" s="32">
        <f t="shared" si="223"/>
        <v>0.39168320306250204</v>
      </c>
      <c r="CL131" s="32" t="e">
        <f t="shared" si="153"/>
        <v>#N/A</v>
      </c>
      <c r="CM131" s="32">
        <f t="shared" si="154"/>
        <v>0.39168320306250204</v>
      </c>
      <c r="CN131" s="45" t="str">
        <f t="shared" si="155"/>
        <v/>
      </c>
      <c r="CO131" s="32">
        <f>_xlfn.NORM.DIST(_xlfn.NORM.INV(1-Eu_g_konfidensniveau,0,1)-Eu_tabel_g[[#This Row],[x base]],0,1,TRUE)</f>
        <v>7.3082545980037106E-2</v>
      </c>
      <c r="CP131" s="32">
        <f>1-_xlfn.NORM.DIST(_xlfn.NORM.INV(Eu_g_konfidensniveau,0,1)-Eu_tabel_g[[#This Row],[x base]],0,1,TRUE)</f>
        <v>3.3142170968285201E-2</v>
      </c>
      <c r="CQ131" s="32">
        <f>_xlfn.NORM.DIST(_xlfn.NORM.INV((1-Eu_g_konfidensniveau)/2,0,1)-Eu_tabel_g[[#This Row],[x base]],0,1,TRUE)+1-_xlfn.NORM.DIST(_xlfn.NORM.INV(1-(1-Eu_g_konfidensniveau)/2,0,1)-Eu_tabel_g[[#This Row],[x base]],0,1,TRUE)</f>
        <v>5.4217759348040184E-2</v>
      </c>
      <c r="CR131" s="32" t="e" cm="1">
        <f t="array" ref="CR131">IF($CR$3,INDEX(Eu_tabel_g[[#This Row],[Styrke venstre]:[Styrke tosidet]],CR$7),NA())</f>
        <v>#N/A</v>
      </c>
      <c r="CS131" s="52" t="e">
        <f>Eu_tabel_g[[#This Row],[Falsk positiv
Nulhypotese accepteres
Fejltype 1]]</f>
        <v>#N/A</v>
      </c>
      <c r="CT131" s="52" t="e">
        <f>IF(CHOOSE(CR$7,Eu_tabel_g[[#This Row],[x base]]&gt;0,Eu_tabel_g[[#This Row],[x base]]&lt;0,Eu_tabel_g[[#This Row],[x base]]=0),Eu_tabel_g[[#This Row],[Styrke, aktiv]],NA())</f>
        <v>#N/A</v>
      </c>
      <c r="CU131" s="52" t="e">
        <f>IFERROR(IF($CR$3,Eu_tabel_g[[#This Row],[Styrke, aktiv]],NA()),NA())</f>
        <v>#N/A</v>
      </c>
      <c r="CV131" s="52" t="e">
        <f>IF(ISNA(Eu_tabel_g[[#This Row],[Sand negativ
Nulhypotese afvises
Korrekt]]),NA(),IF($CR$3,1,NA()))</f>
        <v>#N/A</v>
      </c>
      <c r="CW131" s="34" t="str" cm="1">
        <f t="array" ref="CW131">_xlfn.SWITCH(BZ131,_xlfn.IFNA(CU$2,-99),CU$5,_xlfn.IFNA(CU$3,-99),CU$6,_xlfn.IFNA(CU$4,-99),CU$7,"")</f>
        <v/>
      </c>
      <c r="DA131" s="7">
        <f t="shared" si="156"/>
        <v>0.8</v>
      </c>
      <c r="DB131">
        <f>IF(ROW(Styrkeberegning_G[[#This Row],[X base venstre]])=ROW(Styrkeberegning_G[[#Headers],[X base venstre]])+1,DB$7/(DA$7/$B$67),DB130/(DA130/$B$67))</f>
        <v>-2.8015817870135784</v>
      </c>
      <c r="DC131">
        <f>Styrkeberegning_G[[#This Row],[X base venstre]]*-1</f>
        <v>2.8015817870135784</v>
      </c>
      <c r="DN131" s="32">
        <f t="shared" si="157"/>
        <v>121</v>
      </c>
      <c r="DO131" s="32">
        <f t="shared" si="158"/>
        <v>122</v>
      </c>
      <c r="DP131" s="32">
        <f t="shared" si="159"/>
        <v>15.636426291110812</v>
      </c>
      <c r="DQ131" s="32" t="e">
        <f t="shared" si="160"/>
        <v>#N/A</v>
      </c>
      <c r="DR131" s="32" t="e">
        <f t="shared" si="161"/>
        <v>#N/A</v>
      </c>
      <c r="DS131" s="32">
        <f t="shared" si="162"/>
        <v>4.0150428877391404E-2</v>
      </c>
      <c r="DT131" s="32" t="e">
        <f t="shared" si="163"/>
        <v>#N/A</v>
      </c>
      <c r="DU131" s="32" t="b">
        <f t="shared" si="164"/>
        <v>0</v>
      </c>
      <c r="DV131" s="32" t="b">
        <f t="shared" si="165"/>
        <v>1</v>
      </c>
      <c r="DW131" s="32" t="b">
        <f t="shared" si="166"/>
        <v>0</v>
      </c>
      <c r="DX131" s="32" t="b">
        <f t="shared" si="167"/>
        <v>1</v>
      </c>
      <c r="DY131" s="32">
        <f t="shared" si="168"/>
        <v>4.0150428877391404E-2</v>
      </c>
      <c r="DZ131" s="32" t="e">
        <f t="shared" si="169"/>
        <v>#N/A</v>
      </c>
      <c r="EA131" s="32">
        <f t="shared" si="170"/>
        <v>4.0150428877391404E-2</v>
      </c>
      <c r="EB131" s="45" t="str">
        <f t="shared" si="171"/>
        <v/>
      </c>
      <c r="EG131" s="32">
        <f t="shared" si="172"/>
        <v>121</v>
      </c>
      <c r="EH131" s="32">
        <f t="shared" si="173"/>
        <v>122</v>
      </c>
      <c r="EI131" s="32">
        <f t="shared" si="174"/>
        <v>-0.19164231356079453</v>
      </c>
      <c r="EJ131" s="32">
        <f t="shared" si="175"/>
        <v>0.39168320306250204</v>
      </c>
      <c r="EK131" s="32" t="e">
        <f t="shared" si="176"/>
        <v>#N/A</v>
      </c>
      <c r="EL131" s="32" t="e">
        <f t="shared" si="177"/>
        <v>#N/A</v>
      </c>
      <c r="EM131" s="32" t="e">
        <f t="shared" si="178"/>
        <v>#N/A</v>
      </c>
      <c r="EN131" s="32" t="b">
        <f t="shared" si="179"/>
        <v>0</v>
      </c>
      <c r="EO131" s="32" t="b">
        <f t="shared" si="180"/>
        <v>1</v>
      </c>
      <c r="EP131" s="32" t="b">
        <f t="shared" si="181"/>
        <v>0</v>
      </c>
      <c r="EQ131" s="32" t="b">
        <f t="shared" si="182"/>
        <v>1</v>
      </c>
      <c r="ER131" s="32">
        <f t="shared" si="183"/>
        <v>0.39168320306250204</v>
      </c>
      <c r="ES131" s="32" t="e">
        <f t="shared" si="184"/>
        <v>#N/A</v>
      </c>
      <c r="ET131" s="32">
        <f t="shared" si="185"/>
        <v>0.39168320306250204</v>
      </c>
      <c r="EU131" s="45" t="str">
        <f t="shared" si="186"/>
        <v/>
      </c>
      <c r="EV13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1" s="32" t="e" cm="1">
        <f t="array" ref="EY131">IF($CR$3,INDEX(Eu_tabel_a[[#This Row],[Styrke venstre]:[Styrke tosidet]],EY$7),NA())</f>
        <v>#N/A</v>
      </c>
      <c r="EZ131" s="32" t="e">
        <f>IF(EY$3,IF(CHOOSE(EY$7,Eu_tabel_a[[#This Row],[x base]]&gt;0,Eu_tabel_a[[#This Row],[x base]]&lt;0,Eu_tabel_a[[#This Row],[x base]]=0),1,NA()),NA())</f>
        <v>#N/A</v>
      </c>
      <c r="FA131" s="32" t="e">
        <f>IF(CHOOSE(EY$7,Eu_tabel_a[[#This Row],[x base]]&gt;0,Eu_tabel_a[[#This Row],[x base]]&lt;0,Eu_tabel_a[[#This Row],[x base]]=0),Eu_tabel_a[[#This Row],[Styrke, aktiv]],NA())</f>
        <v>#N/A</v>
      </c>
      <c r="FB131" s="32" t="e">
        <f>IFERROR(IF($EY$3,Eu_tabel_a[[#This Row],[Styrke, aktiv]],NA()),NA())</f>
        <v>#N/A</v>
      </c>
      <c r="FC131" s="32" t="e">
        <f>IF(ISNA(Eu_tabel_a[[#This Row],[Sand negativ
Nulhypotese afvises
Korrekt]]),NA(),IF(EY$3,1,NA()))</f>
        <v>#N/A</v>
      </c>
      <c r="FD131" s="33" t="str" cm="1">
        <f t="array" ref="FD131">IFERROR(_xlfn.SWITCH(Eu_tabel_a[[#This Row],[Indeks]],_xlfn.IFNA(FB$2,-99),FB$5,_xlfn.IFNA(FB$3,-99),FB$6,_xlfn.IFNA(FB$4,-99),FB$7,""),"")</f>
        <v/>
      </c>
      <c r="FE131" s="32">
        <f>Eu_tabel_a[[#This Row],[x base]]*SQRT(Eu_a_h0_x*(1-Eu_a_h0_x)/Eu_a_n_x)+Eu_a_h0_x</f>
        <v>0</v>
      </c>
      <c r="FJ131" s="74" t="e">
        <f t="shared" si="130"/>
        <v>#N/A</v>
      </c>
      <c r="FK131" s="82" t="e">
        <f t="shared" si="218"/>
        <v>#DIV/0!</v>
      </c>
      <c r="FL131" s="7" t="e">
        <f t="shared" si="124"/>
        <v>#DIV/0!</v>
      </c>
      <c r="FM131" t="e">
        <f t="shared" si="219"/>
        <v>#DIV/0!</v>
      </c>
      <c r="FN131" s="8" t="e">
        <f t="shared" si="220"/>
        <v>#DIV/0!</v>
      </c>
      <c r="FO131" s="8" t="e">
        <f t="shared" si="221"/>
        <v>#DIV/0!</v>
      </c>
      <c r="FP131" s="81" t="e">
        <f t="shared" si="222"/>
        <v>#DIV/0!</v>
      </c>
      <c r="FQ131" s="74" t="e">
        <f t="shared" ca="1" si="125"/>
        <v>#N/A</v>
      </c>
      <c r="FR131" s="82" t="e" vm="3">
        <f t="shared" ca="1" si="131"/>
        <v>#VALUE!</v>
      </c>
      <c r="FS131" s="7" t="e" vm="3">
        <f t="shared" ca="1" si="126"/>
        <v>#VALUE!</v>
      </c>
      <c r="FT131" t="e" vm="3">
        <f t="shared" ca="1" si="120"/>
        <v>#VALUE!</v>
      </c>
      <c r="FU131" s="8" t="e" vm="3">
        <f t="shared" ca="1" si="121"/>
        <v>#VALUE!</v>
      </c>
      <c r="FV131" s="8" t="e" vm="3">
        <f t="shared" ca="1" si="122"/>
        <v>#VALUE!</v>
      </c>
      <c r="FW131" s="81" t="e" vm="3">
        <f t="shared" ca="1" si="123"/>
        <v>#VALUE!</v>
      </c>
      <c r="FX131" s="74" t="e">
        <f t="shared" si="127"/>
        <v>#N/A</v>
      </c>
      <c r="FY131" s="82" t="e">
        <f t="shared" si="132"/>
        <v>#N/A</v>
      </c>
      <c r="FZ131" s="7" t="e">
        <f t="shared" si="128"/>
        <v>#N/A</v>
      </c>
      <c r="GA131" t="e">
        <f t="shared" si="133"/>
        <v>#N/A</v>
      </c>
      <c r="GB131" s="8" t="e">
        <f t="shared" si="134"/>
        <v>#N/A</v>
      </c>
      <c r="GC131" s="8" t="e">
        <f t="shared" si="135"/>
        <v>#N/A</v>
      </c>
      <c r="GD131" s="81" t="e">
        <f t="shared" si="136"/>
        <v>#N/A</v>
      </c>
      <c r="GE131" s="74" t="e">
        <f t="shared" si="137"/>
        <v>#N/A</v>
      </c>
      <c r="GF131" s="82" t="e">
        <f t="shared" si="138"/>
        <v>#N/A</v>
      </c>
      <c r="GG131" s="7" t="e">
        <f t="shared" si="129"/>
        <v>#N/A</v>
      </c>
      <c r="GH131" t="e">
        <f t="shared" si="139"/>
        <v>#N/A</v>
      </c>
      <c r="GI131" s="8" t="e">
        <f t="shared" si="140"/>
        <v>#N/A</v>
      </c>
      <c r="GJ131" s="8" t="e">
        <f t="shared" si="141"/>
        <v>#N/A</v>
      </c>
      <c r="GK131" s="81" t="e">
        <f t="shared" si="142"/>
        <v>#N/A</v>
      </c>
      <c r="GL131" s="81"/>
      <c r="GM131" s="81"/>
      <c r="GP131" s="32">
        <f t="shared" si="187"/>
        <v>121</v>
      </c>
      <c r="GQ131" s="32">
        <f t="shared" si="188"/>
        <v>122</v>
      </c>
      <c r="GR131" s="32">
        <f t="shared" si="189"/>
        <v>-0.19164231356079453</v>
      </c>
      <c r="GS131" s="32">
        <f t="shared" si="190"/>
        <v>0.39168320306250204</v>
      </c>
      <c r="GT131" s="32" t="e">
        <f t="shared" si="191"/>
        <v>#N/A</v>
      </c>
      <c r="GU131" s="32" t="e">
        <f t="shared" si="192"/>
        <v>#N/A</v>
      </c>
      <c r="GV131" s="32" t="e">
        <f t="shared" si="193"/>
        <v>#N/A</v>
      </c>
      <c r="GW131" s="32" t="b">
        <f t="shared" si="194"/>
        <v>0</v>
      </c>
      <c r="GX131" s="32" t="b">
        <f t="shared" si="195"/>
        <v>1</v>
      </c>
      <c r="GY131" s="32" t="b">
        <f t="shared" si="196"/>
        <v>0</v>
      </c>
      <c r="GZ131" s="32" t="b">
        <f t="shared" si="197"/>
        <v>1</v>
      </c>
      <c r="HA131" s="32">
        <f t="shared" si="198"/>
        <v>0.39168320306250204</v>
      </c>
      <c r="HB131" s="32" t="e">
        <f t="shared" si="199"/>
        <v>#N/A</v>
      </c>
      <c r="HC131" s="32">
        <f t="shared" si="200"/>
        <v>0.39168320306250204</v>
      </c>
      <c r="HD131" s="45" t="str">
        <f t="shared" si="201"/>
        <v/>
      </c>
      <c r="HJ131" s="32">
        <f t="shared" si="202"/>
        <v>121</v>
      </c>
      <c r="HK131" s="32">
        <f t="shared" si="203"/>
        <v>122</v>
      </c>
      <c r="HL131" s="32">
        <f t="shared" si="204"/>
        <v>-0.29676214751245489</v>
      </c>
      <c r="HM131" s="32" t="e">
        <f t="shared" si="205"/>
        <v>#N/A</v>
      </c>
      <c r="HN131" s="32">
        <f t="shared" si="206"/>
        <v>0.36621134988680171</v>
      </c>
      <c r="HO131" s="32" t="e">
        <f t="shared" si="207"/>
        <v>#N/A</v>
      </c>
      <c r="HP131" s="32" t="e">
        <f t="shared" si="208"/>
        <v>#N/A</v>
      </c>
      <c r="HQ131" s="32" t="b">
        <f t="shared" si="209"/>
        <v>1</v>
      </c>
      <c r="HR131" s="32" t="b">
        <f t="shared" si="210"/>
        <v>0</v>
      </c>
      <c r="HS131" s="32" t="b">
        <f t="shared" si="211"/>
        <v>0</v>
      </c>
      <c r="HT131" s="32" t="b">
        <f t="shared" si="212"/>
        <v>1</v>
      </c>
      <c r="HU131" s="32">
        <f t="shared" si="213"/>
        <v>0.36621134988680171</v>
      </c>
      <c r="HV131" s="32">
        <f t="shared" si="214"/>
        <v>0.36621134988680171</v>
      </c>
      <c r="HW131" s="32" t="e">
        <f t="shared" si="215"/>
        <v>#N/A</v>
      </c>
      <c r="HX131" s="45" t="str">
        <f t="shared" si="216"/>
        <v/>
      </c>
    </row>
    <row r="132" spans="78:232" x14ac:dyDescent="0.2">
      <c r="BZ132" s="32">
        <f t="shared" si="143"/>
        <v>122</v>
      </c>
      <c r="CA132" s="32">
        <f>Eu_tabel_g[[#This Row],[Indeks]]+1</f>
        <v>123</v>
      </c>
      <c r="CB132" s="32">
        <f t="shared" si="144"/>
        <v>-0.16768702436569516</v>
      </c>
      <c r="CC132" s="32">
        <f t="shared" si="145"/>
        <v>0.39337260880753866</v>
      </c>
      <c r="CD132" s="32" t="e">
        <f t="shared" si="146"/>
        <v>#N/A</v>
      </c>
      <c r="CE132" s="32" t="e">
        <f t="shared" si="147"/>
        <v>#N/A</v>
      </c>
      <c r="CF132" s="32" t="e">
        <f t="shared" si="148"/>
        <v>#N/A</v>
      </c>
      <c r="CG132" s="32" t="b">
        <f t="shared" si="149"/>
        <v>0</v>
      </c>
      <c r="CH132" s="32" t="b">
        <f t="shared" si="150"/>
        <v>1</v>
      </c>
      <c r="CI132" s="32" t="b">
        <f t="shared" si="151"/>
        <v>0</v>
      </c>
      <c r="CJ132" s="32" t="b">
        <f t="shared" si="152"/>
        <v>1</v>
      </c>
      <c r="CK132" s="32">
        <f t="shared" si="223"/>
        <v>0.39337260880753866</v>
      </c>
      <c r="CL132" s="32" t="e">
        <f t="shared" si="153"/>
        <v>#N/A</v>
      </c>
      <c r="CM132" s="32">
        <f t="shared" si="154"/>
        <v>0.39337260880753866</v>
      </c>
      <c r="CN132" s="45" t="str">
        <f t="shared" si="155"/>
        <v/>
      </c>
      <c r="CO132" s="32">
        <f>_xlfn.NORM.DIST(_xlfn.NORM.INV(1-Eu_g_konfidensniveau,0,1)-Eu_tabel_g[[#This Row],[x base]],0,1,TRUE)</f>
        <v>6.9815491895966419E-2</v>
      </c>
      <c r="CP132" s="32">
        <f>1-_xlfn.NORM.DIST(_xlfn.NORM.INV(Eu_g_konfidensniveau,0,1)-Eu_tabel_g[[#This Row],[x base]],0,1,TRUE)</f>
        <v>3.4951349306852841E-2</v>
      </c>
      <c r="CQ132" s="32">
        <f>_xlfn.NORM.DIST(_xlfn.NORM.INV((1-Eu_g_konfidensniveau)/2,0,1)-Eu_tabel_g[[#This Row],[x base]],0,1,TRUE)+1-_xlfn.NORM.DIST(_xlfn.NORM.INV(1-(1-Eu_g_konfidensniveau)/2,0,1)-Eu_tabel_g[[#This Row],[x base]],0,1,TRUE)</f>
        <v>5.322732084453996E-2</v>
      </c>
      <c r="CR132" s="32" t="e" cm="1">
        <f t="array" ref="CR132">IF($CR$3,INDEX(Eu_tabel_g[[#This Row],[Styrke venstre]:[Styrke tosidet]],CR$7),NA())</f>
        <v>#N/A</v>
      </c>
      <c r="CS132" s="52" t="e">
        <f>Eu_tabel_g[[#This Row],[Falsk positiv
Nulhypotese accepteres
Fejltype 1]]</f>
        <v>#N/A</v>
      </c>
      <c r="CT132" s="52" t="e">
        <f>IF(CHOOSE(CR$7,Eu_tabel_g[[#This Row],[x base]]&gt;0,Eu_tabel_g[[#This Row],[x base]]&lt;0,Eu_tabel_g[[#This Row],[x base]]=0),Eu_tabel_g[[#This Row],[Styrke, aktiv]],NA())</f>
        <v>#N/A</v>
      </c>
      <c r="CU132" s="52" t="e">
        <f>IFERROR(IF($CR$3,Eu_tabel_g[[#This Row],[Styrke, aktiv]],NA()),NA())</f>
        <v>#N/A</v>
      </c>
      <c r="CV132" s="52" t="e">
        <f>IF(ISNA(Eu_tabel_g[[#This Row],[Sand negativ
Nulhypotese afvises
Korrekt]]),NA(),IF($CR$3,1,NA()))</f>
        <v>#N/A</v>
      </c>
      <c r="CW132" s="34" t="str" cm="1">
        <f t="array" ref="CW132">_xlfn.SWITCH(BZ132,_xlfn.IFNA(CU$2,-99),CU$5,_xlfn.IFNA(CU$3,-99),CU$6,_xlfn.IFNA(CU$4,-99),CU$7,"")</f>
        <v/>
      </c>
      <c r="DA132" s="7">
        <f t="shared" si="156"/>
        <v>0.8</v>
      </c>
      <c r="DB132">
        <f>IF(ROW(Styrkeberegning_G[[#This Row],[X base venstre]])=ROW(Styrkeberegning_G[[#Headers],[X base venstre]])+1,DB$7/(DA$7/$B$67),DB131/(DA131/$B$67))</f>
        <v>-2.8015817870135784</v>
      </c>
      <c r="DC132">
        <f>Styrkeberegning_G[[#This Row],[X base venstre]]*-1</f>
        <v>2.8015817870135784</v>
      </c>
      <c r="DN132" s="32">
        <f t="shared" si="157"/>
        <v>122</v>
      </c>
      <c r="DO132" s="32">
        <f t="shared" si="158"/>
        <v>123</v>
      </c>
      <c r="DP132" s="32">
        <f t="shared" si="159"/>
        <v>15.750497147527813</v>
      </c>
      <c r="DQ132" s="32" t="e">
        <f t="shared" si="160"/>
        <v>#N/A</v>
      </c>
      <c r="DR132" s="32" t="e">
        <f t="shared" si="161"/>
        <v>#N/A</v>
      </c>
      <c r="DS132" s="32">
        <f t="shared" si="162"/>
        <v>3.9185505789390514E-2</v>
      </c>
      <c r="DT132" s="32" t="e">
        <f t="shared" si="163"/>
        <v>#N/A</v>
      </c>
      <c r="DU132" s="32" t="b">
        <f t="shared" si="164"/>
        <v>0</v>
      </c>
      <c r="DV132" s="32" t="b">
        <f t="shared" si="165"/>
        <v>1</v>
      </c>
      <c r="DW132" s="32" t="b">
        <f t="shared" si="166"/>
        <v>0</v>
      </c>
      <c r="DX132" s="32" t="b">
        <f t="shared" si="167"/>
        <v>1</v>
      </c>
      <c r="DY132" s="32">
        <f t="shared" si="168"/>
        <v>3.9185505789390514E-2</v>
      </c>
      <c r="DZ132" s="32" t="e">
        <f t="shared" si="169"/>
        <v>#N/A</v>
      </c>
      <c r="EA132" s="32">
        <f t="shared" si="170"/>
        <v>3.9185505789390514E-2</v>
      </c>
      <c r="EB132" s="45" t="str">
        <f t="shared" si="171"/>
        <v/>
      </c>
      <c r="EG132" s="32">
        <f t="shared" si="172"/>
        <v>122</v>
      </c>
      <c r="EH132" s="32">
        <f t="shared" si="173"/>
        <v>123</v>
      </c>
      <c r="EI132" s="32">
        <f t="shared" si="174"/>
        <v>-0.16768702436569516</v>
      </c>
      <c r="EJ132" s="32">
        <f t="shared" si="175"/>
        <v>0.39337260880753866</v>
      </c>
      <c r="EK132" s="32" t="e">
        <f t="shared" si="176"/>
        <v>#N/A</v>
      </c>
      <c r="EL132" s="32" t="e">
        <f t="shared" si="177"/>
        <v>#N/A</v>
      </c>
      <c r="EM132" s="32" t="e">
        <f t="shared" si="178"/>
        <v>#N/A</v>
      </c>
      <c r="EN132" s="32" t="b">
        <f t="shared" si="179"/>
        <v>0</v>
      </c>
      <c r="EO132" s="32" t="b">
        <f t="shared" si="180"/>
        <v>1</v>
      </c>
      <c r="EP132" s="32" t="b">
        <f t="shared" si="181"/>
        <v>0</v>
      </c>
      <c r="EQ132" s="32" t="b">
        <f t="shared" si="182"/>
        <v>1</v>
      </c>
      <c r="ER132" s="32">
        <f t="shared" si="183"/>
        <v>0.39337260880753866</v>
      </c>
      <c r="ES132" s="32" t="e">
        <f t="shared" si="184"/>
        <v>#N/A</v>
      </c>
      <c r="ET132" s="32">
        <f t="shared" si="185"/>
        <v>0.39337260880753866</v>
      </c>
      <c r="EU132" s="45" t="str">
        <f t="shared" si="186"/>
        <v/>
      </c>
      <c r="EV13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2" s="32" t="e" cm="1">
        <f t="array" ref="EY132">IF($CR$3,INDEX(Eu_tabel_a[[#This Row],[Styrke venstre]:[Styrke tosidet]],EY$7),NA())</f>
        <v>#N/A</v>
      </c>
      <c r="EZ132" s="32" t="e">
        <f>IF(EY$3,IF(CHOOSE(EY$7,Eu_tabel_a[[#This Row],[x base]]&gt;0,Eu_tabel_a[[#This Row],[x base]]&lt;0,Eu_tabel_a[[#This Row],[x base]]=0),1,NA()),NA())</f>
        <v>#N/A</v>
      </c>
      <c r="FA132" s="32" t="e">
        <f>IF(CHOOSE(EY$7,Eu_tabel_a[[#This Row],[x base]]&gt;0,Eu_tabel_a[[#This Row],[x base]]&lt;0,Eu_tabel_a[[#This Row],[x base]]=0),Eu_tabel_a[[#This Row],[Styrke, aktiv]],NA())</f>
        <v>#N/A</v>
      </c>
      <c r="FB132" s="32" t="e">
        <f>IFERROR(IF($EY$3,Eu_tabel_a[[#This Row],[Styrke, aktiv]],NA()),NA())</f>
        <v>#N/A</v>
      </c>
      <c r="FC132" s="32" t="e">
        <f>IF(ISNA(Eu_tabel_a[[#This Row],[Sand negativ
Nulhypotese afvises
Korrekt]]),NA(),IF(EY$3,1,NA()))</f>
        <v>#N/A</v>
      </c>
      <c r="FD132" s="33" t="str" cm="1">
        <f t="array" ref="FD132">IFERROR(_xlfn.SWITCH(Eu_tabel_a[[#This Row],[Indeks]],_xlfn.IFNA(FB$2,-99),FB$5,_xlfn.IFNA(FB$3,-99),FB$6,_xlfn.IFNA(FB$4,-99),FB$7,""),"")</f>
        <v/>
      </c>
      <c r="FE132" s="32">
        <f>Eu_tabel_a[[#This Row],[x base]]*SQRT(Eu_a_h0_x*(1-Eu_a_h0_x)/Eu_a_n_x)+Eu_a_h0_x</f>
        <v>0</v>
      </c>
      <c r="FJ132" s="74" t="e">
        <f t="shared" si="130"/>
        <v>#N/A</v>
      </c>
      <c r="FK132" s="82" t="e">
        <f t="shared" si="218"/>
        <v>#DIV/0!</v>
      </c>
      <c r="FL132" s="7" t="e">
        <f t="shared" si="124"/>
        <v>#DIV/0!</v>
      </c>
      <c r="FM132" t="e">
        <f t="shared" si="219"/>
        <v>#DIV/0!</v>
      </c>
      <c r="FN132" s="8" t="e">
        <f t="shared" si="220"/>
        <v>#DIV/0!</v>
      </c>
      <c r="FO132" s="8" t="e">
        <f t="shared" si="221"/>
        <v>#DIV/0!</v>
      </c>
      <c r="FP132" s="81" t="e">
        <f t="shared" si="222"/>
        <v>#DIV/0!</v>
      </c>
      <c r="FQ132" s="74" t="e">
        <f t="shared" ca="1" si="125"/>
        <v>#N/A</v>
      </c>
      <c r="FR132" s="82" t="e" vm="3">
        <f t="shared" ca="1" si="131"/>
        <v>#VALUE!</v>
      </c>
      <c r="FS132" s="7" t="e" vm="3">
        <f t="shared" ca="1" si="126"/>
        <v>#VALUE!</v>
      </c>
      <c r="FT132" t="e" vm="3">
        <f t="shared" ca="1" si="120"/>
        <v>#VALUE!</v>
      </c>
      <c r="FU132" s="8" t="e" vm="3">
        <f t="shared" ca="1" si="121"/>
        <v>#VALUE!</v>
      </c>
      <c r="FV132" s="8" t="e" vm="3">
        <f t="shared" ca="1" si="122"/>
        <v>#VALUE!</v>
      </c>
      <c r="FW132" s="81" t="e" vm="3">
        <f t="shared" ca="1" si="123"/>
        <v>#VALUE!</v>
      </c>
      <c r="FX132" s="74" t="e">
        <f t="shared" si="127"/>
        <v>#N/A</v>
      </c>
      <c r="FY132" s="82" t="e">
        <f t="shared" si="132"/>
        <v>#N/A</v>
      </c>
      <c r="FZ132" s="7" t="e">
        <f t="shared" si="128"/>
        <v>#N/A</v>
      </c>
      <c r="GA132" t="e">
        <f t="shared" si="133"/>
        <v>#N/A</v>
      </c>
      <c r="GB132" s="8" t="e">
        <f t="shared" si="134"/>
        <v>#N/A</v>
      </c>
      <c r="GC132" s="8" t="e">
        <f t="shared" si="135"/>
        <v>#N/A</v>
      </c>
      <c r="GD132" s="81" t="e">
        <f t="shared" si="136"/>
        <v>#N/A</v>
      </c>
      <c r="GE132" s="74" t="e">
        <f t="shared" si="137"/>
        <v>#N/A</v>
      </c>
      <c r="GF132" s="82" t="e">
        <f t="shared" si="138"/>
        <v>#N/A</v>
      </c>
      <c r="GG132" s="7" t="e">
        <f t="shared" si="129"/>
        <v>#N/A</v>
      </c>
      <c r="GH132" t="e">
        <f t="shared" si="139"/>
        <v>#N/A</v>
      </c>
      <c r="GI132" s="8" t="e">
        <f t="shared" si="140"/>
        <v>#N/A</v>
      </c>
      <c r="GJ132" s="8" t="e">
        <f t="shared" si="141"/>
        <v>#N/A</v>
      </c>
      <c r="GK132" s="81" t="e">
        <f t="shared" si="142"/>
        <v>#N/A</v>
      </c>
      <c r="GL132" s="81"/>
      <c r="GM132" s="81"/>
      <c r="GP132" s="32">
        <f t="shared" si="187"/>
        <v>122</v>
      </c>
      <c r="GQ132" s="32">
        <f t="shared" si="188"/>
        <v>123</v>
      </c>
      <c r="GR132" s="32">
        <f t="shared" si="189"/>
        <v>-0.16768702436569516</v>
      </c>
      <c r="GS132" s="32">
        <f t="shared" si="190"/>
        <v>0.39337260880753866</v>
      </c>
      <c r="GT132" s="32" t="e">
        <f t="shared" si="191"/>
        <v>#N/A</v>
      </c>
      <c r="GU132" s="32" t="e">
        <f t="shared" si="192"/>
        <v>#N/A</v>
      </c>
      <c r="GV132" s="32" t="e">
        <f t="shared" si="193"/>
        <v>#N/A</v>
      </c>
      <c r="GW132" s="32" t="b">
        <f t="shared" si="194"/>
        <v>0</v>
      </c>
      <c r="GX132" s="32" t="b">
        <f t="shared" si="195"/>
        <v>1</v>
      </c>
      <c r="GY132" s="32" t="b">
        <f t="shared" si="196"/>
        <v>0</v>
      </c>
      <c r="GZ132" s="32" t="b">
        <f t="shared" si="197"/>
        <v>1</v>
      </c>
      <c r="HA132" s="32">
        <f t="shared" si="198"/>
        <v>0.39337260880753866</v>
      </c>
      <c r="HB132" s="32" t="e">
        <f t="shared" si="199"/>
        <v>#N/A</v>
      </c>
      <c r="HC132" s="32">
        <f t="shared" si="200"/>
        <v>0.39337260880753866</v>
      </c>
      <c r="HD132" s="45" t="str">
        <f t="shared" si="201"/>
        <v/>
      </c>
      <c r="HJ132" s="32">
        <f t="shared" si="202"/>
        <v>122</v>
      </c>
      <c r="HK132" s="32">
        <f t="shared" si="203"/>
        <v>123</v>
      </c>
      <c r="HL132" s="32">
        <f t="shared" si="204"/>
        <v>-0.25966687907339736</v>
      </c>
      <c r="HM132" s="32" t="e">
        <f t="shared" si="205"/>
        <v>#N/A</v>
      </c>
      <c r="HN132" s="32">
        <f t="shared" si="206"/>
        <v>0.37050830558756809</v>
      </c>
      <c r="HO132" s="32" t="e">
        <f t="shared" si="207"/>
        <v>#N/A</v>
      </c>
      <c r="HP132" s="32" t="e">
        <f t="shared" si="208"/>
        <v>#N/A</v>
      </c>
      <c r="HQ132" s="32" t="b">
        <f t="shared" si="209"/>
        <v>1</v>
      </c>
      <c r="HR132" s="32" t="b">
        <f t="shared" si="210"/>
        <v>0</v>
      </c>
      <c r="HS132" s="32" t="b">
        <f t="shared" si="211"/>
        <v>0</v>
      </c>
      <c r="HT132" s="32" t="b">
        <f t="shared" si="212"/>
        <v>1</v>
      </c>
      <c r="HU132" s="32">
        <f t="shared" si="213"/>
        <v>0.37050830558756809</v>
      </c>
      <c r="HV132" s="32">
        <f t="shared" si="214"/>
        <v>0.37050830558756809</v>
      </c>
      <c r="HW132" s="32" t="e">
        <f t="shared" si="215"/>
        <v>#N/A</v>
      </c>
      <c r="HX132" s="45" t="str">
        <f t="shared" si="216"/>
        <v/>
      </c>
    </row>
    <row r="133" spans="78:232" x14ac:dyDescent="0.2">
      <c r="BZ133" s="32">
        <f t="shared" si="143"/>
        <v>123</v>
      </c>
      <c r="CA133" s="32">
        <f>Eu_tabel_g[[#This Row],[Indeks]]+1</f>
        <v>124</v>
      </c>
      <c r="CB133" s="32">
        <f t="shared" si="144"/>
        <v>-0.14373173517059579</v>
      </c>
      <c r="CC133" s="32">
        <f t="shared" si="145"/>
        <v>0.39484265348383518</v>
      </c>
      <c r="CD133" s="32" t="e">
        <f t="shared" si="146"/>
        <v>#N/A</v>
      </c>
      <c r="CE133" s="32" t="e">
        <f t="shared" si="147"/>
        <v>#N/A</v>
      </c>
      <c r="CF133" s="32" t="e">
        <f t="shared" si="148"/>
        <v>#N/A</v>
      </c>
      <c r="CG133" s="32" t="b">
        <f t="shared" si="149"/>
        <v>0</v>
      </c>
      <c r="CH133" s="32" t="b">
        <f t="shared" si="150"/>
        <v>1</v>
      </c>
      <c r="CI133" s="32" t="b">
        <f t="shared" si="151"/>
        <v>0</v>
      </c>
      <c r="CJ133" s="32" t="b">
        <f t="shared" si="152"/>
        <v>1</v>
      </c>
      <c r="CK133" s="32">
        <f t="shared" si="223"/>
        <v>0.39484265348383518</v>
      </c>
      <c r="CL133" s="32" t="e">
        <f t="shared" si="153"/>
        <v>#N/A</v>
      </c>
      <c r="CM133" s="32">
        <f t="shared" si="154"/>
        <v>0.39484265348383518</v>
      </c>
      <c r="CN133" s="45" t="str">
        <f t="shared" si="155"/>
        <v/>
      </c>
      <c r="CO133" s="32">
        <f>_xlfn.NORM.DIST(_xlfn.NORM.INV(1-Eu_g_konfidensniveau,0,1)-Eu_tabel_g[[#This Row],[x base]],0,1,TRUE)</f>
        <v>6.6662018766824135E-2</v>
      </c>
      <c r="CP133" s="32">
        <f>1-_xlfn.NORM.DIST(_xlfn.NORM.INV(Eu_g_konfidensniveau,0,1)-Eu_tabel_g[[#This Row],[x base]],0,1,TRUE)</f>
        <v>3.6840808495973154E-2</v>
      </c>
      <c r="CQ133" s="32">
        <f>_xlfn.NORM.DIST(_xlfn.NORM.INV((1-Eu_g_konfidensniveau)/2,0,1)-Eu_tabel_g[[#This Row],[x base]],0,1,TRUE)+1-_xlfn.NORM.DIST(_xlfn.NORM.INV(1-(1-Eu_g_konfidensniveau)/2,0,1)-Eu_tabel_g[[#This Row],[x base]],0,1,TRUE)</f>
        <v>5.2369875565396407E-2</v>
      </c>
      <c r="CR133" s="32" t="e" cm="1">
        <f t="array" ref="CR133">IF($CR$3,INDEX(Eu_tabel_g[[#This Row],[Styrke venstre]:[Styrke tosidet]],CR$7),NA())</f>
        <v>#N/A</v>
      </c>
      <c r="CS133" s="52" t="e">
        <f>Eu_tabel_g[[#This Row],[Falsk positiv
Nulhypotese accepteres
Fejltype 1]]</f>
        <v>#N/A</v>
      </c>
      <c r="CT133" s="52" t="e">
        <f>IF(CHOOSE(CR$7,Eu_tabel_g[[#This Row],[x base]]&gt;0,Eu_tabel_g[[#This Row],[x base]]&lt;0,Eu_tabel_g[[#This Row],[x base]]=0),Eu_tabel_g[[#This Row],[Styrke, aktiv]],NA())</f>
        <v>#N/A</v>
      </c>
      <c r="CU133" s="52" t="e">
        <f>IFERROR(IF($CR$3,Eu_tabel_g[[#This Row],[Styrke, aktiv]],NA()),NA())</f>
        <v>#N/A</v>
      </c>
      <c r="CV133" s="52" t="e">
        <f>IF(ISNA(Eu_tabel_g[[#This Row],[Sand negativ
Nulhypotese afvises
Korrekt]]),NA(),IF($CR$3,1,NA()))</f>
        <v>#N/A</v>
      </c>
      <c r="CW133" s="34" t="str" cm="1">
        <f t="array" ref="CW133">_xlfn.SWITCH(BZ133,_xlfn.IFNA(CU$2,-99),CU$5,_xlfn.IFNA(CU$3,-99),CU$6,_xlfn.IFNA(CU$4,-99),CU$7,"")</f>
        <v/>
      </c>
      <c r="DA133" s="7">
        <f t="shared" si="156"/>
        <v>0.8</v>
      </c>
      <c r="DB133">
        <f>IF(ROW(Styrkeberegning_G[[#This Row],[X base venstre]])=ROW(Styrkeberegning_G[[#Headers],[X base venstre]])+1,DB$7/(DA$7/$B$67),DB132/(DA132/$B$67))</f>
        <v>-2.8015817870135784</v>
      </c>
      <c r="DC133">
        <f>Styrkeberegning_G[[#This Row],[X base venstre]]*-1</f>
        <v>2.8015817870135784</v>
      </c>
      <c r="DN133" s="32">
        <f t="shared" si="157"/>
        <v>123</v>
      </c>
      <c r="DO133" s="32">
        <f t="shared" si="158"/>
        <v>124</v>
      </c>
      <c r="DP133" s="32">
        <f t="shared" si="159"/>
        <v>15.864568003944814</v>
      </c>
      <c r="DQ133" s="32" t="e">
        <f t="shared" si="160"/>
        <v>#N/A</v>
      </c>
      <c r="DR133" s="32" t="e">
        <f t="shared" si="161"/>
        <v>#N/A</v>
      </c>
      <c r="DS133" s="32">
        <f t="shared" si="162"/>
        <v>3.8234746428017247E-2</v>
      </c>
      <c r="DT133" s="32" t="e">
        <f t="shared" si="163"/>
        <v>#N/A</v>
      </c>
      <c r="DU133" s="32" t="b">
        <f t="shared" si="164"/>
        <v>0</v>
      </c>
      <c r="DV133" s="32" t="b">
        <f t="shared" si="165"/>
        <v>1</v>
      </c>
      <c r="DW133" s="32" t="b">
        <f t="shared" si="166"/>
        <v>0</v>
      </c>
      <c r="DX133" s="32" t="b">
        <f t="shared" si="167"/>
        <v>1</v>
      </c>
      <c r="DY133" s="32">
        <f t="shared" si="168"/>
        <v>3.8234746428017247E-2</v>
      </c>
      <c r="DZ133" s="32" t="e">
        <f t="shared" si="169"/>
        <v>#N/A</v>
      </c>
      <c r="EA133" s="32">
        <f t="shared" si="170"/>
        <v>3.8234746428017247E-2</v>
      </c>
      <c r="EB133" s="45" t="str">
        <f t="shared" si="171"/>
        <v/>
      </c>
      <c r="EG133" s="32">
        <f t="shared" si="172"/>
        <v>123</v>
      </c>
      <c r="EH133" s="32">
        <f t="shared" si="173"/>
        <v>124</v>
      </c>
      <c r="EI133" s="32">
        <f t="shared" si="174"/>
        <v>-0.14373173517059579</v>
      </c>
      <c r="EJ133" s="32">
        <f t="shared" si="175"/>
        <v>0.39484265348383518</v>
      </c>
      <c r="EK133" s="32" t="e">
        <f t="shared" si="176"/>
        <v>#N/A</v>
      </c>
      <c r="EL133" s="32" t="e">
        <f t="shared" si="177"/>
        <v>#N/A</v>
      </c>
      <c r="EM133" s="32" t="e">
        <f t="shared" si="178"/>
        <v>#N/A</v>
      </c>
      <c r="EN133" s="32" t="b">
        <f t="shared" si="179"/>
        <v>0</v>
      </c>
      <c r="EO133" s="32" t="b">
        <f t="shared" si="180"/>
        <v>1</v>
      </c>
      <c r="EP133" s="32" t="b">
        <f t="shared" si="181"/>
        <v>0</v>
      </c>
      <c r="EQ133" s="32" t="b">
        <f t="shared" si="182"/>
        <v>1</v>
      </c>
      <c r="ER133" s="32">
        <f t="shared" si="183"/>
        <v>0.39484265348383518</v>
      </c>
      <c r="ES133" s="32" t="e">
        <f t="shared" si="184"/>
        <v>#N/A</v>
      </c>
      <c r="ET133" s="32">
        <f t="shared" si="185"/>
        <v>0.39484265348383518</v>
      </c>
      <c r="EU133" s="45" t="str">
        <f t="shared" si="186"/>
        <v/>
      </c>
      <c r="EV13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3" s="32" t="e" cm="1">
        <f t="array" ref="EY133">IF($CR$3,INDEX(Eu_tabel_a[[#This Row],[Styrke venstre]:[Styrke tosidet]],EY$7),NA())</f>
        <v>#N/A</v>
      </c>
      <c r="EZ133" s="32" t="e">
        <f>IF(EY$3,IF(CHOOSE(EY$7,Eu_tabel_a[[#This Row],[x base]]&gt;0,Eu_tabel_a[[#This Row],[x base]]&lt;0,Eu_tabel_a[[#This Row],[x base]]=0),1,NA()),NA())</f>
        <v>#N/A</v>
      </c>
      <c r="FA133" s="32" t="e">
        <f>IF(CHOOSE(EY$7,Eu_tabel_a[[#This Row],[x base]]&gt;0,Eu_tabel_a[[#This Row],[x base]]&lt;0,Eu_tabel_a[[#This Row],[x base]]=0),Eu_tabel_a[[#This Row],[Styrke, aktiv]],NA())</f>
        <v>#N/A</v>
      </c>
      <c r="FB133" s="32" t="e">
        <f>IFERROR(IF($EY$3,Eu_tabel_a[[#This Row],[Styrke, aktiv]],NA()),NA())</f>
        <v>#N/A</v>
      </c>
      <c r="FC133" s="32" t="e">
        <f>IF(ISNA(Eu_tabel_a[[#This Row],[Sand negativ
Nulhypotese afvises
Korrekt]]),NA(),IF(EY$3,1,NA()))</f>
        <v>#N/A</v>
      </c>
      <c r="FD133" s="33" t="str" cm="1">
        <f t="array" ref="FD133">IFERROR(_xlfn.SWITCH(Eu_tabel_a[[#This Row],[Indeks]],_xlfn.IFNA(FB$2,-99),FB$5,_xlfn.IFNA(FB$3,-99),FB$6,_xlfn.IFNA(FB$4,-99),FB$7,""),"")</f>
        <v/>
      </c>
      <c r="FE133" s="32">
        <f>Eu_tabel_a[[#This Row],[x base]]*SQRT(Eu_a_h0_x*(1-Eu_a_h0_x)/Eu_a_n_x)+Eu_a_h0_x</f>
        <v>0</v>
      </c>
      <c r="FJ133" s="74" t="e">
        <f t="shared" si="130"/>
        <v>#N/A</v>
      </c>
      <c r="FK133" s="82" t="e">
        <f t="shared" si="218"/>
        <v>#DIV/0!</v>
      </c>
      <c r="FL133" s="7" t="e">
        <f t="shared" si="124"/>
        <v>#DIV/0!</v>
      </c>
      <c r="FM133" t="e">
        <f t="shared" si="219"/>
        <v>#DIV/0!</v>
      </c>
      <c r="FN133" s="8" t="e">
        <f t="shared" si="220"/>
        <v>#DIV/0!</v>
      </c>
      <c r="FO133" s="8" t="e">
        <f t="shared" si="221"/>
        <v>#DIV/0!</v>
      </c>
      <c r="FP133" s="81" t="e">
        <f t="shared" si="222"/>
        <v>#DIV/0!</v>
      </c>
      <c r="FQ133" s="74" t="e">
        <f t="shared" ca="1" si="125"/>
        <v>#N/A</v>
      </c>
      <c r="FR133" s="82" t="e" vm="3">
        <f t="shared" ca="1" si="131"/>
        <v>#VALUE!</v>
      </c>
      <c r="FS133" s="7" t="e" vm="3">
        <f t="shared" ca="1" si="126"/>
        <v>#VALUE!</v>
      </c>
      <c r="FT133" t="e" vm="3">
        <f t="shared" ref="FT133:FT196" ca="1" si="224">FR133-FR132</f>
        <v>#VALUE!</v>
      </c>
      <c r="FU133" s="8" t="e" vm="3">
        <f t="shared" ref="FU133:FU196" ca="1" si="225">FS133-FS132</f>
        <v>#VALUE!</v>
      </c>
      <c r="FV133" s="8" t="e" vm="3">
        <f t="shared" ref="FV133:FV196" ca="1" si="226">$P$67-FS132</f>
        <v>#VALUE!</v>
      </c>
      <c r="FW133" s="81" t="e" vm="3">
        <f t="shared" ref="FW133:FW196" ca="1" si="227">FT133/(FU133/FV133)</f>
        <v>#VALUE!</v>
      </c>
      <c r="FX133" s="74" t="e">
        <f t="shared" si="127"/>
        <v>#N/A</v>
      </c>
      <c r="FY133" s="82" t="e">
        <f t="shared" si="132"/>
        <v>#N/A</v>
      </c>
      <c r="FZ133" s="7" t="e">
        <f t="shared" si="128"/>
        <v>#N/A</v>
      </c>
      <c r="GA133" t="e">
        <f t="shared" si="133"/>
        <v>#N/A</v>
      </c>
      <c r="GB133" s="8" t="e">
        <f t="shared" si="134"/>
        <v>#N/A</v>
      </c>
      <c r="GC133" s="8" t="e">
        <f t="shared" si="135"/>
        <v>#N/A</v>
      </c>
      <c r="GD133" s="81" t="e">
        <f t="shared" si="136"/>
        <v>#N/A</v>
      </c>
      <c r="GE133" s="74" t="e">
        <f t="shared" si="137"/>
        <v>#N/A</v>
      </c>
      <c r="GF133" s="82" t="e">
        <f t="shared" si="138"/>
        <v>#N/A</v>
      </c>
      <c r="GG133" s="7" t="e">
        <f t="shared" si="129"/>
        <v>#N/A</v>
      </c>
      <c r="GH133" t="e">
        <f t="shared" si="139"/>
        <v>#N/A</v>
      </c>
      <c r="GI133" s="8" t="e">
        <f t="shared" si="140"/>
        <v>#N/A</v>
      </c>
      <c r="GJ133" s="8" t="e">
        <f t="shared" si="141"/>
        <v>#N/A</v>
      </c>
      <c r="GK133" s="81" t="e">
        <f t="shared" si="142"/>
        <v>#N/A</v>
      </c>
      <c r="GL133" s="81"/>
      <c r="GM133" s="81"/>
      <c r="GP133" s="32">
        <f t="shared" si="187"/>
        <v>123</v>
      </c>
      <c r="GQ133" s="32">
        <f t="shared" si="188"/>
        <v>124</v>
      </c>
      <c r="GR133" s="32">
        <f t="shared" si="189"/>
        <v>-0.14373173517059579</v>
      </c>
      <c r="GS133" s="32">
        <f t="shared" si="190"/>
        <v>0.39484265348383518</v>
      </c>
      <c r="GT133" s="32" t="e">
        <f t="shared" si="191"/>
        <v>#N/A</v>
      </c>
      <c r="GU133" s="32" t="e">
        <f t="shared" si="192"/>
        <v>#N/A</v>
      </c>
      <c r="GV133" s="32" t="e">
        <f t="shared" si="193"/>
        <v>#N/A</v>
      </c>
      <c r="GW133" s="32" t="b">
        <f t="shared" si="194"/>
        <v>0</v>
      </c>
      <c r="GX133" s="32" t="b">
        <f t="shared" si="195"/>
        <v>1</v>
      </c>
      <c r="GY133" s="32" t="b">
        <f t="shared" si="196"/>
        <v>0</v>
      </c>
      <c r="GZ133" s="32" t="b">
        <f t="shared" si="197"/>
        <v>1</v>
      </c>
      <c r="HA133" s="32">
        <f t="shared" si="198"/>
        <v>0.39484265348383518</v>
      </c>
      <c r="HB133" s="32" t="e">
        <f t="shared" si="199"/>
        <v>#N/A</v>
      </c>
      <c r="HC133" s="32">
        <f t="shared" si="200"/>
        <v>0.39484265348383518</v>
      </c>
      <c r="HD133" s="45" t="str">
        <f t="shared" si="201"/>
        <v/>
      </c>
      <c r="HJ133" s="32">
        <f t="shared" si="202"/>
        <v>123</v>
      </c>
      <c r="HK133" s="32">
        <f t="shared" si="203"/>
        <v>124</v>
      </c>
      <c r="HL133" s="32">
        <f t="shared" si="204"/>
        <v>-0.22257161063434072</v>
      </c>
      <c r="HM133" s="32" t="e">
        <f t="shared" si="205"/>
        <v>#N/A</v>
      </c>
      <c r="HN133" s="32">
        <f t="shared" si="206"/>
        <v>0.37428342244366131</v>
      </c>
      <c r="HO133" s="32" t="e">
        <f t="shared" si="207"/>
        <v>#N/A</v>
      </c>
      <c r="HP133" s="32" t="e">
        <f t="shared" si="208"/>
        <v>#N/A</v>
      </c>
      <c r="HQ133" s="32" t="b">
        <f t="shared" si="209"/>
        <v>1</v>
      </c>
      <c r="HR133" s="32" t="b">
        <f t="shared" si="210"/>
        <v>0</v>
      </c>
      <c r="HS133" s="32" t="b">
        <f t="shared" si="211"/>
        <v>0</v>
      </c>
      <c r="HT133" s="32" t="b">
        <f t="shared" si="212"/>
        <v>1</v>
      </c>
      <c r="HU133" s="32">
        <f t="shared" si="213"/>
        <v>0.37428342244366131</v>
      </c>
      <c r="HV133" s="32">
        <f t="shared" si="214"/>
        <v>0.37428342244366131</v>
      </c>
      <c r="HW133" s="32" t="e">
        <f t="shared" si="215"/>
        <v>#N/A</v>
      </c>
      <c r="HX133" s="45" t="str">
        <f t="shared" si="216"/>
        <v/>
      </c>
    </row>
    <row r="134" spans="78:232" x14ac:dyDescent="0.2">
      <c r="BZ134" s="32">
        <f t="shared" si="143"/>
        <v>124</v>
      </c>
      <c r="CA134" s="32">
        <f>Eu_tabel_g[[#This Row],[Indeks]]+1</f>
        <v>125</v>
      </c>
      <c r="CB134" s="32">
        <f t="shared" si="144"/>
        <v>-0.11977644597549686</v>
      </c>
      <c r="CC134" s="32">
        <f t="shared" si="145"/>
        <v>0.39609082747762636</v>
      </c>
      <c r="CD134" s="32" t="e">
        <f t="shared" si="146"/>
        <v>#N/A</v>
      </c>
      <c r="CE134" s="32" t="e">
        <f t="shared" si="147"/>
        <v>#N/A</v>
      </c>
      <c r="CF134" s="32" t="e">
        <f t="shared" si="148"/>
        <v>#N/A</v>
      </c>
      <c r="CG134" s="32" t="b">
        <f t="shared" si="149"/>
        <v>0</v>
      </c>
      <c r="CH134" s="32" t="b">
        <f t="shared" si="150"/>
        <v>1</v>
      </c>
      <c r="CI134" s="32" t="b">
        <f t="shared" si="151"/>
        <v>0</v>
      </c>
      <c r="CJ134" s="32" t="b">
        <f t="shared" si="152"/>
        <v>1</v>
      </c>
      <c r="CK134" s="32">
        <f t="shared" si="223"/>
        <v>0.39609082747762636</v>
      </c>
      <c r="CL134" s="32" t="e">
        <f t="shared" si="153"/>
        <v>#N/A</v>
      </c>
      <c r="CM134" s="32">
        <f t="shared" si="154"/>
        <v>0.39609082747762636</v>
      </c>
      <c r="CN134" s="45" t="str">
        <f t="shared" si="155"/>
        <v/>
      </c>
      <c r="CO134" s="32">
        <f>_xlfn.NORM.DIST(_xlfn.NORM.INV(1-Eu_g_konfidensniveau,0,1)-Eu_tabel_g[[#This Row],[x base]],0,1,TRUE)</f>
        <v>6.3619924028872746E-2</v>
      </c>
      <c r="CP134" s="32">
        <f>1-_xlfn.NORM.DIST(_xlfn.NORM.INV(Eu_g_konfidensniveau,0,1)-Eu_tabel_g[[#This Row],[x base]],0,1,TRUE)</f>
        <v>3.8812978922329044E-2</v>
      </c>
      <c r="CQ134" s="32">
        <f>_xlfn.NORM.DIST(_xlfn.NORM.INV((1-Eu_g_konfidensniveau)/2,0,1)-Eu_tabel_g[[#This Row],[x base]],0,1,TRUE)+1-_xlfn.NORM.DIST(_xlfn.NORM.INV(1-(1-Eu_g_konfidensniveau)/2,0,1)-Eu_tabel_g[[#This Row],[x base]],0,1,TRUE)</f>
        <v>5.1645028210794308E-2</v>
      </c>
      <c r="CR134" s="32" t="e" cm="1">
        <f t="array" ref="CR134">IF($CR$3,INDEX(Eu_tabel_g[[#This Row],[Styrke venstre]:[Styrke tosidet]],CR$7),NA())</f>
        <v>#N/A</v>
      </c>
      <c r="CS134" s="52" t="e">
        <f>Eu_tabel_g[[#This Row],[Falsk positiv
Nulhypotese accepteres
Fejltype 1]]</f>
        <v>#N/A</v>
      </c>
      <c r="CT134" s="52" t="e">
        <f>IF(CHOOSE(CR$7,Eu_tabel_g[[#This Row],[x base]]&gt;0,Eu_tabel_g[[#This Row],[x base]]&lt;0,Eu_tabel_g[[#This Row],[x base]]=0),Eu_tabel_g[[#This Row],[Styrke, aktiv]],NA())</f>
        <v>#N/A</v>
      </c>
      <c r="CU134" s="52" t="e">
        <f>IFERROR(IF($CR$3,Eu_tabel_g[[#This Row],[Styrke, aktiv]],NA()),NA())</f>
        <v>#N/A</v>
      </c>
      <c r="CV134" s="52" t="e">
        <f>IF(ISNA(Eu_tabel_g[[#This Row],[Sand negativ
Nulhypotese afvises
Korrekt]]),NA(),IF($CR$3,1,NA()))</f>
        <v>#N/A</v>
      </c>
      <c r="CW134" s="34" t="str" cm="1">
        <f t="array" ref="CW134">_xlfn.SWITCH(BZ134,_xlfn.IFNA(CU$2,-99),CU$5,_xlfn.IFNA(CU$3,-99),CU$6,_xlfn.IFNA(CU$4,-99),CU$7,"")</f>
        <v/>
      </c>
      <c r="DA134" s="7">
        <f t="shared" si="156"/>
        <v>0.8</v>
      </c>
      <c r="DB134">
        <f>IF(ROW(Styrkeberegning_G[[#This Row],[X base venstre]])=ROW(Styrkeberegning_G[[#Headers],[X base venstre]])+1,DB$7/(DA$7/$B$67),DB133/(DA133/$B$67))</f>
        <v>-2.8015817870135784</v>
      </c>
      <c r="DC134">
        <f>Styrkeberegning_G[[#This Row],[X base venstre]]*-1</f>
        <v>2.8015817870135784</v>
      </c>
      <c r="DN134" s="32">
        <f t="shared" si="157"/>
        <v>124</v>
      </c>
      <c r="DO134" s="32">
        <f t="shared" si="158"/>
        <v>125</v>
      </c>
      <c r="DP134" s="32">
        <f t="shared" si="159"/>
        <v>15.978638860361814</v>
      </c>
      <c r="DQ134" s="32" t="e">
        <f t="shared" si="160"/>
        <v>#N/A</v>
      </c>
      <c r="DR134" s="32" t="e">
        <f t="shared" si="161"/>
        <v>#N/A</v>
      </c>
      <c r="DS134" s="32">
        <f t="shared" si="162"/>
        <v>3.7298376627487174E-2</v>
      </c>
      <c r="DT134" s="32" t="e">
        <f t="shared" si="163"/>
        <v>#N/A</v>
      </c>
      <c r="DU134" s="32" t="b">
        <f t="shared" si="164"/>
        <v>0</v>
      </c>
      <c r="DV134" s="32" t="b">
        <f t="shared" si="165"/>
        <v>1</v>
      </c>
      <c r="DW134" s="32" t="b">
        <f t="shared" si="166"/>
        <v>0</v>
      </c>
      <c r="DX134" s="32" t="b">
        <f t="shared" si="167"/>
        <v>1</v>
      </c>
      <c r="DY134" s="32">
        <f t="shared" si="168"/>
        <v>3.7298376627487174E-2</v>
      </c>
      <c r="DZ134" s="32" t="e">
        <f t="shared" si="169"/>
        <v>#N/A</v>
      </c>
      <c r="EA134" s="32">
        <f t="shared" si="170"/>
        <v>3.7298376627487174E-2</v>
      </c>
      <c r="EB134" s="45" t="str">
        <f t="shared" si="171"/>
        <v/>
      </c>
      <c r="EG134" s="32">
        <f t="shared" si="172"/>
        <v>124</v>
      </c>
      <c r="EH134" s="32">
        <f t="shared" si="173"/>
        <v>125</v>
      </c>
      <c r="EI134" s="32">
        <f t="shared" si="174"/>
        <v>-0.11977644597549686</v>
      </c>
      <c r="EJ134" s="32">
        <f t="shared" si="175"/>
        <v>0.39609082747762636</v>
      </c>
      <c r="EK134" s="32" t="e">
        <f t="shared" si="176"/>
        <v>#N/A</v>
      </c>
      <c r="EL134" s="32" t="e">
        <f t="shared" si="177"/>
        <v>#N/A</v>
      </c>
      <c r="EM134" s="32" t="e">
        <f t="shared" si="178"/>
        <v>#N/A</v>
      </c>
      <c r="EN134" s="32" t="b">
        <f t="shared" si="179"/>
        <v>0</v>
      </c>
      <c r="EO134" s="32" t="b">
        <f t="shared" si="180"/>
        <v>1</v>
      </c>
      <c r="EP134" s="32" t="b">
        <f t="shared" si="181"/>
        <v>0</v>
      </c>
      <c r="EQ134" s="32" t="b">
        <f t="shared" si="182"/>
        <v>1</v>
      </c>
      <c r="ER134" s="32">
        <f t="shared" si="183"/>
        <v>0.39609082747762636</v>
      </c>
      <c r="ES134" s="32" t="e">
        <f t="shared" si="184"/>
        <v>#N/A</v>
      </c>
      <c r="ET134" s="32">
        <f t="shared" si="185"/>
        <v>0.39609082747762636</v>
      </c>
      <c r="EU134" s="45" t="str">
        <f t="shared" si="186"/>
        <v/>
      </c>
      <c r="EV13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4" s="32" t="e" cm="1">
        <f t="array" ref="EY134">IF($CR$3,INDEX(Eu_tabel_a[[#This Row],[Styrke venstre]:[Styrke tosidet]],EY$7),NA())</f>
        <v>#N/A</v>
      </c>
      <c r="EZ134" s="32" t="e">
        <f>IF(EY$3,IF(CHOOSE(EY$7,Eu_tabel_a[[#This Row],[x base]]&gt;0,Eu_tabel_a[[#This Row],[x base]]&lt;0,Eu_tabel_a[[#This Row],[x base]]=0),1,NA()),NA())</f>
        <v>#N/A</v>
      </c>
      <c r="FA134" s="32" t="e">
        <f>IF(CHOOSE(EY$7,Eu_tabel_a[[#This Row],[x base]]&gt;0,Eu_tabel_a[[#This Row],[x base]]&lt;0,Eu_tabel_a[[#This Row],[x base]]=0),Eu_tabel_a[[#This Row],[Styrke, aktiv]],NA())</f>
        <v>#N/A</v>
      </c>
      <c r="FB134" s="32" t="e">
        <f>IFERROR(IF($EY$3,Eu_tabel_a[[#This Row],[Styrke, aktiv]],NA()),NA())</f>
        <v>#N/A</v>
      </c>
      <c r="FC134" s="32" t="e">
        <f>IF(ISNA(Eu_tabel_a[[#This Row],[Sand negativ
Nulhypotese afvises
Korrekt]]),NA(),IF(EY$3,1,NA()))</f>
        <v>#N/A</v>
      </c>
      <c r="FD134" s="33" t="str" cm="1">
        <f t="array" ref="FD134">IFERROR(_xlfn.SWITCH(Eu_tabel_a[[#This Row],[Indeks]],_xlfn.IFNA(FB$2,-99),FB$5,_xlfn.IFNA(FB$3,-99),FB$6,_xlfn.IFNA(FB$4,-99),FB$7,""),"")</f>
        <v/>
      </c>
      <c r="FE134" s="32">
        <f>Eu_tabel_a[[#This Row],[x base]]*SQRT(Eu_a_h0_x*(1-Eu_a_h0_x)/Eu_a_n_x)+Eu_a_h0_x</f>
        <v>0</v>
      </c>
      <c r="FJ134" s="74" t="e">
        <f t="shared" si="130"/>
        <v>#N/A</v>
      </c>
      <c r="FK134" s="82" t="e">
        <f t="shared" si="218"/>
        <v>#DIV/0!</v>
      </c>
      <c r="FL134" s="7" t="e">
        <f t="shared" ref="FL134:FL197" si="228">_xlfn.NORM.DIST(-(SQRT(Eu_a_n_x)*(FK134-Eu_a_h0_x)/SQRT(FK134*(1-FK134)))-(_xlfn.NORM.INV(Eu_a_konfidensniveau,0,1)*SQRT((Eu_a_h0_x*(1-Eu_a_h0_x))/(FK134*(1-FK134)))),0,1,TRUE)</f>
        <v>#DIV/0!</v>
      </c>
      <c r="FM134" t="e">
        <f t="shared" si="219"/>
        <v>#DIV/0!</v>
      </c>
      <c r="FN134" s="8" t="e">
        <f t="shared" si="220"/>
        <v>#DIV/0!</v>
      </c>
      <c r="FO134" s="8" t="e">
        <f t="shared" si="221"/>
        <v>#DIV/0!</v>
      </c>
      <c r="FP134" s="81" t="e">
        <f t="shared" si="222"/>
        <v>#DIV/0!</v>
      </c>
      <c r="FQ134" s="74" t="e">
        <f t="shared" ref="FQ134:FQ197" ca="1" si="229">IF(ISERROR(FR134),NA(),ROW(FQ134)-ROW(FQ$5))</f>
        <v>#N/A</v>
      </c>
      <c r="FR134" s="82" t="e" vm="3">
        <f t="shared" ca="1" si="131"/>
        <v>#VALUE!</v>
      </c>
      <c r="FS134" s="7" t="e" vm="3">
        <f t="shared" ref="FS134:FS197" ca="1" si="230">_xlfn.NORM.DIST((SQRT(Eu_a_n_x)*(FR134-Eu_a_h0_x)/SQRT(FR134*(1-FR134)))-(_xlfn.NORM.INV(Eu_a_konfidensniveau,0,1)*SQRT((Eu_a_h0_x*(1-Eu_a_h0_x))/(FR134*(1-FR134)))),0,1,TRUE)</f>
        <v>#VALUE!</v>
      </c>
      <c r="FT134" t="e" vm="3">
        <f t="shared" ca="1" si="224"/>
        <v>#VALUE!</v>
      </c>
      <c r="FU134" s="8" t="e" vm="3">
        <f t="shared" ca="1" si="225"/>
        <v>#VALUE!</v>
      </c>
      <c r="FV134" s="8" t="e" vm="3">
        <f t="shared" ca="1" si="226"/>
        <v>#VALUE!</v>
      </c>
      <c r="FW134" s="81" t="e" vm="3">
        <f t="shared" ca="1" si="227"/>
        <v>#VALUE!</v>
      </c>
      <c r="FX134" s="74" t="e">
        <f t="shared" ref="FX134:FX197" si="231">IF(ISERROR(FY134),NA(),ROW(FX134)-ROW(FX$5))</f>
        <v>#N/A</v>
      </c>
      <c r="FY134" s="82" t="e">
        <f t="shared" si="132"/>
        <v>#N/A</v>
      </c>
      <c r="FZ134" s="7" t="e">
        <f t="shared" ref="FZ134:FZ197" si="232">_xlfn.NORM.DIST(-(SQRT(Eu_a_n_x)*(FY134-Eu_a_h0_x)/SQRT(FY134*(1-FY134)))-(_xlfn.NORM.INV(1-(1-Eu_a_konfidensniveau)/2,0,1)*SQRT((Eu_a_h0_x*(1-Eu_a_h0_x))/(FY134*(1-FY134)))),0,1,TRUE)+_xlfn.NORM.DIST((SQRT(Eu_a_n_x)*(FY134-Eu_a_h0_x)/SQRT(FY134*(1-FY134)))-(_xlfn.NORM.INV(1-(1-Eu_a_konfidensniveau)/2,0,1)*SQRT((Eu_a_h0_x*(1-Eu_a_h0_x))/(FY134*(1-FY134)))),0,1,TRUE)</f>
        <v>#N/A</v>
      </c>
      <c r="GA134" t="e">
        <f t="shared" si="133"/>
        <v>#N/A</v>
      </c>
      <c r="GB134" s="8" t="e">
        <f t="shared" si="134"/>
        <v>#N/A</v>
      </c>
      <c r="GC134" s="8" t="e">
        <f t="shared" si="135"/>
        <v>#N/A</v>
      </c>
      <c r="GD134" s="81" t="e">
        <f t="shared" si="136"/>
        <v>#N/A</v>
      </c>
      <c r="GE134" s="74" t="e">
        <f t="shared" si="137"/>
        <v>#N/A</v>
      </c>
      <c r="GF134" s="82" t="e">
        <f t="shared" si="138"/>
        <v>#N/A</v>
      </c>
      <c r="GG134" s="7" t="e">
        <f t="shared" ref="GG134:GG197" si="233">_xlfn.NORM.DIST(-(SQRT(Eu_a_n_x)*(GF134-Eu_a_h0_x)/SQRT(GF134*(1-GF134)))-(_xlfn.NORM.INV(1-(1-Eu_a_konfidensniveau)/2,0,1)*SQRT((Eu_a_h0_x*(1-Eu_a_h0_x))/(GF134*(1-GF134)))),0,1,TRUE)+_xlfn.NORM.DIST((SQRT(Eu_a_n_x)*(GF134-Eu_a_h0_x)/SQRT(GF134*(1-GF134)))-(_xlfn.NORM.INV(1-(1-Eu_a_konfidensniveau)/2,0,1)*SQRT((Eu_a_h0_x*(1-Eu_a_h0_x))/(GF134*(1-GF134)))),0,1,TRUE)</f>
        <v>#N/A</v>
      </c>
      <c r="GH134" t="e">
        <f t="shared" si="139"/>
        <v>#N/A</v>
      </c>
      <c r="GI134" s="8" t="e">
        <f t="shared" si="140"/>
        <v>#N/A</v>
      </c>
      <c r="GJ134" s="8" t="e">
        <f t="shared" si="141"/>
        <v>#N/A</v>
      </c>
      <c r="GK134" s="81" t="e">
        <f t="shared" si="142"/>
        <v>#N/A</v>
      </c>
      <c r="GL134" s="81"/>
      <c r="GM134" s="81"/>
      <c r="GP134" s="32">
        <f t="shared" si="187"/>
        <v>124</v>
      </c>
      <c r="GQ134" s="32">
        <f t="shared" si="188"/>
        <v>125</v>
      </c>
      <c r="GR134" s="32">
        <f t="shared" si="189"/>
        <v>-0.11977644597549686</v>
      </c>
      <c r="GS134" s="32">
        <f t="shared" si="190"/>
        <v>0.39609082747762636</v>
      </c>
      <c r="GT134" s="32" t="e">
        <f t="shared" si="191"/>
        <v>#N/A</v>
      </c>
      <c r="GU134" s="32" t="e">
        <f t="shared" si="192"/>
        <v>#N/A</v>
      </c>
      <c r="GV134" s="32" t="e">
        <f t="shared" si="193"/>
        <v>#N/A</v>
      </c>
      <c r="GW134" s="32" t="b">
        <f t="shared" si="194"/>
        <v>0</v>
      </c>
      <c r="GX134" s="32" t="b">
        <f t="shared" si="195"/>
        <v>1</v>
      </c>
      <c r="GY134" s="32" t="b">
        <f t="shared" si="196"/>
        <v>0</v>
      </c>
      <c r="GZ134" s="32" t="b">
        <f t="shared" si="197"/>
        <v>1</v>
      </c>
      <c r="HA134" s="32">
        <f t="shared" si="198"/>
        <v>0.39609082747762636</v>
      </c>
      <c r="HB134" s="32" t="e">
        <f t="shared" si="199"/>
        <v>#N/A</v>
      </c>
      <c r="HC134" s="32">
        <f t="shared" si="200"/>
        <v>0.39609082747762636</v>
      </c>
      <c r="HD134" s="45" t="str">
        <f t="shared" si="201"/>
        <v/>
      </c>
      <c r="HJ134" s="32">
        <f t="shared" si="202"/>
        <v>124</v>
      </c>
      <c r="HK134" s="32">
        <f t="shared" si="203"/>
        <v>125</v>
      </c>
      <c r="HL134" s="32">
        <f t="shared" si="204"/>
        <v>-0.18547634219528408</v>
      </c>
      <c r="HM134" s="32" t="e">
        <f t="shared" si="205"/>
        <v>#N/A</v>
      </c>
      <c r="HN134" s="32">
        <f t="shared" si="206"/>
        <v>0.37751537276303793</v>
      </c>
      <c r="HO134" s="32" t="e">
        <f t="shared" si="207"/>
        <v>#N/A</v>
      </c>
      <c r="HP134" s="32" t="e">
        <f t="shared" si="208"/>
        <v>#N/A</v>
      </c>
      <c r="HQ134" s="32" t="b">
        <f t="shared" si="209"/>
        <v>1</v>
      </c>
      <c r="HR134" s="32" t="b">
        <f t="shared" si="210"/>
        <v>0</v>
      </c>
      <c r="HS134" s="32" t="b">
        <f t="shared" si="211"/>
        <v>0</v>
      </c>
      <c r="HT134" s="32" t="b">
        <f t="shared" si="212"/>
        <v>1</v>
      </c>
      <c r="HU134" s="32">
        <f t="shared" si="213"/>
        <v>0.37751537276303793</v>
      </c>
      <c r="HV134" s="32">
        <f t="shared" si="214"/>
        <v>0.37751537276303793</v>
      </c>
      <c r="HW134" s="32" t="e">
        <f t="shared" si="215"/>
        <v>#N/A</v>
      </c>
      <c r="HX134" s="45" t="str">
        <f t="shared" si="216"/>
        <v/>
      </c>
    </row>
    <row r="135" spans="78:232" x14ac:dyDescent="0.2">
      <c r="BZ135" s="32">
        <f t="shared" si="143"/>
        <v>125</v>
      </c>
      <c r="CA135" s="32">
        <f>Eu_tabel_g[[#This Row],[Indeks]]+1</f>
        <v>126</v>
      </c>
      <c r="CB135" s="32">
        <f t="shared" si="144"/>
        <v>-9.5821156780397487E-2</v>
      </c>
      <c r="CC135" s="32">
        <f t="shared" si="145"/>
        <v>0.39711499501613434</v>
      </c>
      <c r="CD135" s="32" t="e">
        <f t="shared" si="146"/>
        <v>#N/A</v>
      </c>
      <c r="CE135" s="32" t="e">
        <f t="shared" si="147"/>
        <v>#N/A</v>
      </c>
      <c r="CF135" s="32" t="e">
        <f t="shared" si="148"/>
        <v>#N/A</v>
      </c>
      <c r="CG135" s="32" t="b">
        <f t="shared" si="149"/>
        <v>0</v>
      </c>
      <c r="CH135" s="32" t="b">
        <f t="shared" si="150"/>
        <v>1</v>
      </c>
      <c r="CI135" s="32" t="b">
        <f t="shared" si="151"/>
        <v>0</v>
      </c>
      <c r="CJ135" s="32" t="b">
        <f t="shared" si="152"/>
        <v>1</v>
      </c>
      <c r="CK135" s="32">
        <f t="shared" si="223"/>
        <v>0.39711499501613434</v>
      </c>
      <c r="CL135" s="32" t="e">
        <f t="shared" si="153"/>
        <v>#N/A</v>
      </c>
      <c r="CM135" s="32">
        <f t="shared" si="154"/>
        <v>0.39711499501613434</v>
      </c>
      <c r="CN135" s="45" t="str">
        <f t="shared" si="155"/>
        <v/>
      </c>
      <c r="CO135" s="32">
        <f>_xlfn.NORM.DIST(_xlfn.NORM.INV(1-Eu_g_konfidensniveau,0,1)-Eu_tabel_g[[#This Row],[x base]],0,1,TRUE)</f>
        <v>6.068695738050528E-2</v>
      </c>
      <c r="CP135" s="32">
        <f>1-_xlfn.NORM.DIST(_xlfn.NORM.INV(Eu_g_konfidensniveau,0,1)-Eu_tabel_g[[#This Row],[x base]],0,1,TRUE)</f>
        <v>4.0870300389037606E-2</v>
      </c>
      <c r="CQ135" s="32">
        <f>_xlfn.NORM.DIST(_xlfn.NORM.INV((1-Eu_g_konfidensniveau)/2,0,1)-Eu_tabel_g[[#This Row],[x base]],0,1,TRUE)+1-_xlfn.NORM.DIST(_xlfn.NORM.INV(1-(1-Eu_g_konfidensniveau)/2,0,1)-Eu_tabel_g[[#This Row],[x base]],0,1,TRUE)</f>
        <v>5.1052440219235939E-2</v>
      </c>
      <c r="CR135" s="32" t="e" cm="1">
        <f t="array" ref="CR135">IF($CR$3,INDEX(Eu_tabel_g[[#This Row],[Styrke venstre]:[Styrke tosidet]],CR$7),NA())</f>
        <v>#N/A</v>
      </c>
      <c r="CS135" s="52" t="e">
        <f>Eu_tabel_g[[#This Row],[Falsk positiv
Nulhypotese accepteres
Fejltype 1]]</f>
        <v>#N/A</v>
      </c>
      <c r="CT135" s="52" t="e">
        <f>IF(CHOOSE(CR$7,Eu_tabel_g[[#This Row],[x base]]&gt;0,Eu_tabel_g[[#This Row],[x base]]&lt;0,Eu_tabel_g[[#This Row],[x base]]=0),Eu_tabel_g[[#This Row],[Styrke, aktiv]],NA())</f>
        <v>#N/A</v>
      </c>
      <c r="CU135" s="52" t="e">
        <f>IFERROR(IF($CR$3,Eu_tabel_g[[#This Row],[Styrke, aktiv]],NA()),NA())</f>
        <v>#N/A</v>
      </c>
      <c r="CV135" s="52" t="e">
        <f>IF(ISNA(Eu_tabel_g[[#This Row],[Sand negativ
Nulhypotese afvises
Korrekt]]),NA(),IF($CR$3,1,NA()))</f>
        <v>#N/A</v>
      </c>
      <c r="CW135" s="34" t="str" cm="1">
        <f t="array" ref="CW135">_xlfn.SWITCH(BZ135,_xlfn.IFNA(CU$2,-99),CU$5,_xlfn.IFNA(CU$3,-99),CU$6,_xlfn.IFNA(CU$4,-99),CU$7,"")</f>
        <v/>
      </c>
      <c r="DA135" s="7">
        <f t="shared" si="156"/>
        <v>0.8</v>
      </c>
      <c r="DB135">
        <f>IF(ROW(Styrkeberegning_G[[#This Row],[X base venstre]])=ROW(Styrkeberegning_G[[#Headers],[X base venstre]])+1,DB$7/(DA$7/$B$67),DB134/(DA134/$B$67))</f>
        <v>-2.8015817870135784</v>
      </c>
      <c r="DC135">
        <f>Styrkeberegning_G[[#This Row],[X base venstre]]*-1</f>
        <v>2.8015817870135784</v>
      </c>
      <c r="DN135" s="32">
        <f t="shared" si="157"/>
        <v>125</v>
      </c>
      <c r="DO135" s="32">
        <f t="shared" si="158"/>
        <v>126</v>
      </c>
      <c r="DP135" s="32">
        <f t="shared" si="159"/>
        <v>16.092709716778813</v>
      </c>
      <c r="DQ135" s="32" t="e">
        <f t="shared" si="160"/>
        <v>#N/A</v>
      </c>
      <c r="DR135" s="32" t="e">
        <f t="shared" si="161"/>
        <v>#N/A</v>
      </c>
      <c r="DS135" s="32">
        <f t="shared" si="162"/>
        <v>3.6376594717899113E-2</v>
      </c>
      <c r="DT135" s="32" t="e">
        <f t="shared" si="163"/>
        <v>#N/A</v>
      </c>
      <c r="DU135" s="32" t="b">
        <f t="shared" si="164"/>
        <v>0</v>
      </c>
      <c r="DV135" s="32" t="b">
        <f t="shared" si="165"/>
        <v>1</v>
      </c>
      <c r="DW135" s="32" t="b">
        <f t="shared" si="166"/>
        <v>0</v>
      </c>
      <c r="DX135" s="32" t="b">
        <f t="shared" si="167"/>
        <v>1</v>
      </c>
      <c r="DY135" s="32">
        <f t="shared" si="168"/>
        <v>3.6376594717899113E-2</v>
      </c>
      <c r="DZ135" s="32" t="e">
        <f t="shared" si="169"/>
        <v>#N/A</v>
      </c>
      <c r="EA135" s="32">
        <f t="shared" si="170"/>
        <v>3.6376594717899113E-2</v>
      </c>
      <c r="EB135" s="45" t="str">
        <f t="shared" si="171"/>
        <v/>
      </c>
      <c r="EG135" s="32">
        <f t="shared" si="172"/>
        <v>125</v>
      </c>
      <c r="EH135" s="32">
        <f t="shared" si="173"/>
        <v>126</v>
      </c>
      <c r="EI135" s="32">
        <f t="shared" si="174"/>
        <v>-9.5821156780397487E-2</v>
      </c>
      <c r="EJ135" s="32">
        <f t="shared" si="175"/>
        <v>0.39711499501613434</v>
      </c>
      <c r="EK135" s="32" t="e">
        <f t="shared" si="176"/>
        <v>#N/A</v>
      </c>
      <c r="EL135" s="32" t="e">
        <f t="shared" si="177"/>
        <v>#N/A</v>
      </c>
      <c r="EM135" s="32" t="e">
        <f t="shared" si="178"/>
        <v>#N/A</v>
      </c>
      <c r="EN135" s="32" t="b">
        <f t="shared" si="179"/>
        <v>0</v>
      </c>
      <c r="EO135" s="32" t="b">
        <f t="shared" si="180"/>
        <v>1</v>
      </c>
      <c r="EP135" s="32" t="b">
        <f t="shared" si="181"/>
        <v>0</v>
      </c>
      <c r="EQ135" s="32" t="b">
        <f t="shared" si="182"/>
        <v>1</v>
      </c>
      <c r="ER135" s="32">
        <f t="shared" si="183"/>
        <v>0.39711499501613434</v>
      </c>
      <c r="ES135" s="32" t="e">
        <f t="shared" si="184"/>
        <v>#N/A</v>
      </c>
      <c r="ET135" s="32">
        <f t="shared" si="185"/>
        <v>0.39711499501613434</v>
      </c>
      <c r="EU135" s="45" t="str">
        <f t="shared" si="186"/>
        <v/>
      </c>
      <c r="EV13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5" s="32" t="e" cm="1">
        <f t="array" ref="EY135">IF($CR$3,INDEX(Eu_tabel_a[[#This Row],[Styrke venstre]:[Styrke tosidet]],EY$7),NA())</f>
        <v>#N/A</v>
      </c>
      <c r="EZ135" s="32" t="e">
        <f>IF(EY$3,IF(CHOOSE(EY$7,Eu_tabel_a[[#This Row],[x base]]&gt;0,Eu_tabel_a[[#This Row],[x base]]&lt;0,Eu_tabel_a[[#This Row],[x base]]=0),1,NA()),NA())</f>
        <v>#N/A</v>
      </c>
      <c r="FA135" s="32" t="e">
        <f>IF(CHOOSE(EY$7,Eu_tabel_a[[#This Row],[x base]]&gt;0,Eu_tabel_a[[#This Row],[x base]]&lt;0,Eu_tabel_a[[#This Row],[x base]]=0),Eu_tabel_a[[#This Row],[Styrke, aktiv]],NA())</f>
        <v>#N/A</v>
      </c>
      <c r="FB135" s="32" t="e">
        <f>IFERROR(IF($EY$3,Eu_tabel_a[[#This Row],[Styrke, aktiv]],NA()),NA())</f>
        <v>#N/A</v>
      </c>
      <c r="FC135" s="32" t="e">
        <f>IF(ISNA(Eu_tabel_a[[#This Row],[Sand negativ
Nulhypotese afvises
Korrekt]]),NA(),IF(EY$3,1,NA()))</f>
        <v>#N/A</v>
      </c>
      <c r="FD135" s="33" t="str" cm="1">
        <f t="array" ref="FD135">IFERROR(_xlfn.SWITCH(Eu_tabel_a[[#This Row],[Indeks]],_xlfn.IFNA(FB$2,-99),FB$5,_xlfn.IFNA(FB$3,-99),FB$6,_xlfn.IFNA(FB$4,-99),FB$7,""),"")</f>
        <v/>
      </c>
      <c r="FE135" s="32">
        <f>Eu_tabel_a[[#This Row],[x base]]*SQRT(Eu_a_h0_x*(1-Eu_a_h0_x)/Eu_a_n_x)+Eu_a_h0_x</f>
        <v>0</v>
      </c>
      <c r="FJ135" s="74" t="e">
        <f t="shared" ref="FJ135:FJ198" si="234">IF(ISERROR(FK135),NA(),ROW(FJ135)-ROW(FJ$5))</f>
        <v>#N/A</v>
      </c>
      <c r="FK135" s="82" t="e">
        <f t="shared" si="218"/>
        <v>#DIV/0!</v>
      </c>
      <c r="FL135" s="7" t="e">
        <f t="shared" si="228"/>
        <v>#DIV/0!</v>
      </c>
      <c r="FM135" t="e">
        <f t="shared" si="219"/>
        <v>#DIV/0!</v>
      </c>
      <c r="FN135" s="8" t="e">
        <f t="shared" si="220"/>
        <v>#DIV/0!</v>
      </c>
      <c r="FO135" s="8" t="e">
        <f t="shared" si="221"/>
        <v>#DIV/0!</v>
      </c>
      <c r="FP135" s="81" t="e">
        <f t="shared" si="222"/>
        <v>#DIV/0!</v>
      </c>
      <c r="FQ135" s="74" t="e">
        <f t="shared" ca="1" si="229"/>
        <v>#N/A</v>
      </c>
      <c r="FR135" s="82" t="e" vm="3">
        <f t="shared" ref="FR135:FR198" ca="1" si="235">FR133+FW134</f>
        <v>#VALUE!</v>
      </c>
      <c r="FS135" s="7" t="e" vm="3">
        <f t="shared" ca="1" si="230"/>
        <v>#VALUE!</v>
      </c>
      <c r="FT135" t="e" vm="3">
        <f t="shared" ca="1" si="224"/>
        <v>#VALUE!</v>
      </c>
      <c r="FU135" s="8" t="e" vm="3">
        <f t="shared" ca="1" si="225"/>
        <v>#VALUE!</v>
      </c>
      <c r="FV135" s="8" t="e" vm="3">
        <f t="shared" ca="1" si="226"/>
        <v>#VALUE!</v>
      </c>
      <c r="FW135" s="81" t="e" vm="3">
        <f t="shared" ca="1" si="227"/>
        <v>#VALUE!</v>
      </c>
      <c r="FX135" s="74" t="e">
        <f t="shared" si="231"/>
        <v>#N/A</v>
      </c>
      <c r="FY135" s="82" t="e">
        <f t="shared" ref="FY135:FY198" si="236">FY133+GD134</f>
        <v>#N/A</v>
      </c>
      <c r="FZ135" s="7" t="e">
        <f t="shared" si="232"/>
        <v>#N/A</v>
      </c>
      <c r="GA135" t="e">
        <f t="shared" ref="GA135:GA198" si="237">FY135-FY134</f>
        <v>#N/A</v>
      </c>
      <c r="GB135" s="8" t="e">
        <f t="shared" ref="GB135:GB198" si="238">FZ135-FZ134</f>
        <v>#N/A</v>
      </c>
      <c r="GC135" s="8" t="e">
        <f t="shared" ref="GC135:GC198" si="239">$P$67-FZ134</f>
        <v>#N/A</v>
      </c>
      <c r="GD135" s="81" t="e">
        <f t="shared" ref="GD135:GD198" si="240">GA135/(GB135/GC135)</f>
        <v>#N/A</v>
      </c>
      <c r="GE135" s="74" t="e">
        <f t="shared" ref="GE135:GE198" si="241">IF(ISERROR(GF135),NA(),ROW(GE135)-ROW(GE$5))</f>
        <v>#N/A</v>
      </c>
      <c r="GF135" s="82" t="e">
        <f t="shared" ref="GF135:GF198" si="242">GF133+GK134</f>
        <v>#N/A</v>
      </c>
      <c r="GG135" s="7" t="e">
        <f t="shared" si="233"/>
        <v>#N/A</v>
      </c>
      <c r="GH135" t="e">
        <f t="shared" ref="GH135:GH198" si="243">GF135-GF134</f>
        <v>#N/A</v>
      </c>
      <c r="GI135" s="8" t="e">
        <f t="shared" ref="GI135:GI198" si="244">GG135-GG134</f>
        <v>#N/A</v>
      </c>
      <c r="GJ135" s="8" t="e">
        <f t="shared" ref="GJ135:GJ198" si="245">$P$67-GG134</f>
        <v>#N/A</v>
      </c>
      <c r="GK135" s="81" t="e">
        <f t="shared" ref="GK135:GK198" si="246">GH135/(GI135/GJ135)</f>
        <v>#N/A</v>
      </c>
      <c r="GL135" s="81"/>
      <c r="GM135" s="81"/>
      <c r="GP135" s="32">
        <f t="shared" si="187"/>
        <v>125</v>
      </c>
      <c r="GQ135" s="32">
        <f t="shared" si="188"/>
        <v>126</v>
      </c>
      <c r="GR135" s="32">
        <f t="shared" si="189"/>
        <v>-9.5821156780397487E-2</v>
      </c>
      <c r="GS135" s="32">
        <f t="shared" si="190"/>
        <v>0.39711499501613434</v>
      </c>
      <c r="GT135" s="32" t="e">
        <f t="shared" si="191"/>
        <v>#N/A</v>
      </c>
      <c r="GU135" s="32" t="e">
        <f t="shared" si="192"/>
        <v>#N/A</v>
      </c>
      <c r="GV135" s="32" t="e">
        <f t="shared" si="193"/>
        <v>#N/A</v>
      </c>
      <c r="GW135" s="32" t="b">
        <f t="shared" si="194"/>
        <v>0</v>
      </c>
      <c r="GX135" s="32" t="b">
        <f t="shared" si="195"/>
        <v>1</v>
      </c>
      <c r="GY135" s="32" t="b">
        <f t="shared" si="196"/>
        <v>0</v>
      </c>
      <c r="GZ135" s="32" t="b">
        <f t="shared" si="197"/>
        <v>1</v>
      </c>
      <c r="HA135" s="32">
        <f t="shared" si="198"/>
        <v>0.39711499501613434</v>
      </c>
      <c r="HB135" s="32" t="e">
        <f t="shared" si="199"/>
        <v>#N/A</v>
      </c>
      <c r="HC135" s="32">
        <f t="shared" si="200"/>
        <v>0.39711499501613434</v>
      </c>
      <c r="HD135" s="45" t="str">
        <f t="shared" si="201"/>
        <v/>
      </c>
      <c r="HJ135" s="32">
        <f t="shared" si="202"/>
        <v>125</v>
      </c>
      <c r="HK135" s="32">
        <f t="shared" si="203"/>
        <v>126</v>
      </c>
      <c r="HL135" s="32">
        <f t="shared" si="204"/>
        <v>-0.14838107375622744</v>
      </c>
      <c r="HM135" s="32" t="e">
        <f t="shared" si="205"/>
        <v>#N/A</v>
      </c>
      <c r="HN135" s="32">
        <f t="shared" si="206"/>
        <v>0.38018567897028177</v>
      </c>
      <c r="HO135" s="32" t="e">
        <f t="shared" si="207"/>
        <v>#N/A</v>
      </c>
      <c r="HP135" s="32" t="e">
        <f t="shared" si="208"/>
        <v>#N/A</v>
      </c>
      <c r="HQ135" s="32" t="b">
        <f t="shared" si="209"/>
        <v>1</v>
      </c>
      <c r="HR135" s="32" t="b">
        <f t="shared" si="210"/>
        <v>0</v>
      </c>
      <c r="HS135" s="32" t="b">
        <f t="shared" si="211"/>
        <v>0</v>
      </c>
      <c r="HT135" s="32" t="b">
        <f t="shared" si="212"/>
        <v>1</v>
      </c>
      <c r="HU135" s="32">
        <f t="shared" si="213"/>
        <v>0.38018567897028177</v>
      </c>
      <c r="HV135" s="32">
        <f t="shared" si="214"/>
        <v>0.38018567897028177</v>
      </c>
      <c r="HW135" s="32" t="e">
        <f t="shared" si="215"/>
        <v>#N/A</v>
      </c>
      <c r="HX135" s="45" t="str">
        <f t="shared" si="216"/>
        <v/>
      </c>
    </row>
    <row r="136" spans="78:232" x14ac:dyDescent="0.2">
      <c r="BZ136" s="32">
        <f t="shared" si="143"/>
        <v>126</v>
      </c>
      <c r="CA136" s="32">
        <f>Eu_tabel_g[[#This Row],[Indeks]]+1</f>
        <v>127</v>
      </c>
      <c r="CB136" s="32">
        <f t="shared" si="144"/>
        <v>-7.1865867585298115E-2</v>
      </c>
      <c r="CC136" s="32">
        <f t="shared" si="145"/>
        <v>0.39791340025725958</v>
      </c>
      <c r="CD136" s="32" t="e">
        <f t="shared" si="146"/>
        <v>#N/A</v>
      </c>
      <c r="CE136" s="32" t="e">
        <f t="shared" si="147"/>
        <v>#N/A</v>
      </c>
      <c r="CF136" s="32" t="e">
        <f t="shared" si="148"/>
        <v>#N/A</v>
      </c>
      <c r="CG136" s="32" t="b">
        <f t="shared" si="149"/>
        <v>0</v>
      </c>
      <c r="CH136" s="32" t="b">
        <f t="shared" si="150"/>
        <v>1</v>
      </c>
      <c r="CI136" s="32" t="b">
        <f t="shared" si="151"/>
        <v>0</v>
      </c>
      <c r="CJ136" s="32" t="b">
        <f t="shared" si="152"/>
        <v>1</v>
      </c>
      <c r="CK136" s="32">
        <f t="shared" si="223"/>
        <v>0.39791340025725958</v>
      </c>
      <c r="CL136" s="32" t="e">
        <f t="shared" si="153"/>
        <v>#N/A</v>
      </c>
      <c r="CM136" s="32">
        <f t="shared" si="154"/>
        <v>0.39791340025725958</v>
      </c>
      <c r="CN136" s="45" t="str">
        <f t="shared" si="155"/>
        <v/>
      </c>
      <c r="CO136" s="32">
        <f>_xlfn.NORM.DIST(_xlfn.NORM.INV(1-Eu_g_konfidensniveau,0,1)-Eu_tabel_g[[#This Row],[x base]],0,1,TRUE)</f>
        <v>5.7860826284518954E-2</v>
      </c>
      <c r="CP136" s="32">
        <f>1-_xlfn.NORM.DIST(_xlfn.NORM.INV(Eu_g_konfidensniveau,0,1)-Eu_tabel_g[[#This Row],[x base]],0,1,TRUE)</f>
        <v>4.3015218235686214E-2</v>
      </c>
      <c r="CQ136" s="32">
        <f>_xlfn.NORM.DIST(_xlfn.NORM.INV((1-Eu_g_konfidensniveau)/2,0,1)-Eu_tabel_g[[#This Row],[x base]],0,1,TRUE)+1-_xlfn.NORM.DIST(_xlfn.NORM.INV(1-(1-Eu_g_konfidensniveau)/2,0,1)-Eu_tabel_g[[#This Row],[x base]],0,1,TRUE)</f>
        <v>5.0591831796844566E-2</v>
      </c>
      <c r="CR136" s="32" t="e" cm="1">
        <f t="array" ref="CR136">IF($CR$3,INDEX(Eu_tabel_g[[#This Row],[Styrke venstre]:[Styrke tosidet]],CR$7),NA())</f>
        <v>#N/A</v>
      </c>
      <c r="CS136" s="52" t="e">
        <f>Eu_tabel_g[[#This Row],[Falsk positiv
Nulhypotese accepteres
Fejltype 1]]</f>
        <v>#N/A</v>
      </c>
      <c r="CT136" s="52" t="e">
        <f>IF(CHOOSE(CR$7,Eu_tabel_g[[#This Row],[x base]]&gt;0,Eu_tabel_g[[#This Row],[x base]]&lt;0,Eu_tabel_g[[#This Row],[x base]]=0),Eu_tabel_g[[#This Row],[Styrke, aktiv]],NA())</f>
        <v>#N/A</v>
      </c>
      <c r="CU136" s="52" t="e">
        <f>IFERROR(IF($CR$3,Eu_tabel_g[[#This Row],[Styrke, aktiv]],NA()),NA())</f>
        <v>#N/A</v>
      </c>
      <c r="CV136" s="52" t="e">
        <f>IF(ISNA(Eu_tabel_g[[#This Row],[Sand negativ
Nulhypotese afvises
Korrekt]]),NA(),IF($CR$3,1,NA()))</f>
        <v>#N/A</v>
      </c>
      <c r="CW136" s="34" t="str" cm="1">
        <f t="array" ref="CW136">_xlfn.SWITCH(BZ136,_xlfn.IFNA(CU$2,-99),CU$5,_xlfn.IFNA(CU$3,-99),CU$6,_xlfn.IFNA(CU$4,-99),CU$7,"")</f>
        <v/>
      </c>
      <c r="DA136" s="7">
        <f t="shared" si="156"/>
        <v>0.8</v>
      </c>
      <c r="DB136">
        <f>IF(ROW(Styrkeberegning_G[[#This Row],[X base venstre]])=ROW(Styrkeberegning_G[[#Headers],[X base venstre]])+1,DB$7/(DA$7/$B$67),DB135/(DA135/$B$67))</f>
        <v>-2.8015817870135784</v>
      </c>
      <c r="DC136">
        <f>Styrkeberegning_G[[#This Row],[X base venstre]]*-1</f>
        <v>2.8015817870135784</v>
      </c>
      <c r="DN136" s="32">
        <f t="shared" si="157"/>
        <v>126</v>
      </c>
      <c r="DO136" s="32">
        <f t="shared" si="158"/>
        <v>127</v>
      </c>
      <c r="DP136" s="32">
        <f t="shared" si="159"/>
        <v>16.206780573195815</v>
      </c>
      <c r="DQ136" s="32" t="e">
        <f t="shared" si="160"/>
        <v>#N/A</v>
      </c>
      <c r="DR136" s="32" t="e">
        <f t="shared" si="161"/>
        <v>#N/A</v>
      </c>
      <c r="DS136" s="32">
        <f t="shared" si="162"/>
        <v>3.5469572641058468E-2</v>
      </c>
      <c r="DT136" s="32" t="e">
        <f t="shared" si="163"/>
        <v>#N/A</v>
      </c>
      <c r="DU136" s="32" t="b">
        <f t="shared" si="164"/>
        <v>0</v>
      </c>
      <c r="DV136" s="32" t="b">
        <f t="shared" si="165"/>
        <v>1</v>
      </c>
      <c r="DW136" s="32" t="b">
        <f t="shared" si="166"/>
        <v>0</v>
      </c>
      <c r="DX136" s="32" t="b">
        <f t="shared" si="167"/>
        <v>1</v>
      </c>
      <c r="DY136" s="32">
        <f t="shared" si="168"/>
        <v>3.5469572641058468E-2</v>
      </c>
      <c r="DZ136" s="32" t="e">
        <f t="shared" si="169"/>
        <v>#N/A</v>
      </c>
      <c r="EA136" s="32">
        <f t="shared" si="170"/>
        <v>3.5469572641058468E-2</v>
      </c>
      <c r="EB136" s="45" t="str">
        <f t="shared" si="171"/>
        <v/>
      </c>
      <c r="EG136" s="32">
        <f t="shared" si="172"/>
        <v>126</v>
      </c>
      <c r="EH136" s="32">
        <f t="shared" si="173"/>
        <v>127</v>
      </c>
      <c r="EI136" s="32">
        <f t="shared" si="174"/>
        <v>-7.1865867585298115E-2</v>
      </c>
      <c r="EJ136" s="32">
        <f t="shared" si="175"/>
        <v>0.39791340025725958</v>
      </c>
      <c r="EK136" s="32" t="e">
        <f t="shared" si="176"/>
        <v>#N/A</v>
      </c>
      <c r="EL136" s="32" t="e">
        <f t="shared" si="177"/>
        <v>#N/A</v>
      </c>
      <c r="EM136" s="32" t="e">
        <f t="shared" si="178"/>
        <v>#N/A</v>
      </c>
      <c r="EN136" s="32" t="b">
        <f t="shared" si="179"/>
        <v>0</v>
      </c>
      <c r="EO136" s="32" t="b">
        <f t="shared" si="180"/>
        <v>1</v>
      </c>
      <c r="EP136" s="32" t="b">
        <f t="shared" si="181"/>
        <v>0</v>
      </c>
      <c r="EQ136" s="32" t="b">
        <f t="shared" si="182"/>
        <v>1</v>
      </c>
      <c r="ER136" s="32">
        <f t="shared" si="183"/>
        <v>0.39791340025725958</v>
      </c>
      <c r="ES136" s="32" t="e">
        <f t="shared" si="184"/>
        <v>#N/A</v>
      </c>
      <c r="ET136" s="32">
        <f t="shared" si="185"/>
        <v>0.39791340025725958</v>
      </c>
      <c r="EU136" s="45" t="str">
        <f t="shared" si="186"/>
        <v/>
      </c>
      <c r="EV13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6" s="32" t="e" cm="1">
        <f t="array" ref="EY136">IF($CR$3,INDEX(Eu_tabel_a[[#This Row],[Styrke venstre]:[Styrke tosidet]],EY$7),NA())</f>
        <v>#N/A</v>
      </c>
      <c r="EZ136" s="32" t="e">
        <f>IF(EY$3,IF(CHOOSE(EY$7,Eu_tabel_a[[#This Row],[x base]]&gt;0,Eu_tabel_a[[#This Row],[x base]]&lt;0,Eu_tabel_a[[#This Row],[x base]]=0),1,NA()),NA())</f>
        <v>#N/A</v>
      </c>
      <c r="FA136" s="32" t="e">
        <f>IF(CHOOSE(EY$7,Eu_tabel_a[[#This Row],[x base]]&gt;0,Eu_tabel_a[[#This Row],[x base]]&lt;0,Eu_tabel_a[[#This Row],[x base]]=0),Eu_tabel_a[[#This Row],[Styrke, aktiv]],NA())</f>
        <v>#N/A</v>
      </c>
      <c r="FB136" s="32" t="e">
        <f>IFERROR(IF($EY$3,Eu_tabel_a[[#This Row],[Styrke, aktiv]],NA()),NA())</f>
        <v>#N/A</v>
      </c>
      <c r="FC136" s="32" t="e">
        <f>IF(ISNA(Eu_tabel_a[[#This Row],[Sand negativ
Nulhypotese afvises
Korrekt]]),NA(),IF(EY$3,1,NA()))</f>
        <v>#N/A</v>
      </c>
      <c r="FD136" s="33" t="str" cm="1">
        <f t="array" ref="FD136">IFERROR(_xlfn.SWITCH(Eu_tabel_a[[#This Row],[Indeks]],_xlfn.IFNA(FB$2,-99),FB$5,_xlfn.IFNA(FB$3,-99),FB$6,_xlfn.IFNA(FB$4,-99),FB$7,""),"")</f>
        <v/>
      </c>
      <c r="FE136" s="32">
        <f>Eu_tabel_a[[#This Row],[x base]]*SQRT(Eu_a_h0_x*(1-Eu_a_h0_x)/Eu_a_n_x)+Eu_a_h0_x</f>
        <v>0</v>
      </c>
      <c r="FJ136" s="74" t="e">
        <f t="shared" si="234"/>
        <v>#N/A</v>
      </c>
      <c r="FK136" s="82" t="e">
        <f t="shared" si="218"/>
        <v>#DIV/0!</v>
      </c>
      <c r="FL136" s="7" t="e">
        <f t="shared" si="228"/>
        <v>#DIV/0!</v>
      </c>
      <c r="FM136" t="e">
        <f t="shared" si="219"/>
        <v>#DIV/0!</v>
      </c>
      <c r="FN136" s="8" t="e">
        <f t="shared" si="220"/>
        <v>#DIV/0!</v>
      </c>
      <c r="FO136" s="8" t="e">
        <f t="shared" si="221"/>
        <v>#DIV/0!</v>
      </c>
      <c r="FP136" s="81" t="e">
        <f t="shared" si="222"/>
        <v>#DIV/0!</v>
      </c>
      <c r="FQ136" s="74" t="e">
        <f t="shared" ca="1" si="229"/>
        <v>#N/A</v>
      </c>
      <c r="FR136" s="82" t="e" vm="3">
        <f t="shared" ca="1" si="235"/>
        <v>#VALUE!</v>
      </c>
      <c r="FS136" s="7" t="e" vm="3">
        <f t="shared" ca="1" si="230"/>
        <v>#VALUE!</v>
      </c>
      <c r="FT136" t="e" vm="3">
        <f t="shared" ca="1" si="224"/>
        <v>#VALUE!</v>
      </c>
      <c r="FU136" s="8" t="e" vm="3">
        <f t="shared" ca="1" si="225"/>
        <v>#VALUE!</v>
      </c>
      <c r="FV136" s="8" t="e" vm="3">
        <f t="shared" ca="1" si="226"/>
        <v>#VALUE!</v>
      </c>
      <c r="FW136" s="81" t="e" vm="3">
        <f t="shared" ca="1" si="227"/>
        <v>#VALUE!</v>
      </c>
      <c r="FX136" s="74" t="e">
        <f t="shared" si="231"/>
        <v>#N/A</v>
      </c>
      <c r="FY136" s="82" t="e">
        <f t="shared" si="236"/>
        <v>#N/A</v>
      </c>
      <c r="FZ136" s="7" t="e">
        <f t="shared" si="232"/>
        <v>#N/A</v>
      </c>
      <c r="GA136" t="e">
        <f t="shared" si="237"/>
        <v>#N/A</v>
      </c>
      <c r="GB136" s="8" t="e">
        <f t="shared" si="238"/>
        <v>#N/A</v>
      </c>
      <c r="GC136" s="8" t="e">
        <f t="shared" si="239"/>
        <v>#N/A</v>
      </c>
      <c r="GD136" s="81" t="e">
        <f t="shared" si="240"/>
        <v>#N/A</v>
      </c>
      <c r="GE136" s="74" t="e">
        <f t="shared" si="241"/>
        <v>#N/A</v>
      </c>
      <c r="GF136" s="82" t="e">
        <f t="shared" si="242"/>
        <v>#N/A</v>
      </c>
      <c r="GG136" s="7" t="e">
        <f t="shared" si="233"/>
        <v>#N/A</v>
      </c>
      <c r="GH136" t="e">
        <f t="shared" si="243"/>
        <v>#N/A</v>
      </c>
      <c r="GI136" s="8" t="e">
        <f t="shared" si="244"/>
        <v>#N/A</v>
      </c>
      <c r="GJ136" s="8" t="e">
        <f t="shared" si="245"/>
        <v>#N/A</v>
      </c>
      <c r="GK136" s="81" t="e">
        <f t="shared" si="246"/>
        <v>#N/A</v>
      </c>
      <c r="GL136" s="81"/>
      <c r="GM136" s="81"/>
      <c r="GP136" s="32">
        <f t="shared" si="187"/>
        <v>126</v>
      </c>
      <c r="GQ136" s="32">
        <f t="shared" si="188"/>
        <v>127</v>
      </c>
      <c r="GR136" s="32">
        <f t="shared" si="189"/>
        <v>-7.1865867585298115E-2</v>
      </c>
      <c r="GS136" s="32">
        <f t="shared" si="190"/>
        <v>0.39791340025725958</v>
      </c>
      <c r="GT136" s="32" t="e">
        <f t="shared" si="191"/>
        <v>#N/A</v>
      </c>
      <c r="GU136" s="32" t="e">
        <f t="shared" si="192"/>
        <v>#N/A</v>
      </c>
      <c r="GV136" s="32" t="e">
        <f t="shared" si="193"/>
        <v>#N/A</v>
      </c>
      <c r="GW136" s="32" t="b">
        <f t="shared" si="194"/>
        <v>0</v>
      </c>
      <c r="GX136" s="32" t="b">
        <f t="shared" si="195"/>
        <v>1</v>
      </c>
      <c r="GY136" s="32" t="b">
        <f t="shared" si="196"/>
        <v>0</v>
      </c>
      <c r="GZ136" s="32" t="b">
        <f t="shared" si="197"/>
        <v>1</v>
      </c>
      <c r="HA136" s="32">
        <f t="shared" si="198"/>
        <v>0.39791340025725958</v>
      </c>
      <c r="HB136" s="32" t="e">
        <f t="shared" si="199"/>
        <v>#N/A</v>
      </c>
      <c r="HC136" s="32">
        <f t="shared" si="200"/>
        <v>0.39791340025725958</v>
      </c>
      <c r="HD136" s="45" t="str">
        <f t="shared" si="201"/>
        <v/>
      </c>
      <c r="HJ136" s="32">
        <f t="shared" si="202"/>
        <v>126</v>
      </c>
      <c r="HK136" s="32">
        <f t="shared" si="203"/>
        <v>127</v>
      </c>
      <c r="HL136" s="32">
        <f t="shared" si="204"/>
        <v>-0.11128580531716992</v>
      </c>
      <c r="HM136" s="32" t="e">
        <f t="shared" si="205"/>
        <v>#N/A</v>
      </c>
      <c r="HN136" s="32">
        <f t="shared" si="206"/>
        <v>0.38227892287272441</v>
      </c>
      <c r="HO136" s="32" t="e">
        <f t="shared" si="207"/>
        <v>#N/A</v>
      </c>
      <c r="HP136" s="32" t="e">
        <f t="shared" si="208"/>
        <v>#N/A</v>
      </c>
      <c r="HQ136" s="32" t="b">
        <f t="shared" si="209"/>
        <v>1</v>
      </c>
      <c r="HR136" s="32" t="b">
        <f t="shared" si="210"/>
        <v>0</v>
      </c>
      <c r="HS136" s="32" t="b">
        <f t="shared" si="211"/>
        <v>0</v>
      </c>
      <c r="HT136" s="32" t="b">
        <f t="shared" si="212"/>
        <v>1</v>
      </c>
      <c r="HU136" s="32">
        <f t="shared" si="213"/>
        <v>0.38227892287272441</v>
      </c>
      <c r="HV136" s="32">
        <f t="shared" si="214"/>
        <v>0.38227892287272441</v>
      </c>
      <c r="HW136" s="32" t="e">
        <f t="shared" si="215"/>
        <v>#N/A</v>
      </c>
      <c r="HX136" s="45" t="str">
        <f t="shared" si="216"/>
        <v/>
      </c>
    </row>
    <row r="137" spans="78:232" x14ac:dyDescent="0.2">
      <c r="BZ137" s="32">
        <f t="shared" si="143"/>
        <v>127</v>
      </c>
      <c r="CA137" s="32">
        <f>Eu_tabel_g[[#This Row],[Indeks]]+1</f>
        <v>128</v>
      </c>
      <c r="CB137" s="32">
        <f t="shared" si="144"/>
        <v>-4.7910578390198744E-2</v>
      </c>
      <c r="CC137" s="32">
        <f t="shared" si="145"/>
        <v>0.39848467230564738</v>
      </c>
      <c r="CD137" s="32" t="e">
        <f t="shared" si="146"/>
        <v>#N/A</v>
      </c>
      <c r="CE137" s="32" t="e">
        <f t="shared" si="147"/>
        <v>#N/A</v>
      </c>
      <c r="CF137" s="32" t="e">
        <f t="shared" si="148"/>
        <v>#N/A</v>
      </c>
      <c r="CG137" s="32" t="b">
        <f t="shared" si="149"/>
        <v>0</v>
      </c>
      <c r="CH137" s="32" t="b">
        <f t="shared" si="150"/>
        <v>1</v>
      </c>
      <c r="CI137" s="32" t="b">
        <f t="shared" si="151"/>
        <v>0</v>
      </c>
      <c r="CJ137" s="32" t="b">
        <f t="shared" si="152"/>
        <v>1</v>
      </c>
      <c r="CK137" s="32">
        <f t="shared" si="223"/>
        <v>0.39848467230564738</v>
      </c>
      <c r="CL137" s="32" t="e">
        <f t="shared" si="153"/>
        <v>#N/A</v>
      </c>
      <c r="CM137" s="32">
        <f t="shared" si="154"/>
        <v>0.39848467230564738</v>
      </c>
      <c r="CN137" s="45" t="str">
        <f t="shared" si="155"/>
        <v/>
      </c>
      <c r="CO137" s="32">
        <f>_xlfn.NORM.DIST(_xlfn.NORM.INV(1-Eu_g_konfidensniveau,0,1)-Eu_tabel_g[[#This Row],[x base]],0,1,TRUE)</f>
        <v>5.5139201368197548E-2</v>
      </c>
      <c r="CP137" s="32">
        <f>1-_xlfn.NORM.DIST(_xlfn.NORM.INV(Eu_g_konfidensniveau,0,1)-Eu_tabel_g[[#This Row],[x base]],0,1,TRUE)</f>
        <v>4.5250179277904423E-2</v>
      </c>
      <c r="CQ137" s="32">
        <f>_xlfn.NORM.DIST(_xlfn.NORM.INV((1-Eu_g_konfidensniveau)/2,0,1)-Eu_tabel_g[[#This Row],[x base]],0,1,TRUE)+1-_xlfn.NORM.DIST(_xlfn.NORM.INV(1-(1-Eu_g_konfidensniveau)/2,0,1)-Eu_tabel_g[[#This Row],[x base]],0,1,TRUE)</f>
        <v>5.0262983586075727E-2</v>
      </c>
      <c r="CR137" s="32" t="e" cm="1">
        <f t="array" ref="CR137">IF($CR$3,INDEX(Eu_tabel_g[[#This Row],[Styrke venstre]:[Styrke tosidet]],CR$7),NA())</f>
        <v>#N/A</v>
      </c>
      <c r="CS137" s="52" t="e">
        <f>Eu_tabel_g[[#This Row],[Falsk positiv
Nulhypotese accepteres
Fejltype 1]]</f>
        <v>#N/A</v>
      </c>
      <c r="CT137" s="52" t="e">
        <f>IF(CHOOSE(CR$7,Eu_tabel_g[[#This Row],[x base]]&gt;0,Eu_tabel_g[[#This Row],[x base]]&lt;0,Eu_tabel_g[[#This Row],[x base]]=0),Eu_tabel_g[[#This Row],[Styrke, aktiv]],NA())</f>
        <v>#N/A</v>
      </c>
      <c r="CU137" s="52" t="e">
        <f>IFERROR(IF($CR$3,Eu_tabel_g[[#This Row],[Styrke, aktiv]],NA()),NA())</f>
        <v>#N/A</v>
      </c>
      <c r="CV137" s="52" t="e">
        <f>IF(ISNA(Eu_tabel_g[[#This Row],[Sand negativ
Nulhypotese afvises
Korrekt]]),NA(),IF($CR$3,1,NA()))</f>
        <v>#N/A</v>
      </c>
      <c r="CW137" s="34" t="str" cm="1">
        <f t="array" ref="CW137">_xlfn.SWITCH(BZ137,_xlfn.IFNA(CU$2,-99),CU$5,_xlfn.IFNA(CU$3,-99),CU$6,_xlfn.IFNA(CU$4,-99),CU$7,"")</f>
        <v/>
      </c>
      <c r="DA137" s="7">
        <f t="shared" si="156"/>
        <v>0.8</v>
      </c>
      <c r="DB137">
        <f>IF(ROW(Styrkeberegning_G[[#This Row],[X base venstre]])=ROW(Styrkeberegning_G[[#Headers],[X base venstre]])+1,DB$7/(DA$7/$B$67),DB136/(DA136/$B$67))</f>
        <v>-2.8015817870135784</v>
      </c>
      <c r="DC137">
        <f>Styrkeberegning_G[[#This Row],[X base venstre]]*-1</f>
        <v>2.8015817870135784</v>
      </c>
      <c r="DN137" s="32">
        <f t="shared" si="157"/>
        <v>127</v>
      </c>
      <c r="DO137" s="32">
        <f t="shared" si="158"/>
        <v>128</v>
      </c>
      <c r="DP137" s="32">
        <f t="shared" si="159"/>
        <v>16.320851429612816</v>
      </c>
      <c r="DQ137" s="32" t="e">
        <f t="shared" si="160"/>
        <v>#N/A</v>
      </c>
      <c r="DR137" s="32" t="e">
        <f t="shared" si="161"/>
        <v>#N/A</v>
      </c>
      <c r="DS137" s="32">
        <f t="shared" si="162"/>
        <v>3.4577457052810151E-2</v>
      </c>
      <c r="DT137" s="32" t="e">
        <f t="shared" si="163"/>
        <v>#N/A</v>
      </c>
      <c r="DU137" s="32" t="b">
        <f t="shared" si="164"/>
        <v>0</v>
      </c>
      <c r="DV137" s="32" t="b">
        <f t="shared" si="165"/>
        <v>1</v>
      </c>
      <c r="DW137" s="32" t="b">
        <f t="shared" si="166"/>
        <v>0</v>
      </c>
      <c r="DX137" s="32" t="b">
        <f t="shared" si="167"/>
        <v>1</v>
      </c>
      <c r="DY137" s="32">
        <f t="shared" si="168"/>
        <v>3.4577457052810151E-2</v>
      </c>
      <c r="DZ137" s="32" t="e">
        <f t="shared" si="169"/>
        <v>#N/A</v>
      </c>
      <c r="EA137" s="32">
        <f t="shared" si="170"/>
        <v>3.4577457052810151E-2</v>
      </c>
      <c r="EB137" s="45" t="str">
        <f t="shared" si="171"/>
        <v/>
      </c>
      <c r="EG137" s="32">
        <f t="shared" si="172"/>
        <v>127</v>
      </c>
      <c r="EH137" s="32">
        <f t="shared" si="173"/>
        <v>128</v>
      </c>
      <c r="EI137" s="32">
        <f t="shared" si="174"/>
        <v>-4.7910578390198744E-2</v>
      </c>
      <c r="EJ137" s="32">
        <f t="shared" si="175"/>
        <v>0.39848467230564738</v>
      </c>
      <c r="EK137" s="32" t="e">
        <f t="shared" si="176"/>
        <v>#N/A</v>
      </c>
      <c r="EL137" s="32" t="e">
        <f t="shared" si="177"/>
        <v>#N/A</v>
      </c>
      <c r="EM137" s="32" t="e">
        <f t="shared" si="178"/>
        <v>#N/A</v>
      </c>
      <c r="EN137" s="32" t="b">
        <f t="shared" si="179"/>
        <v>0</v>
      </c>
      <c r="EO137" s="32" t="b">
        <f t="shared" si="180"/>
        <v>1</v>
      </c>
      <c r="EP137" s="32" t="b">
        <f t="shared" si="181"/>
        <v>0</v>
      </c>
      <c r="EQ137" s="32" t="b">
        <f t="shared" si="182"/>
        <v>1</v>
      </c>
      <c r="ER137" s="32">
        <f t="shared" si="183"/>
        <v>0.39848467230564738</v>
      </c>
      <c r="ES137" s="32" t="e">
        <f t="shared" si="184"/>
        <v>#N/A</v>
      </c>
      <c r="ET137" s="32">
        <f t="shared" si="185"/>
        <v>0.39848467230564738</v>
      </c>
      <c r="EU137" s="45" t="str">
        <f t="shared" si="186"/>
        <v/>
      </c>
      <c r="EV13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7" s="32" t="e" cm="1">
        <f t="array" ref="EY137">IF($CR$3,INDEX(Eu_tabel_a[[#This Row],[Styrke venstre]:[Styrke tosidet]],EY$7),NA())</f>
        <v>#N/A</v>
      </c>
      <c r="EZ137" s="32" t="e">
        <f>IF(EY$3,IF(CHOOSE(EY$7,Eu_tabel_a[[#This Row],[x base]]&gt;0,Eu_tabel_a[[#This Row],[x base]]&lt;0,Eu_tabel_a[[#This Row],[x base]]=0),1,NA()),NA())</f>
        <v>#N/A</v>
      </c>
      <c r="FA137" s="32" t="e">
        <f>IF(CHOOSE(EY$7,Eu_tabel_a[[#This Row],[x base]]&gt;0,Eu_tabel_a[[#This Row],[x base]]&lt;0,Eu_tabel_a[[#This Row],[x base]]=0),Eu_tabel_a[[#This Row],[Styrke, aktiv]],NA())</f>
        <v>#N/A</v>
      </c>
      <c r="FB137" s="32" t="e">
        <f>IFERROR(IF($EY$3,Eu_tabel_a[[#This Row],[Styrke, aktiv]],NA()),NA())</f>
        <v>#N/A</v>
      </c>
      <c r="FC137" s="32" t="e">
        <f>IF(ISNA(Eu_tabel_a[[#This Row],[Sand negativ
Nulhypotese afvises
Korrekt]]),NA(),IF(EY$3,1,NA()))</f>
        <v>#N/A</v>
      </c>
      <c r="FD137" s="33" t="str" cm="1">
        <f t="array" ref="FD137">IFERROR(_xlfn.SWITCH(Eu_tabel_a[[#This Row],[Indeks]],_xlfn.IFNA(FB$2,-99),FB$5,_xlfn.IFNA(FB$3,-99),FB$6,_xlfn.IFNA(FB$4,-99),FB$7,""),"")</f>
        <v/>
      </c>
      <c r="FE137" s="32">
        <f>Eu_tabel_a[[#This Row],[x base]]*SQRT(Eu_a_h0_x*(1-Eu_a_h0_x)/Eu_a_n_x)+Eu_a_h0_x</f>
        <v>0</v>
      </c>
      <c r="FJ137" s="74" t="e">
        <f t="shared" si="234"/>
        <v>#N/A</v>
      </c>
      <c r="FK137" s="82" t="e">
        <f t="shared" si="218"/>
        <v>#DIV/0!</v>
      </c>
      <c r="FL137" s="7" t="e">
        <f t="shared" si="228"/>
        <v>#DIV/0!</v>
      </c>
      <c r="FM137" t="e">
        <f t="shared" si="219"/>
        <v>#DIV/0!</v>
      </c>
      <c r="FN137" s="8" t="e">
        <f t="shared" si="220"/>
        <v>#DIV/0!</v>
      </c>
      <c r="FO137" s="8" t="e">
        <f t="shared" si="221"/>
        <v>#DIV/0!</v>
      </c>
      <c r="FP137" s="81" t="e">
        <f t="shared" si="222"/>
        <v>#DIV/0!</v>
      </c>
      <c r="FQ137" s="74" t="e">
        <f t="shared" ca="1" si="229"/>
        <v>#N/A</v>
      </c>
      <c r="FR137" s="82" t="e" vm="3">
        <f t="shared" ca="1" si="235"/>
        <v>#VALUE!</v>
      </c>
      <c r="FS137" s="7" t="e" vm="3">
        <f t="shared" ca="1" si="230"/>
        <v>#VALUE!</v>
      </c>
      <c r="FT137" t="e" vm="3">
        <f t="shared" ca="1" si="224"/>
        <v>#VALUE!</v>
      </c>
      <c r="FU137" s="8" t="e" vm="3">
        <f t="shared" ca="1" si="225"/>
        <v>#VALUE!</v>
      </c>
      <c r="FV137" s="8" t="e" vm="3">
        <f t="shared" ca="1" si="226"/>
        <v>#VALUE!</v>
      </c>
      <c r="FW137" s="81" t="e" vm="3">
        <f t="shared" ca="1" si="227"/>
        <v>#VALUE!</v>
      </c>
      <c r="FX137" s="74" t="e">
        <f t="shared" si="231"/>
        <v>#N/A</v>
      </c>
      <c r="FY137" s="82" t="e">
        <f t="shared" si="236"/>
        <v>#N/A</v>
      </c>
      <c r="FZ137" s="7" t="e">
        <f t="shared" si="232"/>
        <v>#N/A</v>
      </c>
      <c r="GA137" t="e">
        <f t="shared" si="237"/>
        <v>#N/A</v>
      </c>
      <c r="GB137" s="8" t="e">
        <f t="shared" si="238"/>
        <v>#N/A</v>
      </c>
      <c r="GC137" s="8" t="e">
        <f t="shared" si="239"/>
        <v>#N/A</v>
      </c>
      <c r="GD137" s="81" t="e">
        <f t="shared" si="240"/>
        <v>#N/A</v>
      </c>
      <c r="GE137" s="74" t="e">
        <f t="shared" si="241"/>
        <v>#N/A</v>
      </c>
      <c r="GF137" s="82" t="e">
        <f t="shared" si="242"/>
        <v>#N/A</v>
      </c>
      <c r="GG137" s="7" t="e">
        <f t="shared" si="233"/>
        <v>#N/A</v>
      </c>
      <c r="GH137" t="e">
        <f t="shared" si="243"/>
        <v>#N/A</v>
      </c>
      <c r="GI137" s="8" t="e">
        <f t="shared" si="244"/>
        <v>#N/A</v>
      </c>
      <c r="GJ137" s="8" t="e">
        <f t="shared" si="245"/>
        <v>#N/A</v>
      </c>
      <c r="GK137" s="81" t="e">
        <f t="shared" si="246"/>
        <v>#N/A</v>
      </c>
      <c r="GL137" s="81"/>
      <c r="GM137" s="81"/>
      <c r="GP137" s="32">
        <f t="shared" si="187"/>
        <v>127</v>
      </c>
      <c r="GQ137" s="32">
        <f t="shared" si="188"/>
        <v>128</v>
      </c>
      <c r="GR137" s="32">
        <f t="shared" si="189"/>
        <v>-4.7910578390198744E-2</v>
      </c>
      <c r="GS137" s="32">
        <f t="shared" si="190"/>
        <v>0.39848467230564738</v>
      </c>
      <c r="GT137" s="32" t="e">
        <f t="shared" si="191"/>
        <v>#N/A</v>
      </c>
      <c r="GU137" s="32" t="e">
        <f t="shared" si="192"/>
        <v>#N/A</v>
      </c>
      <c r="GV137" s="32" t="e">
        <f t="shared" si="193"/>
        <v>#N/A</v>
      </c>
      <c r="GW137" s="32" t="b">
        <f t="shared" si="194"/>
        <v>0</v>
      </c>
      <c r="GX137" s="32" t="b">
        <f t="shared" si="195"/>
        <v>1</v>
      </c>
      <c r="GY137" s="32" t="b">
        <f t="shared" si="196"/>
        <v>0</v>
      </c>
      <c r="GZ137" s="32" t="b">
        <f t="shared" si="197"/>
        <v>1</v>
      </c>
      <c r="HA137" s="32">
        <f t="shared" si="198"/>
        <v>0.39848467230564738</v>
      </c>
      <c r="HB137" s="32" t="e">
        <f t="shared" si="199"/>
        <v>#N/A</v>
      </c>
      <c r="HC137" s="32">
        <f t="shared" si="200"/>
        <v>0.39848467230564738</v>
      </c>
      <c r="HD137" s="45" t="str">
        <f t="shared" si="201"/>
        <v/>
      </c>
      <c r="HJ137" s="32">
        <f t="shared" si="202"/>
        <v>127</v>
      </c>
      <c r="HK137" s="32">
        <f t="shared" si="203"/>
        <v>128</v>
      </c>
      <c r="HL137" s="32">
        <f t="shared" si="204"/>
        <v>-7.4190536878113278E-2</v>
      </c>
      <c r="HM137" s="32" t="e">
        <f t="shared" si="205"/>
        <v>#N/A</v>
      </c>
      <c r="HN137" s="32">
        <f t="shared" si="206"/>
        <v>0.38378292251089163</v>
      </c>
      <c r="HO137" s="32" t="e">
        <f t="shared" si="207"/>
        <v>#N/A</v>
      </c>
      <c r="HP137" s="32" t="e">
        <f t="shared" si="208"/>
        <v>#N/A</v>
      </c>
      <c r="HQ137" s="32" t="b">
        <f t="shared" si="209"/>
        <v>1</v>
      </c>
      <c r="HR137" s="32" t="b">
        <f t="shared" si="210"/>
        <v>0</v>
      </c>
      <c r="HS137" s="32" t="b">
        <f t="shared" si="211"/>
        <v>0</v>
      </c>
      <c r="HT137" s="32" t="b">
        <f t="shared" si="212"/>
        <v>1</v>
      </c>
      <c r="HU137" s="32">
        <f t="shared" si="213"/>
        <v>0.38378292251089163</v>
      </c>
      <c r="HV137" s="32">
        <f t="shared" si="214"/>
        <v>0.38378292251089163</v>
      </c>
      <c r="HW137" s="32" t="e">
        <f t="shared" si="215"/>
        <v>#N/A</v>
      </c>
      <c r="HX137" s="45" t="str">
        <f t="shared" si="216"/>
        <v/>
      </c>
    </row>
    <row r="138" spans="78:232" x14ac:dyDescent="0.2">
      <c r="BZ138" s="32">
        <f t="shared" ref="BZ138:BZ201" si="247">ROW(BZ138)-ROW(BZ$10)</f>
        <v>128</v>
      </c>
      <c r="CA138" s="32">
        <f>Eu_tabel_g[[#This Row],[Indeks]]+1</f>
        <v>129</v>
      </c>
      <c r="CB138" s="32">
        <f t="shared" ref="CB138:CB201" si="248">CB$5+(CB$7-CB$5)/CB$3*BZ138</f>
        <v>-2.3955289195099372E-2</v>
      </c>
      <c r="CC138" s="32">
        <f t="shared" ref="CC138:CC201" si="249">IF(CC$3,_xlfn.NORM.DIST(CB138,CC$5,CC$7,FALSE),NA())</f>
        <v>0.39882782913507253</v>
      </c>
      <c r="CD138" s="32" t="e">
        <f t="shared" ref="CD138:CD201" si="250">IF(CD$3,_xlfn.T.DIST(CB138,CD$5,FALSE),NA())</f>
        <v>#N/A</v>
      </c>
      <c r="CE138" s="32" t="e">
        <f t="shared" ref="CE138:CE201" si="251">IF(CE$3,_xlfn.CHISQ.DIST(CB138,CE$5,FALSE),NA())</f>
        <v>#N/A</v>
      </c>
      <c r="CF138" s="32" t="e">
        <f t="shared" ref="CF138:CF201" si="252">IF(CF$3,_xlfn.F.DIST(CB138,CF$5,CF$7,FALSE),NA())</f>
        <v>#N/A</v>
      </c>
      <c r="CG138" s="32" t="b">
        <f t="shared" ref="CG138:CG201" si="253">CB138&lt;CG$3</f>
        <v>0</v>
      </c>
      <c r="CH138" s="32" t="b">
        <f t="shared" ref="CH138:CH201" si="254">CB138&gt;CG$3</f>
        <v>1</v>
      </c>
      <c r="CI138" s="32" t="b">
        <f t="shared" ref="CI138:CI201" si="255">OR(CB138&lt;CI$3,CB138&gt;CI$5)</f>
        <v>0</v>
      </c>
      <c r="CJ138" s="32" t="b">
        <f t="shared" ref="CJ138:CJ201" si="256">AND(CB138&gt;CI$3,CB138&lt;CI$5)</f>
        <v>1</v>
      </c>
      <c r="CK138" s="32">
        <f t="shared" si="223"/>
        <v>0.39882782913507253</v>
      </c>
      <c r="CL138" s="32" t="e">
        <f t="shared" ref="CL138:CL201" si="257">IF(INDEX(CG138:CJ138,CK$7),CK138,NA())</f>
        <v>#N/A</v>
      </c>
      <c r="CM138" s="32">
        <f t="shared" ref="CM138:CM201" si="258">IF(INDEX(CG138:CJ138,CL$7),CK138,NA())</f>
        <v>0.39882782913507253</v>
      </c>
      <c r="CN138" s="45" t="str">
        <f t="shared" ref="CN138:CN201" si="259">_xlfn.SWITCH(BZ138,CN$2,CN$5,CN$3,CN$6,CN$4,CN$7,"")</f>
        <v/>
      </c>
      <c r="CO138" s="32">
        <f>_xlfn.NORM.DIST(_xlfn.NORM.INV(1-Eu_g_konfidensniveau,0,1)-Eu_tabel_g[[#This Row],[x base]],0,1,TRUE)</f>
        <v>5.2519721709693296E-2</v>
      </c>
      <c r="CP138" s="32">
        <f>1-_xlfn.NORM.DIST(_xlfn.NORM.INV(Eu_g_konfidensniveau,0,1)-Eu_tabel_g[[#This Row],[x base]],0,1,TRUE)</f>
        <v>4.7577627570627001E-2</v>
      </c>
      <c r="CQ138" s="32">
        <f>_xlfn.NORM.DIST(_xlfn.NORM.INV((1-Eu_g_konfidensniveau)/2,0,1)-Eu_tabel_g[[#This Row],[x base]],0,1,TRUE)+1-_xlfn.NORM.DIST(_xlfn.NORM.INV(1-(1-Eu_g_konfidensniveau)/2,0,1)-Eu_tabel_g[[#This Row],[x base]],0,1,TRUE)</f>
        <v>5.0065737968822299E-2</v>
      </c>
      <c r="CR138" s="32" t="e" cm="1">
        <f t="array" ref="CR138">IF($CR$3,INDEX(Eu_tabel_g[[#This Row],[Styrke venstre]:[Styrke tosidet]],CR$7),NA())</f>
        <v>#N/A</v>
      </c>
      <c r="CS138" s="52" t="e">
        <f>Eu_tabel_g[[#This Row],[Falsk positiv
Nulhypotese accepteres
Fejltype 1]]</f>
        <v>#N/A</v>
      </c>
      <c r="CT138" s="52" t="e">
        <f>IF(CHOOSE(CR$7,Eu_tabel_g[[#This Row],[x base]]&gt;0,Eu_tabel_g[[#This Row],[x base]]&lt;0,Eu_tabel_g[[#This Row],[x base]]=0),Eu_tabel_g[[#This Row],[Styrke, aktiv]],NA())</f>
        <v>#N/A</v>
      </c>
      <c r="CU138" s="52" t="e">
        <f>IFERROR(IF($CR$3,Eu_tabel_g[[#This Row],[Styrke, aktiv]],NA()),NA())</f>
        <v>#N/A</v>
      </c>
      <c r="CV138" s="52" t="e">
        <f>IF(ISNA(Eu_tabel_g[[#This Row],[Sand negativ
Nulhypotese afvises
Korrekt]]),NA(),IF($CR$3,1,NA()))</f>
        <v>#N/A</v>
      </c>
      <c r="CW138" s="34" t="str" cm="1">
        <f t="array" ref="CW138">_xlfn.SWITCH(BZ138,_xlfn.IFNA(CU$2,-99),CU$5,_xlfn.IFNA(CU$3,-99),CU$6,_xlfn.IFNA(CU$4,-99),CU$7,"")</f>
        <v/>
      </c>
      <c r="DA138" s="7">
        <f t="shared" ref="DA138:DA201" si="260">_xlfn.NORM.DIST(_xlfn.NORM.INV((1-Eu_g_konfidensniveau)/2,0,1)-DB138,0,1,TRUE)+1-_xlfn.NORM.DIST(_xlfn.NORM.INV(1-(1-Eu_g_konfidensniveau)/2,0,1)-DB138,0,1,TRUE)</f>
        <v>0.8</v>
      </c>
      <c r="DB138">
        <f>IF(ROW(Styrkeberegning_G[[#This Row],[X base venstre]])=ROW(Styrkeberegning_G[[#Headers],[X base venstre]])+1,DB$7/(DA$7/$B$67),DB137/(DA137/$B$67))</f>
        <v>-2.8015817870135784</v>
      </c>
      <c r="DC138">
        <f>Styrkeberegning_G[[#This Row],[X base venstre]]*-1</f>
        <v>2.8015817870135784</v>
      </c>
      <c r="DN138" s="32">
        <f t="shared" ref="DN138:DN201" si="261">ROW(DN138)-ROW(DN$10)</f>
        <v>128</v>
      </c>
      <c r="DO138" s="32">
        <f t="shared" ref="DO138:DO201" si="262">DN138+1</f>
        <v>129</v>
      </c>
      <c r="DP138" s="32">
        <f t="shared" ref="DP138:DP201" si="263">DP$5+(DP$7-DP$5)/DP$3*DN138</f>
        <v>16.434922286029817</v>
      </c>
      <c r="DQ138" s="32" t="e">
        <f t="shared" ref="DQ138:DQ201" si="264">IF(DQ$3,_xlfn.NORM.DIST(DP138,DQ$5,DQ$7,FALSE),NA())</f>
        <v>#N/A</v>
      </c>
      <c r="DR138" s="32" t="e">
        <f t="shared" ref="DR138:DR201" si="265">IF(DR$3,_xlfn.T.DIST(DP138,DR$5,FALSE),NA())</f>
        <v>#N/A</v>
      </c>
      <c r="DS138" s="32">
        <f t="shared" ref="DS138:DS201" si="266">IF(DS$3,_xlfn.CHISQ.DIST(DP138,DS$5,FALSE),NA())</f>
        <v>3.3700370410170197E-2</v>
      </c>
      <c r="DT138" s="32" t="e">
        <f t="shared" ref="DT138:DT201" si="267">IF(DT$3,_xlfn.F.DIST(DP138,DT$5,DT$7,FALSE),NA())</f>
        <v>#N/A</v>
      </c>
      <c r="DU138" s="32" t="b">
        <f t="shared" ref="DU138:DU201" si="268">DP138&lt;DU$3</f>
        <v>0</v>
      </c>
      <c r="DV138" s="32" t="b">
        <f t="shared" ref="DV138:DV201" si="269">DP138&gt;DU$3</f>
        <v>1</v>
      </c>
      <c r="DW138" s="32" t="b">
        <f t="shared" ref="DW138:DW201" si="270">OR(DP138&lt;DW$3,DP138&gt;DW$5)</f>
        <v>0</v>
      </c>
      <c r="DX138" s="32" t="b">
        <f t="shared" ref="DX138:DX201" si="271">AND(DP138&gt;DW$3,DP138&lt;DW$5)</f>
        <v>1</v>
      </c>
      <c r="DY138" s="32">
        <f t="shared" ref="DY138:DY201" si="272">_xlfn.AGGREGATE(9,6,DQ138:DT138)</f>
        <v>3.3700370410170197E-2</v>
      </c>
      <c r="DZ138" s="32" t="e">
        <f t="shared" ref="DZ138:DZ201" si="273">IF(INDEX(DU138:DX138,DY$7),DY138,NA())</f>
        <v>#N/A</v>
      </c>
      <c r="EA138" s="32">
        <f t="shared" ref="EA138:EA201" si="274">IF(INDEX(DU138:DX138,DZ$7),DY138,NA())</f>
        <v>3.3700370410170197E-2</v>
      </c>
      <c r="EB138" s="45" t="str">
        <f t="shared" ref="EB138:EB201" si="275">_xlfn.SWITCH(DN138,EB$2,EB$5,EB$3,EB$6,EB$4,EB$7,"")</f>
        <v/>
      </c>
      <c r="EG138" s="32">
        <f t="shared" ref="EG138:EG201" si="276">ROW(EG138)-ROW(EG$10)</f>
        <v>128</v>
      </c>
      <c r="EH138" s="32">
        <f t="shared" ref="EH138:EH201" si="277">EG138+1</f>
        <v>129</v>
      </c>
      <c r="EI138" s="32">
        <f t="shared" ref="EI138:EI201" si="278">EI$5+(EI$7-EI$5)/EI$3*EG138</f>
        <v>-2.3955289195099372E-2</v>
      </c>
      <c r="EJ138" s="32">
        <f t="shared" ref="EJ138:EJ201" si="279">IF(EJ$3,_xlfn.NORM.DIST(EI138,EJ$5,EJ$7,FALSE),NA())</f>
        <v>0.39882782913507253</v>
      </c>
      <c r="EK138" s="32" t="e">
        <f t="shared" ref="EK138:EK201" si="280">IF(EK$3,_xlfn.T.DIST(EI138,EK$5,FALSE),NA())</f>
        <v>#N/A</v>
      </c>
      <c r="EL138" s="32" t="e">
        <f t="shared" ref="EL138:EL201" si="281">IF(EL$3,_xlfn.CHISQ.DIST(EI138,EL$5,FALSE),NA())</f>
        <v>#N/A</v>
      </c>
      <c r="EM138" s="32" t="e">
        <f t="shared" ref="EM138:EM201" si="282">IF(EM$3,_xlfn.F.DIST(EI138,EM$5,EM$7,FALSE),NA())</f>
        <v>#N/A</v>
      </c>
      <c r="EN138" s="32" t="b">
        <f t="shared" ref="EN138:EN201" si="283">EI138&lt;EN$3</f>
        <v>0</v>
      </c>
      <c r="EO138" s="32" t="b">
        <f t="shared" ref="EO138:EO201" si="284">EI138&gt;EN$3</f>
        <v>1</v>
      </c>
      <c r="EP138" s="32" t="b">
        <f t="shared" ref="EP138:EP201" si="285">OR(EI138&lt;EP$3,EI138&gt;EP$5)</f>
        <v>0</v>
      </c>
      <c r="EQ138" s="32" t="b">
        <f t="shared" ref="EQ138:EQ201" si="286">AND(EI138&gt;EP$3,EI138&lt;EP$5)</f>
        <v>1</v>
      </c>
      <c r="ER138" s="32">
        <f t="shared" ref="ER138:ER201" si="287">_xlfn.AGGREGATE(9,6,EJ138:EM138)</f>
        <v>0.39882782913507253</v>
      </c>
      <c r="ES138" s="32" t="e">
        <f t="shared" ref="ES138:ES201" si="288">IF(INDEX(EN138:EQ138,ER$7),ER138,NA())</f>
        <v>#N/A</v>
      </c>
      <c r="ET138" s="32">
        <f t="shared" ref="ET138:ET201" si="289">IF(INDEX(EN138:EQ138,ES$7),ER138,NA())</f>
        <v>0.39882782913507253</v>
      </c>
      <c r="EU138" s="45" t="str">
        <f t="shared" ref="EU138:EU201" si="290">_xlfn.SWITCH(EG138,EU$2,EU$5,EU$3,EU$6,EU$4,EU$7,"")</f>
        <v/>
      </c>
      <c r="EV13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8" s="32" t="e" cm="1">
        <f t="array" ref="EY138">IF($CR$3,INDEX(Eu_tabel_a[[#This Row],[Styrke venstre]:[Styrke tosidet]],EY$7),NA())</f>
        <v>#N/A</v>
      </c>
      <c r="EZ138" s="32" t="e">
        <f>IF(EY$3,IF(CHOOSE(EY$7,Eu_tabel_a[[#This Row],[x base]]&gt;0,Eu_tabel_a[[#This Row],[x base]]&lt;0,Eu_tabel_a[[#This Row],[x base]]=0),1,NA()),NA())</f>
        <v>#N/A</v>
      </c>
      <c r="FA138" s="32" t="e">
        <f>IF(CHOOSE(EY$7,Eu_tabel_a[[#This Row],[x base]]&gt;0,Eu_tabel_a[[#This Row],[x base]]&lt;0,Eu_tabel_a[[#This Row],[x base]]=0),Eu_tabel_a[[#This Row],[Styrke, aktiv]],NA())</f>
        <v>#N/A</v>
      </c>
      <c r="FB138" s="32" t="e">
        <f>IFERROR(IF($EY$3,Eu_tabel_a[[#This Row],[Styrke, aktiv]],NA()),NA())</f>
        <v>#N/A</v>
      </c>
      <c r="FC138" s="32" t="e">
        <f>IF(ISNA(Eu_tabel_a[[#This Row],[Sand negativ
Nulhypotese afvises
Korrekt]]),NA(),IF(EY$3,1,NA()))</f>
        <v>#N/A</v>
      </c>
      <c r="FD138" s="33" t="str" cm="1">
        <f t="array" ref="FD138">IFERROR(_xlfn.SWITCH(Eu_tabel_a[[#This Row],[Indeks]],_xlfn.IFNA(FB$2,-99),FB$5,_xlfn.IFNA(FB$3,-99),FB$6,_xlfn.IFNA(FB$4,-99),FB$7,""),"")</f>
        <v/>
      </c>
      <c r="FE138" s="32">
        <f>Eu_tabel_a[[#This Row],[x base]]*SQRT(Eu_a_h0_x*(1-Eu_a_h0_x)/Eu_a_n_x)+Eu_a_h0_x</f>
        <v>0</v>
      </c>
      <c r="FJ138" s="74" t="e">
        <f t="shared" si="234"/>
        <v>#N/A</v>
      </c>
      <c r="FK138" s="82" t="e">
        <f t="shared" si="218"/>
        <v>#DIV/0!</v>
      </c>
      <c r="FL138" s="7" t="e">
        <f t="shared" si="228"/>
        <v>#DIV/0!</v>
      </c>
      <c r="FM138" t="e">
        <f t="shared" si="219"/>
        <v>#DIV/0!</v>
      </c>
      <c r="FN138" s="8" t="e">
        <f t="shared" si="220"/>
        <v>#DIV/0!</v>
      </c>
      <c r="FO138" s="8" t="e">
        <f t="shared" si="221"/>
        <v>#DIV/0!</v>
      </c>
      <c r="FP138" s="81" t="e">
        <f t="shared" si="222"/>
        <v>#DIV/0!</v>
      </c>
      <c r="FQ138" s="74" t="e">
        <f t="shared" ca="1" si="229"/>
        <v>#N/A</v>
      </c>
      <c r="FR138" s="82" t="e" vm="3">
        <f t="shared" ca="1" si="235"/>
        <v>#VALUE!</v>
      </c>
      <c r="FS138" s="7" t="e" vm="3">
        <f t="shared" ca="1" si="230"/>
        <v>#VALUE!</v>
      </c>
      <c r="FT138" t="e" vm="3">
        <f t="shared" ca="1" si="224"/>
        <v>#VALUE!</v>
      </c>
      <c r="FU138" s="8" t="e" vm="3">
        <f t="shared" ca="1" si="225"/>
        <v>#VALUE!</v>
      </c>
      <c r="FV138" s="8" t="e" vm="3">
        <f t="shared" ca="1" si="226"/>
        <v>#VALUE!</v>
      </c>
      <c r="FW138" s="81" t="e" vm="3">
        <f t="shared" ca="1" si="227"/>
        <v>#VALUE!</v>
      </c>
      <c r="FX138" s="74" t="e">
        <f t="shared" si="231"/>
        <v>#N/A</v>
      </c>
      <c r="FY138" s="82" t="e">
        <f t="shared" si="236"/>
        <v>#N/A</v>
      </c>
      <c r="FZ138" s="7" t="e">
        <f t="shared" si="232"/>
        <v>#N/A</v>
      </c>
      <c r="GA138" t="e">
        <f t="shared" si="237"/>
        <v>#N/A</v>
      </c>
      <c r="GB138" s="8" t="e">
        <f t="shared" si="238"/>
        <v>#N/A</v>
      </c>
      <c r="GC138" s="8" t="e">
        <f t="shared" si="239"/>
        <v>#N/A</v>
      </c>
      <c r="GD138" s="81" t="e">
        <f t="shared" si="240"/>
        <v>#N/A</v>
      </c>
      <c r="GE138" s="74" t="e">
        <f t="shared" si="241"/>
        <v>#N/A</v>
      </c>
      <c r="GF138" s="82" t="e">
        <f t="shared" si="242"/>
        <v>#N/A</v>
      </c>
      <c r="GG138" s="7" t="e">
        <f t="shared" si="233"/>
        <v>#N/A</v>
      </c>
      <c r="GH138" t="e">
        <f t="shared" si="243"/>
        <v>#N/A</v>
      </c>
      <c r="GI138" s="8" t="e">
        <f t="shared" si="244"/>
        <v>#N/A</v>
      </c>
      <c r="GJ138" s="8" t="e">
        <f t="shared" si="245"/>
        <v>#N/A</v>
      </c>
      <c r="GK138" s="81" t="e">
        <f t="shared" si="246"/>
        <v>#N/A</v>
      </c>
      <c r="GL138" s="81"/>
      <c r="GM138" s="81"/>
      <c r="GP138" s="32">
        <f t="shared" ref="GP138:GP201" si="291">ROW(GP138)-ROW(GP$10)</f>
        <v>128</v>
      </c>
      <c r="GQ138" s="32">
        <f t="shared" ref="GQ138:GQ201" si="292">GP138+1</f>
        <v>129</v>
      </c>
      <c r="GR138" s="32">
        <f t="shared" ref="GR138:GR201" si="293">GR$5+(GR$7-GR$5)/GR$3*GP138</f>
        <v>-2.3955289195099372E-2</v>
      </c>
      <c r="GS138" s="32">
        <f t="shared" ref="GS138:GS201" si="294">IF(GS$3,_xlfn.NORM.DIST(GR138,GS$5,GS$7,FALSE),NA())</f>
        <v>0.39882782913507253</v>
      </c>
      <c r="GT138" s="32" t="e">
        <f t="shared" ref="GT138:GT201" si="295">IF(GT$3,_xlfn.T.DIST(GR138,GT$5,FALSE),NA())</f>
        <v>#N/A</v>
      </c>
      <c r="GU138" s="32" t="e">
        <f t="shared" ref="GU138:GU201" si="296">IF(GU$3,_xlfn.CHISQ.DIST(GR138,GU$5,FALSE),NA())</f>
        <v>#N/A</v>
      </c>
      <c r="GV138" s="32" t="e">
        <f t="shared" ref="GV138:GV201" si="297">IF(GV$3,_xlfn.F.DIST(GR138,GV$5,GV$7,FALSE),NA())</f>
        <v>#N/A</v>
      </c>
      <c r="GW138" s="32" t="b">
        <f t="shared" ref="GW138:GW201" si="298">GR138&lt;GW$3</f>
        <v>0</v>
      </c>
      <c r="GX138" s="32" t="b">
        <f t="shared" ref="GX138:GX201" si="299">GR138&gt;GW$3</f>
        <v>1</v>
      </c>
      <c r="GY138" s="32" t="b">
        <f t="shared" ref="GY138:GY201" si="300">OR(GR138&lt;GY$3,GR138&gt;GY$5)</f>
        <v>0</v>
      </c>
      <c r="GZ138" s="32" t="b">
        <f t="shared" ref="GZ138:GZ201" si="301">AND(GR138&gt;GY$3,GR138&lt;GY$5)</f>
        <v>1</v>
      </c>
      <c r="HA138" s="32">
        <f t="shared" ref="HA138:HA201" si="302">_xlfn.AGGREGATE(9,6,GS138:GV138)</f>
        <v>0.39882782913507253</v>
      </c>
      <c r="HB138" s="32" t="e">
        <f t="shared" ref="HB138:HB201" si="303">IF(INDEX(GW138:GZ138,HA$7),HA138,NA())</f>
        <v>#N/A</v>
      </c>
      <c r="HC138" s="32">
        <f t="shared" ref="HC138:HC201" si="304">IF(INDEX(GW138:GZ138,HB$7),HA138,NA())</f>
        <v>0.39882782913507253</v>
      </c>
      <c r="HD138" s="45" t="str">
        <f t="shared" ref="HD138:HD201" si="305">_xlfn.SWITCH(GP138,HD$2,HD$5,HD$3,HD$6,HD$4,HD$7,"")</f>
        <v/>
      </c>
      <c r="HJ138" s="32">
        <f t="shared" ref="HJ138:HJ201" si="306">ROW(HJ138)-ROW(HJ$10)</f>
        <v>128</v>
      </c>
      <c r="HK138" s="32">
        <f t="shared" ref="HK138:HK201" si="307">HJ138+1</f>
        <v>129</v>
      </c>
      <c r="HL138" s="32">
        <f t="shared" ref="HL138:HL201" si="308">HL$5+(HL$7-HL$5)/HL$3*HJ138</f>
        <v>-3.7095268439056639E-2</v>
      </c>
      <c r="HM138" s="32" t="e">
        <f t="shared" ref="HM138:HM201" si="309">IF(HM$3,_xlfn.NORM.DIST(HL138,HM$5,HM$7,FALSE),NA())</f>
        <v>#N/A</v>
      </c>
      <c r="HN138" s="32">
        <f t="shared" ref="HN138:HN201" si="310">IF(HN$3,_xlfn.T.DIST(HL138,HN$5,FALSE),NA())</f>
        <v>0.38468887330394552</v>
      </c>
      <c r="HO138" s="32" t="e">
        <f t="shared" ref="HO138:HO201" si="311">IF(HO$3,_xlfn.CHISQ.DIST(HL138,HO$5,FALSE),NA())</f>
        <v>#N/A</v>
      </c>
      <c r="HP138" s="32" t="e">
        <f t="shared" ref="HP138:HP201" si="312">IF(HP$3,_xlfn.F.DIST(HL138,HP$5,HP$7,FALSE),NA())</f>
        <v>#N/A</v>
      </c>
      <c r="HQ138" s="32" t="b">
        <f t="shared" ref="HQ138:HQ201" si="313">HL138&lt;HQ$3</f>
        <v>1</v>
      </c>
      <c r="HR138" s="32" t="b">
        <f t="shared" ref="HR138:HR201" si="314">HL138&gt;HQ$3</f>
        <v>0</v>
      </c>
      <c r="HS138" s="32" t="b">
        <f t="shared" ref="HS138:HS201" si="315">OR(HL138&lt;HS$3,HL138&gt;HS$5)</f>
        <v>0</v>
      </c>
      <c r="HT138" s="32" t="b">
        <f t="shared" ref="HT138:HT201" si="316">AND(HL138&gt;HS$3,HL138&lt;HS$5)</f>
        <v>1</v>
      </c>
      <c r="HU138" s="32">
        <f t="shared" ref="HU138:HU201" si="317">_xlfn.AGGREGATE(9,6,HM138:HP138)</f>
        <v>0.38468887330394552</v>
      </c>
      <c r="HV138" s="32">
        <f t="shared" ref="HV138:HV201" si="318">IF(INDEX(HQ138:HT138,HU$7),HU138,NA())</f>
        <v>0.38468887330394552</v>
      </c>
      <c r="HW138" s="32" t="e">
        <f t="shared" ref="HW138:HW201" si="319">IF(INDEX(HQ138:HT138,HV$7),HU138,NA())</f>
        <v>#N/A</v>
      </c>
      <c r="HX138" s="45" t="str">
        <f t="shared" ref="HX138:HX201" si="320">_xlfn.SWITCH(HJ138,HX$2,HX$5,HX$3,HX$6,HX$4,HX$7,"")</f>
        <v/>
      </c>
    </row>
    <row r="139" spans="78:232" x14ac:dyDescent="0.2">
      <c r="BZ139" s="32">
        <f t="shared" si="247"/>
        <v>129</v>
      </c>
      <c r="CA139" s="32">
        <f>Eu_tabel_g[[#This Row],[Indeks]]+1</f>
        <v>130</v>
      </c>
      <c r="CB139" s="32">
        <f t="shared" si="248"/>
        <v>0</v>
      </c>
      <c r="CC139" s="32">
        <f t="shared" si="249"/>
        <v>0.3989422804014327</v>
      </c>
      <c r="CD139" s="32" t="e">
        <f t="shared" si="250"/>
        <v>#N/A</v>
      </c>
      <c r="CE139" s="32" t="e">
        <f t="shared" si="251"/>
        <v>#N/A</v>
      </c>
      <c r="CF139" s="32" t="e">
        <f t="shared" si="252"/>
        <v>#N/A</v>
      </c>
      <c r="CG139" s="32" t="b">
        <f t="shared" si="253"/>
        <v>0</v>
      </c>
      <c r="CH139" s="32" t="b">
        <f t="shared" si="254"/>
        <v>1</v>
      </c>
      <c r="CI139" s="32" t="b">
        <f t="shared" si="255"/>
        <v>0</v>
      </c>
      <c r="CJ139" s="32" t="b">
        <f t="shared" si="256"/>
        <v>1</v>
      </c>
      <c r="CK139" s="32">
        <f t="shared" si="223"/>
        <v>0.3989422804014327</v>
      </c>
      <c r="CL139" s="32" t="e">
        <f t="shared" si="257"/>
        <v>#N/A</v>
      </c>
      <c r="CM139" s="32">
        <f t="shared" si="258"/>
        <v>0.3989422804014327</v>
      </c>
      <c r="CN139" s="45">
        <f t="shared" si="259"/>
        <v>1.8540000000000001</v>
      </c>
      <c r="CO139" s="32">
        <f>_xlfn.NORM.DIST(_xlfn.NORM.INV(1-Eu_g_konfidensniveau,0,1)-Eu_tabel_g[[#This Row],[x base]],0,1,TRUE)</f>
        <v>5.0000000000000121E-2</v>
      </c>
      <c r="CP139" s="32">
        <f>1-_xlfn.NORM.DIST(_xlfn.NORM.INV(Eu_g_konfidensniveau,0,1)-Eu_tabel_g[[#This Row],[x base]],0,1,TRUE)</f>
        <v>5.0000000000000155E-2</v>
      </c>
      <c r="CQ139" s="32">
        <f>_xlfn.NORM.DIST(_xlfn.NORM.INV((1-Eu_g_konfidensniveau)/2,0,1)-Eu_tabel_g[[#This Row],[x base]],0,1,TRUE)+1-_xlfn.NORM.DIST(_xlfn.NORM.INV(1-(1-Eu_g_konfidensniveau)/2,0,1)-Eu_tabel_g[[#This Row],[x base]],0,1,TRUE)</f>
        <v>5.0000000000000155E-2</v>
      </c>
      <c r="CR139" s="32" t="e" cm="1">
        <f t="array" ref="CR139">IF($CR$3,INDEX(Eu_tabel_g[[#This Row],[Styrke venstre]:[Styrke tosidet]],CR$7),NA())</f>
        <v>#N/A</v>
      </c>
      <c r="CS139" s="52" t="e">
        <f>Eu_tabel_g[[#This Row],[Falsk positiv
Nulhypotese accepteres
Fejltype 1]]</f>
        <v>#N/A</v>
      </c>
      <c r="CT139" s="52" t="e">
        <f>IF(CHOOSE(CR$7,Eu_tabel_g[[#This Row],[x base]]&gt;0,Eu_tabel_g[[#This Row],[x base]]&lt;0,Eu_tabel_g[[#This Row],[x base]]=0),Eu_tabel_g[[#This Row],[Styrke, aktiv]],NA())</f>
        <v>#N/A</v>
      </c>
      <c r="CU139" s="52" t="e">
        <f>IFERROR(IF($CR$3,Eu_tabel_g[[#This Row],[Styrke, aktiv]],NA()),NA())</f>
        <v>#N/A</v>
      </c>
      <c r="CV139" s="52" t="e">
        <f>IF(ISNA(Eu_tabel_g[[#This Row],[Sand negativ
Nulhypotese afvises
Korrekt]]),NA(),IF($CR$3,1,NA()))</f>
        <v>#N/A</v>
      </c>
      <c r="CW139" s="34" cm="1">
        <f t="array" ref="CW139">_xlfn.SWITCH(BZ139,_xlfn.IFNA(CU$2,-99),CU$5,_xlfn.IFNA(CU$3,-99),CU$6,_xlfn.IFNA(CU$4,-99),CU$7,"")</f>
        <v>0</v>
      </c>
      <c r="DA139" s="7">
        <f t="shared" si="260"/>
        <v>0.8</v>
      </c>
      <c r="DB139">
        <f>IF(ROW(Styrkeberegning_G[[#This Row],[X base venstre]])=ROW(Styrkeberegning_G[[#Headers],[X base venstre]])+1,DB$7/(DA$7/$B$67),DB138/(DA138/$B$67))</f>
        <v>-2.8015817870135784</v>
      </c>
      <c r="DC139">
        <f>Styrkeberegning_G[[#This Row],[X base venstre]]*-1</f>
        <v>2.8015817870135784</v>
      </c>
      <c r="DN139" s="32">
        <f t="shared" si="261"/>
        <v>129</v>
      </c>
      <c r="DO139" s="32">
        <f t="shared" si="262"/>
        <v>130</v>
      </c>
      <c r="DP139" s="32">
        <f t="shared" si="263"/>
        <v>16.548993142446818</v>
      </c>
      <c r="DQ139" s="32" t="e">
        <f t="shared" si="264"/>
        <v>#N/A</v>
      </c>
      <c r="DR139" s="32" t="e">
        <f t="shared" si="265"/>
        <v>#N/A</v>
      </c>
      <c r="DS139" s="32">
        <f t="shared" si="266"/>
        <v>3.2838412041709814E-2</v>
      </c>
      <c r="DT139" s="32" t="e">
        <f t="shared" si="267"/>
        <v>#N/A</v>
      </c>
      <c r="DU139" s="32" t="b">
        <f t="shared" si="268"/>
        <v>0</v>
      </c>
      <c r="DV139" s="32" t="b">
        <f t="shared" si="269"/>
        <v>1</v>
      </c>
      <c r="DW139" s="32" t="b">
        <f t="shared" si="270"/>
        <v>0</v>
      </c>
      <c r="DX139" s="32" t="b">
        <f t="shared" si="271"/>
        <v>1</v>
      </c>
      <c r="DY139" s="32">
        <f t="shared" si="272"/>
        <v>3.2838412041709814E-2</v>
      </c>
      <c r="DZ139" s="32" t="e">
        <f t="shared" si="273"/>
        <v>#N/A</v>
      </c>
      <c r="EA139" s="32">
        <f t="shared" si="274"/>
        <v>3.2838412041709814E-2</v>
      </c>
      <c r="EB139" s="45" t="str">
        <f t="shared" si="275"/>
        <v/>
      </c>
      <c r="EG139" s="32">
        <f t="shared" si="276"/>
        <v>129</v>
      </c>
      <c r="EH139" s="32">
        <f t="shared" si="277"/>
        <v>130</v>
      </c>
      <c r="EI139" s="32">
        <f t="shared" si="278"/>
        <v>0</v>
      </c>
      <c r="EJ139" s="32">
        <f t="shared" si="279"/>
        <v>0.3989422804014327</v>
      </c>
      <c r="EK139" s="32" t="e">
        <f t="shared" si="280"/>
        <v>#N/A</v>
      </c>
      <c r="EL139" s="32" t="e">
        <f t="shared" si="281"/>
        <v>#N/A</v>
      </c>
      <c r="EM139" s="32" t="e">
        <f t="shared" si="282"/>
        <v>#N/A</v>
      </c>
      <c r="EN139" s="32" t="b">
        <f t="shared" si="283"/>
        <v>0</v>
      </c>
      <c r="EO139" s="32" t="b">
        <f t="shared" si="284"/>
        <v>1</v>
      </c>
      <c r="EP139" s="32" t="b">
        <f t="shared" si="285"/>
        <v>0</v>
      </c>
      <c r="EQ139" s="32" t="b">
        <f t="shared" si="286"/>
        <v>1</v>
      </c>
      <c r="ER139" s="32">
        <f t="shared" si="287"/>
        <v>0.3989422804014327</v>
      </c>
      <c r="ES139" s="32" t="e">
        <f t="shared" si="288"/>
        <v>#N/A</v>
      </c>
      <c r="ET139" s="32">
        <f t="shared" si="289"/>
        <v>0.3989422804014327</v>
      </c>
      <c r="EU139" s="45" t="str">
        <f t="shared" si="290"/>
        <v>41.667%</v>
      </c>
      <c r="EV13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9" s="32" t="e" cm="1">
        <f t="array" ref="EY139">IF($CR$3,INDEX(Eu_tabel_a[[#This Row],[Styrke venstre]:[Styrke tosidet]],EY$7),NA())</f>
        <v>#N/A</v>
      </c>
      <c r="EZ139" s="32" t="e">
        <f>IF(EY$3,IF(CHOOSE(EY$7,Eu_tabel_a[[#This Row],[x base]]&gt;0,Eu_tabel_a[[#This Row],[x base]]&lt;0,Eu_tabel_a[[#This Row],[x base]]=0),1,NA()),NA())</f>
        <v>#N/A</v>
      </c>
      <c r="FA139" s="32" t="e">
        <f>IF(CHOOSE(EY$7,Eu_tabel_a[[#This Row],[x base]]&gt;0,Eu_tabel_a[[#This Row],[x base]]&lt;0,Eu_tabel_a[[#This Row],[x base]]=0),Eu_tabel_a[[#This Row],[Styrke, aktiv]],NA())</f>
        <v>#N/A</v>
      </c>
      <c r="FB139" s="32" t="e">
        <f>IFERROR(IF($EY$3,Eu_tabel_a[[#This Row],[Styrke, aktiv]],NA()),NA())</f>
        <v>#N/A</v>
      </c>
      <c r="FC139" s="32" t="e">
        <f>IF(ISNA(Eu_tabel_a[[#This Row],[Sand negativ
Nulhypotese afvises
Korrekt]]),NA(),IF(EY$3,1,NA()))</f>
        <v>#N/A</v>
      </c>
      <c r="FD139" s="33" cm="1">
        <f t="array" ref="FD139">IFERROR(_xlfn.SWITCH(Eu_tabel_a[[#This Row],[Indeks]],_xlfn.IFNA(FB$2,-99),FB$5,_xlfn.IFNA(FB$3,-99),FB$6,_xlfn.IFNA(FB$4,-99),FB$7,""),"")</f>
        <v>0</v>
      </c>
      <c r="FE139" s="32">
        <f>Eu_tabel_a[[#This Row],[x base]]*SQRT(Eu_a_h0_x*(1-Eu_a_h0_x)/Eu_a_n_x)+Eu_a_h0_x</f>
        <v>0</v>
      </c>
      <c r="FJ139" s="74" t="e">
        <f t="shared" si="234"/>
        <v>#N/A</v>
      </c>
      <c r="FK139" s="82" t="e">
        <f t="shared" si="218"/>
        <v>#DIV/0!</v>
      </c>
      <c r="FL139" s="7" t="e">
        <f t="shared" si="228"/>
        <v>#DIV/0!</v>
      </c>
      <c r="FM139" t="e">
        <f t="shared" si="219"/>
        <v>#DIV/0!</v>
      </c>
      <c r="FN139" s="8" t="e">
        <f t="shared" si="220"/>
        <v>#DIV/0!</v>
      </c>
      <c r="FO139" s="8" t="e">
        <f t="shared" si="221"/>
        <v>#DIV/0!</v>
      </c>
      <c r="FP139" s="81" t="e">
        <f t="shared" si="222"/>
        <v>#DIV/0!</v>
      </c>
      <c r="FQ139" s="74" t="e">
        <f t="shared" ca="1" si="229"/>
        <v>#N/A</v>
      </c>
      <c r="FR139" s="82" t="e" vm="3">
        <f t="shared" ca="1" si="235"/>
        <v>#VALUE!</v>
      </c>
      <c r="FS139" s="7" t="e" vm="3">
        <f t="shared" ca="1" si="230"/>
        <v>#VALUE!</v>
      </c>
      <c r="FT139" t="e" vm="3">
        <f t="shared" ca="1" si="224"/>
        <v>#VALUE!</v>
      </c>
      <c r="FU139" s="8" t="e" vm="3">
        <f t="shared" ca="1" si="225"/>
        <v>#VALUE!</v>
      </c>
      <c r="FV139" s="8" t="e" vm="3">
        <f t="shared" ca="1" si="226"/>
        <v>#VALUE!</v>
      </c>
      <c r="FW139" s="81" t="e" vm="3">
        <f t="shared" ca="1" si="227"/>
        <v>#VALUE!</v>
      </c>
      <c r="FX139" s="74" t="e">
        <f t="shared" si="231"/>
        <v>#N/A</v>
      </c>
      <c r="FY139" s="82" t="e">
        <f t="shared" si="236"/>
        <v>#N/A</v>
      </c>
      <c r="FZ139" s="7" t="e">
        <f t="shared" si="232"/>
        <v>#N/A</v>
      </c>
      <c r="GA139" t="e">
        <f t="shared" si="237"/>
        <v>#N/A</v>
      </c>
      <c r="GB139" s="8" t="e">
        <f t="shared" si="238"/>
        <v>#N/A</v>
      </c>
      <c r="GC139" s="8" t="e">
        <f t="shared" si="239"/>
        <v>#N/A</v>
      </c>
      <c r="GD139" s="81" t="e">
        <f t="shared" si="240"/>
        <v>#N/A</v>
      </c>
      <c r="GE139" s="74" t="e">
        <f t="shared" si="241"/>
        <v>#N/A</v>
      </c>
      <c r="GF139" s="82" t="e">
        <f t="shared" si="242"/>
        <v>#N/A</v>
      </c>
      <c r="GG139" s="7" t="e">
        <f t="shared" si="233"/>
        <v>#N/A</v>
      </c>
      <c r="GH139" t="e">
        <f t="shared" si="243"/>
        <v>#N/A</v>
      </c>
      <c r="GI139" s="8" t="e">
        <f t="shared" si="244"/>
        <v>#N/A</v>
      </c>
      <c r="GJ139" s="8" t="e">
        <f t="shared" si="245"/>
        <v>#N/A</v>
      </c>
      <c r="GK139" s="81" t="e">
        <f t="shared" si="246"/>
        <v>#N/A</v>
      </c>
      <c r="GL139" s="81"/>
      <c r="GM139" s="81"/>
      <c r="GP139" s="32">
        <f t="shared" si="291"/>
        <v>129</v>
      </c>
      <c r="GQ139" s="32">
        <f t="shared" si="292"/>
        <v>130</v>
      </c>
      <c r="GR139" s="32">
        <f t="shared" si="293"/>
        <v>0</v>
      </c>
      <c r="GS139" s="32">
        <f t="shared" si="294"/>
        <v>0.3989422804014327</v>
      </c>
      <c r="GT139" s="32" t="e">
        <f t="shared" si="295"/>
        <v>#N/A</v>
      </c>
      <c r="GU139" s="32" t="e">
        <f t="shared" si="296"/>
        <v>#N/A</v>
      </c>
      <c r="GV139" s="32" t="e">
        <f t="shared" si="297"/>
        <v>#N/A</v>
      </c>
      <c r="GW139" s="32" t="b">
        <f t="shared" si="298"/>
        <v>0</v>
      </c>
      <c r="GX139" s="32" t="b">
        <f t="shared" si="299"/>
        <v>1</v>
      </c>
      <c r="GY139" s="32" t="b">
        <f t="shared" si="300"/>
        <v>0</v>
      </c>
      <c r="GZ139" s="32" t="b">
        <f t="shared" si="301"/>
        <v>1</v>
      </c>
      <c r="HA139" s="32">
        <f t="shared" si="302"/>
        <v>0.3989422804014327</v>
      </c>
      <c r="HB139" s="32" t="e">
        <f t="shared" si="303"/>
        <v>#N/A</v>
      </c>
      <c r="HC139" s="32">
        <f t="shared" si="304"/>
        <v>0.3989422804014327</v>
      </c>
      <c r="HD139" s="45">
        <f t="shared" si="305"/>
        <v>1.8540000000000001</v>
      </c>
      <c r="HJ139" s="32">
        <f t="shared" si="306"/>
        <v>129</v>
      </c>
      <c r="HK139" s="32">
        <f t="shared" si="307"/>
        <v>130</v>
      </c>
      <c r="HL139" s="32">
        <f t="shared" si="308"/>
        <v>0</v>
      </c>
      <c r="HM139" s="32" t="e">
        <f t="shared" si="309"/>
        <v>#N/A</v>
      </c>
      <c r="HN139" s="32">
        <f t="shared" si="310"/>
        <v>0.38499145083226738</v>
      </c>
      <c r="HO139" s="32" t="e">
        <f t="shared" si="311"/>
        <v>#N/A</v>
      </c>
      <c r="HP139" s="32" t="e">
        <f t="shared" si="312"/>
        <v>#N/A</v>
      </c>
      <c r="HQ139" s="32" t="b">
        <f t="shared" si="313"/>
        <v>1</v>
      </c>
      <c r="HR139" s="32" t="b">
        <f t="shared" si="314"/>
        <v>0</v>
      </c>
      <c r="HS139" s="32" t="b">
        <f t="shared" si="315"/>
        <v>0</v>
      </c>
      <c r="HT139" s="32" t="b">
        <f t="shared" si="316"/>
        <v>1</v>
      </c>
      <c r="HU139" s="32">
        <f t="shared" si="317"/>
        <v>0.38499145083226738</v>
      </c>
      <c r="HV139" s="32">
        <f t="shared" si="318"/>
        <v>0.38499145083226738</v>
      </c>
      <c r="HW139" s="32" t="e">
        <f t="shared" si="319"/>
        <v>#N/A</v>
      </c>
      <c r="HX139" s="45">
        <f t="shared" si="320"/>
        <v>0</v>
      </c>
    </row>
    <row r="140" spans="78:232" x14ac:dyDescent="0.2">
      <c r="BZ140" s="32">
        <f t="shared" si="247"/>
        <v>130</v>
      </c>
      <c r="CA140" s="32">
        <f>Eu_tabel_g[[#This Row],[Indeks]]+1</f>
        <v>131</v>
      </c>
      <c r="CB140" s="32">
        <f t="shared" si="248"/>
        <v>2.3955289195099372E-2</v>
      </c>
      <c r="CC140" s="32">
        <f t="shared" si="249"/>
        <v>0.39882782913507253</v>
      </c>
      <c r="CD140" s="32" t="e">
        <f t="shared" si="250"/>
        <v>#N/A</v>
      </c>
      <c r="CE140" s="32" t="e">
        <f t="shared" si="251"/>
        <v>#N/A</v>
      </c>
      <c r="CF140" s="32" t="e">
        <f t="shared" si="252"/>
        <v>#N/A</v>
      </c>
      <c r="CG140" s="32" t="b">
        <f t="shared" si="253"/>
        <v>0</v>
      </c>
      <c r="CH140" s="32" t="b">
        <f t="shared" si="254"/>
        <v>1</v>
      </c>
      <c r="CI140" s="32" t="b">
        <f t="shared" si="255"/>
        <v>0</v>
      </c>
      <c r="CJ140" s="32" t="b">
        <f t="shared" si="256"/>
        <v>1</v>
      </c>
      <c r="CK140" s="32">
        <f t="shared" si="223"/>
        <v>0.39882782913507253</v>
      </c>
      <c r="CL140" s="32" t="e">
        <f t="shared" si="257"/>
        <v>#N/A</v>
      </c>
      <c r="CM140" s="32">
        <f t="shared" si="258"/>
        <v>0.39882782913507253</v>
      </c>
      <c r="CN140" s="45" t="str">
        <f t="shared" si="259"/>
        <v/>
      </c>
      <c r="CO140" s="32">
        <f>_xlfn.NORM.DIST(_xlfn.NORM.INV(1-Eu_g_konfidensniveau,0,1)-Eu_tabel_g[[#This Row],[x base]],0,1,TRUE)</f>
        <v>4.7577627570626967E-2</v>
      </c>
      <c r="CP140" s="32">
        <f>1-_xlfn.NORM.DIST(_xlfn.NORM.INV(Eu_g_konfidensniveau,0,1)-Eu_tabel_g[[#This Row],[x base]],0,1,TRUE)</f>
        <v>5.2519721709693323E-2</v>
      </c>
      <c r="CQ140" s="32">
        <f>_xlfn.NORM.DIST(_xlfn.NORM.INV((1-Eu_g_konfidensniveau)/2,0,1)-Eu_tabel_g[[#This Row],[x base]],0,1,TRUE)+1-_xlfn.NORM.DIST(_xlfn.NORM.INV(1-(1-Eu_g_konfidensniveau)/2,0,1)-Eu_tabel_g[[#This Row],[x base]],0,1,TRUE)</f>
        <v>5.0065737968822299E-2</v>
      </c>
      <c r="CR140" s="32" t="e" cm="1">
        <f t="array" ref="CR140">IF($CR$3,INDEX(Eu_tabel_g[[#This Row],[Styrke venstre]:[Styrke tosidet]],CR$7),NA())</f>
        <v>#N/A</v>
      </c>
      <c r="CS140" s="52" t="e">
        <f>Eu_tabel_g[[#This Row],[Falsk positiv
Nulhypotese accepteres
Fejltype 1]]</f>
        <v>#N/A</v>
      </c>
      <c r="CT140" s="52" t="e">
        <f>IF(CHOOSE(CR$7,Eu_tabel_g[[#This Row],[x base]]&gt;0,Eu_tabel_g[[#This Row],[x base]]&lt;0,Eu_tabel_g[[#This Row],[x base]]=0),Eu_tabel_g[[#This Row],[Styrke, aktiv]],NA())</f>
        <v>#N/A</v>
      </c>
      <c r="CU140" s="52" t="e">
        <f>IFERROR(IF($CR$3,Eu_tabel_g[[#This Row],[Styrke, aktiv]],NA()),NA())</f>
        <v>#N/A</v>
      </c>
      <c r="CV140" s="52" t="e">
        <f>IF(ISNA(Eu_tabel_g[[#This Row],[Sand negativ
Nulhypotese afvises
Korrekt]]),NA(),IF($CR$3,1,NA()))</f>
        <v>#N/A</v>
      </c>
      <c r="CW140" s="34" t="str" cm="1">
        <f t="array" ref="CW140">_xlfn.SWITCH(BZ140,_xlfn.IFNA(CU$2,-99),CU$5,_xlfn.IFNA(CU$3,-99),CU$6,_xlfn.IFNA(CU$4,-99),CU$7,"")</f>
        <v/>
      </c>
      <c r="DA140" s="7">
        <f t="shared" si="260"/>
        <v>0.8</v>
      </c>
      <c r="DB140">
        <f>IF(ROW(Styrkeberegning_G[[#This Row],[X base venstre]])=ROW(Styrkeberegning_G[[#Headers],[X base venstre]])+1,DB$7/(DA$7/$B$67),DB139/(DA139/$B$67))</f>
        <v>-2.8015817870135784</v>
      </c>
      <c r="DC140">
        <f>Styrkeberegning_G[[#This Row],[X base venstre]]*-1</f>
        <v>2.8015817870135784</v>
      </c>
      <c r="DN140" s="32">
        <f t="shared" si="261"/>
        <v>130</v>
      </c>
      <c r="DO140" s="32">
        <f t="shared" si="262"/>
        <v>131</v>
      </c>
      <c r="DP140" s="32">
        <f t="shared" si="263"/>
        <v>16.663063998863819</v>
      </c>
      <c r="DQ140" s="32" t="e">
        <f t="shared" si="264"/>
        <v>#N/A</v>
      </c>
      <c r="DR140" s="32" t="e">
        <f t="shared" si="265"/>
        <v>#N/A</v>
      </c>
      <c r="DS140" s="32">
        <f t="shared" si="266"/>
        <v>3.1991659199801618E-2</v>
      </c>
      <c r="DT140" s="32" t="e">
        <f t="shared" si="267"/>
        <v>#N/A</v>
      </c>
      <c r="DU140" s="32" t="b">
        <f t="shared" si="268"/>
        <v>0</v>
      </c>
      <c r="DV140" s="32" t="b">
        <f t="shared" si="269"/>
        <v>1</v>
      </c>
      <c r="DW140" s="32" t="b">
        <f t="shared" si="270"/>
        <v>0</v>
      </c>
      <c r="DX140" s="32" t="b">
        <f t="shared" si="271"/>
        <v>1</v>
      </c>
      <c r="DY140" s="32">
        <f t="shared" si="272"/>
        <v>3.1991659199801618E-2</v>
      </c>
      <c r="DZ140" s="32" t="e">
        <f t="shared" si="273"/>
        <v>#N/A</v>
      </c>
      <c r="EA140" s="32">
        <f t="shared" si="274"/>
        <v>3.1991659199801618E-2</v>
      </c>
      <c r="EB140" s="45" t="str">
        <f t="shared" si="275"/>
        <v/>
      </c>
      <c r="EG140" s="32">
        <f t="shared" si="276"/>
        <v>130</v>
      </c>
      <c r="EH140" s="32">
        <f t="shared" si="277"/>
        <v>131</v>
      </c>
      <c r="EI140" s="32">
        <f t="shared" si="278"/>
        <v>2.3955289195099372E-2</v>
      </c>
      <c r="EJ140" s="32">
        <f t="shared" si="279"/>
        <v>0.39882782913507253</v>
      </c>
      <c r="EK140" s="32" t="e">
        <f t="shared" si="280"/>
        <v>#N/A</v>
      </c>
      <c r="EL140" s="32" t="e">
        <f t="shared" si="281"/>
        <v>#N/A</v>
      </c>
      <c r="EM140" s="32" t="e">
        <f t="shared" si="282"/>
        <v>#N/A</v>
      </c>
      <c r="EN140" s="32" t="b">
        <f t="shared" si="283"/>
        <v>0</v>
      </c>
      <c r="EO140" s="32" t="b">
        <f t="shared" si="284"/>
        <v>1</v>
      </c>
      <c r="EP140" s="32" t="b">
        <f t="shared" si="285"/>
        <v>0</v>
      </c>
      <c r="EQ140" s="32" t="b">
        <f t="shared" si="286"/>
        <v>1</v>
      </c>
      <c r="ER140" s="32">
        <f t="shared" si="287"/>
        <v>0.39882782913507253</v>
      </c>
      <c r="ES140" s="32" t="e">
        <f t="shared" si="288"/>
        <v>#N/A</v>
      </c>
      <c r="ET140" s="32">
        <f t="shared" si="289"/>
        <v>0.39882782913507253</v>
      </c>
      <c r="EU140" s="45" t="str">
        <f t="shared" si="290"/>
        <v/>
      </c>
      <c r="EV14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0" s="32" t="e" cm="1">
        <f t="array" ref="EY140">IF($CR$3,INDEX(Eu_tabel_a[[#This Row],[Styrke venstre]:[Styrke tosidet]],EY$7),NA())</f>
        <v>#N/A</v>
      </c>
      <c r="EZ140" s="32" t="e">
        <f>IF(EY$3,IF(CHOOSE(EY$7,Eu_tabel_a[[#This Row],[x base]]&gt;0,Eu_tabel_a[[#This Row],[x base]]&lt;0,Eu_tabel_a[[#This Row],[x base]]=0),1,NA()),NA())</f>
        <v>#N/A</v>
      </c>
      <c r="FA140" s="32" t="e">
        <f>IF(CHOOSE(EY$7,Eu_tabel_a[[#This Row],[x base]]&gt;0,Eu_tabel_a[[#This Row],[x base]]&lt;0,Eu_tabel_a[[#This Row],[x base]]=0),Eu_tabel_a[[#This Row],[Styrke, aktiv]],NA())</f>
        <v>#N/A</v>
      </c>
      <c r="FB140" s="32" t="e">
        <f>IFERROR(IF($EY$3,Eu_tabel_a[[#This Row],[Styrke, aktiv]],NA()),NA())</f>
        <v>#N/A</v>
      </c>
      <c r="FC140" s="32" t="e">
        <f>IF(ISNA(Eu_tabel_a[[#This Row],[Sand negativ
Nulhypotese afvises
Korrekt]]),NA(),IF(EY$3,1,NA()))</f>
        <v>#N/A</v>
      </c>
      <c r="FD140" s="33" t="str" cm="1">
        <f t="array" ref="FD140">IFERROR(_xlfn.SWITCH(Eu_tabel_a[[#This Row],[Indeks]],_xlfn.IFNA(FB$2,-99),FB$5,_xlfn.IFNA(FB$3,-99),FB$6,_xlfn.IFNA(FB$4,-99),FB$7,""),"")</f>
        <v/>
      </c>
      <c r="FE140" s="32">
        <f>Eu_tabel_a[[#This Row],[x base]]*SQRT(Eu_a_h0_x*(1-Eu_a_h0_x)/Eu_a_n_x)+Eu_a_h0_x</f>
        <v>0</v>
      </c>
      <c r="FJ140" s="74" t="e">
        <f t="shared" si="234"/>
        <v>#N/A</v>
      </c>
      <c r="FK140" s="82" t="e">
        <f t="shared" si="218"/>
        <v>#DIV/0!</v>
      </c>
      <c r="FL140" s="7" t="e">
        <f t="shared" si="228"/>
        <v>#DIV/0!</v>
      </c>
      <c r="FM140" t="e">
        <f t="shared" si="219"/>
        <v>#DIV/0!</v>
      </c>
      <c r="FN140" s="8" t="e">
        <f t="shared" si="220"/>
        <v>#DIV/0!</v>
      </c>
      <c r="FO140" s="8" t="e">
        <f t="shared" si="221"/>
        <v>#DIV/0!</v>
      </c>
      <c r="FP140" s="81" t="e">
        <f t="shared" si="222"/>
        <v>#DIV/0!</v>
      </c>
      <c r="FQ140" s="74" t="e">
        <f t="shared" ca="1" si="229"/>
        <v>#N/A</v>
      </c>
      <c r="FR140" s="82" t="e" vm="3">
        <f t="shared" ca="1" si="235"/>
        <v>#VALUE!</v>
      </c>
      <c r="FS140" s="7" t="e" vm="3">
        <f t="shared" ca="1" si="230"/>
        <v>#VALUE!</v>
      </c>
      <c r="FT140" t="e" vm="3">
        <f t="shared" ca="1" si="224"/>
        <v>#VALUE!</v>
      </c>
      <c r="FU140" s="8" t="e" vm="3">
        <f t="shared" ca="1" si="225"/>
        <v>#VALUE!</v>
      </c>
      <c r="FV140" s="8" t="e" vm="3">
        <f t="shared" ca="1" si="226"/>
        <v>#VALUE!</v>
      </c>
      <c r="FW140" s="81" t="e" vm="3">
        <f t="shared" ca="1" si="227"/>
        <v>#VALUE!</v>
      </c>
      <c r="FX140" s="74" t="e">
        <f t="shared" si="231"/>
        <v>#N/A</v>
      </c>
      <c r="FY140" s="82" t="e">
        <f t="shared" si="236"/>
        <v>#N/A</v>
      </c>
      <c r="FZ140" s="7" t="e">
        <f t="shared" si="232"/>
        <v>#N/A</v>
      </c>
      <c r="GA140" t="e">
        <f t="shared" si="237"/>
        <v>#N/A</v>
      </c>
      <c r="GB140" s="8" t="e">
        <f t="shared" si="238"/>
        <v>#N/A</v>
      </c>
      <c r="GC140" s="8" t="e">
        <f t="shared" si="239"/>
        <v>#N/A</v>
      </c>
      <c r="GD140" s="81" t="e">
        <f t="shared" si="240"/>
        <v>#N/A</v>
      </c>
      <c r="GE140" s="74" t="e">
        <f t="shared" si="241"/>
        <v>#N/A</v>
      </c>
      <c r="GF140" s="82" t="e">
        <f t="shared" si="242"/>
        <v>#N/A</v>
      </c>
      <c r="GG140" s="7" t="e">
        <f t="shared" si="233"/>
        <v>#N/A</v>
      </c>
      <c r="GH140" t="e">
        <f t="shared" si="243"/>
        <v>#N/A</v>
      </c>
      <c r="GI140" s="8" t="e">
        <f t="shared" si="244"/>
        <v>#N/A</v>
      </c>
      <c r="GJ140" s="8" t="e">
        <f t="shared" si="245"/>
        <v>#N/A</v>
      </c>
      <c r="GK140" s="81" t="e">
        <f t="shared" si="246"/>
        <v>#N/A</v>
      </c>
      <c r="GL140" s="81"/>
      <c r="GM140" s="81"/>
      <c r="GP140" s="32">
        <f t="shared" si="291"/>
        <v>130</v>
      </c>
      <c r="GQ140" s="32">
        <f t="shared" si="292"/>
        <v>131</v>
      </c>
      <c r="GR140" s="32">
        <f t="shared" si="293"/>
        <v>2.3955289195099372E-2</v>
      </c>
      <c r="GS140" s="32">
        <f t="shared" si="294"/>
        <v>0.39882782913507253</v>
      </c>
      <c r="GT140" s="32" t="e">
        <f t="shared" si="295"/>
        <v>#N/A</v>
      </c>
      <c r="GU140" s="32" t="e">
        <f t="shared" si="296"/>
        <v>#N/A</v>
      </c>
      <c r="GV140" s="32" t="e">
        <f t="shared" si="297"/>
        <v>#N/A</v>
      </c>
      <c r="GW140" s="32" t="b">
        <f t="shared" si="298"/>
        <v>0</v>
      </c>
      <c r="GX140" s="32" t="b">
        <f t="shared" si="299"/>
        <v>1</v>
      </c>
      <c r="GY140" s="32" t="b">
        <f t="shared" si="300"/>
        <v>0</v>
      </c>
      <c r="GZ140" s="32" t="b">
        <f t="shared" si="301"/>
        <v>1</v>
      </c>
      <c r="HA140" s="32">
        <f t="shared" si="302"/>
        <v>0.39882782913507253</v>
      </c>
      <c r="HB140" s="32" t="e">
        <f t="shared" si="303"/>
        <v>#N/A</v>
      </c>
      <c r="HC140" s="32">
        <f t="shared" si="304"/>
        <v>0.39882782913507253</v>
      </c>
      <c r="HD140" s="45" t="str">
        <f t="shared" si="305"/>
        <v/>
      </c>
      <c r="HJ140" s="32">
        <f t="shared" si="306"/>
        <v>130</v>
      </c>
      <c r="HK140" s="32">
        <f t="shared" si="307"/>
        <v>131</v>
      </c>
      <c r="HL140" s="32">
        <f t="shared" si="308"/>
        <v>3.7095268439056639E-2</v>
      </c>
      <c r="HM140" s="32" t="e">
        <f t="shared" si="309"/>
        <v>#N/A</v>
      </c>
      <c r="HN140" s="32">
        <f t="shared" si="310"/>
        <v>0.38468887330394552</v>
      </c>
      <c r="HO140" s="32" t="e">
        <f t="shared" si="311"/>
        <v>#N/A</v>
      </c>
      <c r="HP140" s="32" t="e">
        <f t="shared" si="312"/>
        <v>#N/A</v>
      </c>
      <c r="HQ140" s="32" t="b">
        <f t="shared" si="313"/>
        <v>1</v>
      </c>
      <c r="HR140" s="32" t="b">
        <f t="shared" si="314"/>
        <v>0</v>
      </c>
      <c r="HS140" s="32" t="b">
        <f t="shared" si="315"/>
        <v>0</v>
      </c>
      <c r="HT140" s="32" t="b">
        <f t="shared" si="316"/>
        <v>1</v>
      </c>
      <c r="HU140" s="32">
        <f t="shared" si="317"/>
        <v>0.38468887330394552</v>
      </c>
      <c r="HV140" s="32">
        <f t="shared" si="318"/>
        <v>0.38468887330394552</v>
      </c>
      <c r="HW140" s="32" t="e">
        <f t="shared" si="319"/>
        <v>#N/A</v>
      </c>
      <c r="HX140" s="45" t="str">
        <f t="shared" si="320"/>
        <v/>
      </c>
    </row>
    <row r="141" spans="78:232" x14ac:dyDescent="0.2">
      <c r="BZ141" s="32">
        <f t="shared" si="247"/>
        <v>131</v>
      </c>
      <c r="CA141" s="32">
        <f>Eu_tabel_g[[#This Row],[Indeks]]+1</f>
        <v>132</v>
      </c>
      <c r="CB141" s="32">
        <f t="shared" si="248"/>
        <v>4.7910578390198744E-2</v>
      </c>
      <c r="CC141" s="32">
        <f t="shared" si="249"/>
        <v>0.39848467230564738</v>
      </c>
      <c r="CD141" s="32" t="e">
        <f t="shared" si="250"/>
        <v>#N/A</v>
      </c>
      <c r="CE141" s="32" t="e">
        <f t="shared" si="251"/>
        <v>#N/A</v>
      </c>
      <c r="CF141" s="32" t="e">
        <f t="shared" si="252"/>
        <v>#N/A</v>
      </c>
      <c r="CG141" s="32" t="b">
        <f t="shared" si="253"/>
        <v>0</v>
      </c>
      <c r="CH141" s="32" t="b">
        <f t="shared" si="254"/>
        <v>1</v>
      </c>
      <c r="CI141" s="32" t="b">
        <f t="shared" si="255"/>
        <v>0</v>
      </c>
      <c r="CJ141" s="32" t="b">
        <f t="shared" si="256"/>
        <v>1</v>
      </c>
      <c r="CK141" s="32">
        <f t="shared" si="223"/>
        <v>0.39848467230564738</v>
      </c>
      <c r="CL141" s="32" t="e">
        <f t="shared" si="257"/>
        <v>#N/A</v>
      </c>
      <c r="CM141" s="32">
        <f t="shared" si="258"/>
        <v>0.39848467230564738</v>
      </c>
      <c r="CN141" s="45" t="str">
        <f t="shared" si="259"/>
        <v/>
      </c>
      <c r="CO141" s="32">
        <f>_xlfn.NORM.DIST(_xlfn.NORM.INV(1-Eu_g_konfidensniveau,0,1)-Eu_tabel_g[[#This Row],[x base]],0,1,TRUE)</f>
        <v>4.5250179277904451E-2</v>
      </c>
      <c r="CP141" s="32">
        <f>1-_xlfn.NORM.DIST(_xlfn.NORM.INV(Eu_g_konfidensniveau,0,1)-Eu_tabel_g[[#This Row],[x base]],0,1,TRUE)</f>
        <v>5.5139201368197499E-2</v>
      </c>
      <c r="CQ141" s="32">
        <f>_xlfn.NORM.DIST(_xlfn.NORM.INV((1-Eu_g_konfidensniveau)/2,0,1)-Eu_tabel_g[[#This Row],[x base]],0,1,TRUE)+1-_xlfn.NORM.DIST(_xlfn.NORM.INV(1-(1-Eu_g_konfidensniveau)/2,0,1)-Eu_tabel_g[[#This Row],[x base]],0,1,TRUE)</f>
        <v>5.0262983586075727E-2</v>
      </c>
      <c r="CR141" s="32" t="e" cm="1">
        <f t="array" ref="CR141">IF($CR$3,INDEX(Eu_tabel_g[[#This Row],[Styrke venstre]:[Styrke tosidet]],CR$7),NA())</f>
        <v>#N/A</v>
      </c>
      <c r="CS141" s="52" t="e">
        <f>Eu_tabel_g[[#This Row],[Falsk positiv
Nulhypotese accepteres
Fejltype 1]]</f>
        <v>#N/A</v>
      </c>
      <c r="CT141" s="52" t="e">
        <f>IF(CHOOSE(CR$7,Eu_tabel_g[[#This Row],[x base]]&gt;0,Eu_tabel_g[[#This Row],[x base]]&lt;0,Eu_tabel_g[[#This Row],[x base]]=0),Eu_tabel_g[[#This Row],[Styrke, aktiv]],NA())</f>
        <v>#N/A</v>
      </c>
      <c r="CU141" s="52" t="e">
        <f>IFERROR(IF($CR$3,Eu_tabel_g[[#This Row],[Styrke, aktiv]],NA()),NA())</f>
        <v>#N/A</v>
      </c>
      <c r="CV141" s="52" t="e">
        <f>IF(ISNA(Eu_tabel_g[[#This Row],[Sand negativ
Nulhypotese afvises
Korrekt]]),NA(),IF($CR$3,1,NA()))</f>
        <v>#N/A</v>
      </c>
      <c r="CW141" s="34" t="str" cm="1">
        <f t="array" ref="CW141">_xlfn.SWITCH(BZ141,_xlfn.IFNA(CU$2,-99),CU$5,_xlfn.IFNA(CU$3,-99),CU$6,_xlfn.IFNA(CU$4,-99),CU$7,"")</f>
        <v/>
      </c>
      <c r="DA141" s="7">
        <f t="shared" si="260"/>
        <v>0.8</v>
      </c>
      <c r="DB141">
        <f>IF(ROW(Styrkeberegning_G[[#This Row],[X base venstre]])=ROW(Styrkeberegning_G[[#Headers],[X base venstre]])+1,DB$7/(DA$7/$B$67),DB140/(DA140/$B$67))</f>
        <v>-2.8015817870135784</v>
      </c>
      <c r="DC141">
        <f>Styrkeberegning_G[[#This Row],[X base venstre]]*-1</f>
        <v>2.8015817870135784</v>
      </c>
      <c r="DN141" s="32">
        <f t="shared" si="261"/>
        <v>131</v>
      </c>
      <c r="DO141" s="32">
        <f t="shared" si="262"/>
        <v>132</v>
      </c>
      <c r="DP141" s="32">
        <f t="shared" si="263"/>
        <v>16.777134855280821</v>
      </c>
      <c r="DQ141" s="32" t="e">
        <f t="shared" si="264"/>
        <v>#N/A</v>
      </c>
      <c r="DR141" s="32" t="e">
        <f t="shared" si="265"/>
        <v>#N/A</v>
      </c>
      <c r="DS141" s="32">
        <f t="shared" si="266"/>
        <v>3.1160168093486602E-2</v>
      </c>
      <c r="DT141" s="32" t="e">
        <f t="shared" si="267"/>
        <v>#N/A</v>
      </c>
      <c r="DU141" s="32" t="b">
        <f t="shared" si="268"/>
        <v>0</v>
      </c>
      <c r="DV141" s="32" t="b">
        <f t="shared" si="269"/>
        <v>1</v>
      </c>
      <c r="DW141" s="32" t="b">
        <f t="shared" si="270"/>
        <v>0</v>
      </c>
      <c r="DX141" s="32" t="b">
        <f t="shared" si="271"/>
        <v>1</v>
      </c>
      <c r="DY141" s="32">
        <f t="shared" si="272"/>
        <v>3.1160168093486602E-2</v>
      </c>
      <c r="DZ141" s="32" t="e">
        <f t="shared" si="273"/>
        <v>#N/A</v>
      </c>
      <c r="EA141" s="32">
        <f t="shared" si="274"/>
        <v>3.1160168093486602E-2</v>
      </c>
      <c r="EB141" s="45" t="str">
        <f t="shared" si="275"/>
        <v/>
      </c>
      <c r="EG141" s="32">
        <f t="shared" si="276"/>
        <v>131</v>
      </c>
      <c r="EH141" s="32">
        <f t="shared" si="277"/>
        <v>132</v>
      </c>
      <c r="EI141" s="32">
        <f t="shared" si="278"/>
        <v>4.7910578390198744E-2</v>
      </c>
      <c r="EJ141" s="32">
        <f t="shared" si="279"/>
        <v>0.39848467230564738</v>
      </c>
      <c r="EK141" s="32" t="e">
        <f t="shared" si="280"/>
        <v>#N/A</v>
      </c>
      <c r="EL141" s="32" t="e">
        <f t="shared" si="281"/>
        <v>#N/A</v>
      </c>
      <c r="EM141" s="32" t="e">
        <f t="shared" si="282"/>
        <v>#N/A</v>
      </c>
      <c r="EN141" s="32" t="b">
        <f t="shared" si="283"/>
        <v>0</v>
      </c>
      <c r="EO141" s="32" t="b">
        <f t="shared" si="284"/>
        <v>1</v>
      </c>
      <c r="EP141" s="32" t="b">
        <f t="shared" si="285"/>
        <v>0</v>
      </c>
      <c r="EQ141" s="32" t="b">
        <f t="shared" si="286"/>
        <v>1</v>
      </c>
      <c r="ER141" s="32">
        <f t="shared" si="287"/>
        <v>0.39848467230564738</v>
      </c>
      <c r="ES141" s="32" t="e">
        <f t="shared" si="288"/>
        <v>#N/A</v>
      </c>
      <c r="ET141" s="32">
        <f t="shared" si="289"/>
        <v>0.39848467230564738</v>
      </c>
      <c r="EU141" s="45" t="str">
        <f t="shared" si="290"/>
        <v/>
      </c>
      <c r="EV14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1" s="32" t="e" cm="1">
        <f t="array" ref="EY141">IF($CR$3,INDEX(Eu_tabel_a[[#This Row],[Styrke venstre]:[Styrke tosidet]],EY$7),NA())</f>
        <v>#N/A</v>
      </c>
      <c r="EZ141" s="32" t="e">
        <f>IF(EY$3,IF(CHOOSE(EY$7,Eu_tabel_a[[#This Row],[x base]]&gt;0,Eu_tabel_a[[#This Row],[x base]]&lt;0,Eu_tabel_a[[#This Row],[x base]]=0),1,NA()),NA())</f>
        <v>#N/A</v>
      </c>
      <c r="FA141" s="32" t="e">
        <f>IF(CHOOSE(EY$7,Eu_tabel_a[[#This Row],[x base]]&gt;0,Eu_tabel_a[[#This Row],[x base]]&lt;0,Eu_tabel_a[[#This Row],[x base]]=0),Eu_tabel_a[[#This Row],[Styrke, aktiv]],NA())</f>
        <v>#N/A</v>
      </c>
      <c r="FB141" s="32" t="e">
        <f>IFERROR(IF($EY$3,Eu_tabel_a[[#This Row],[Styrke, aktiv]],NA()),NA())</f>
        <v>#N/A</v>
      </c>
      <c r="FC141" s="32" t="e">
        <f>IF(ISNA(Eu_tabel_a[[#This Row],[Sand negativ
Nulhypotese afvises
Korrekt]]),NA(),IF(EY$3,1,NA()))</f>
        <v>#N/A</v>
      </c>
      <c r="FD141" s="33" t="str" cm="1">
        <f t="array" ref="FD141">IFERROR(_xlfn.SWITCH(Eu_tabel_a[[#This Row],[Indeks]],_xlfn.IFNA(FB$2,-99),FB$5,_xlfn.IFNA(FB$3,-99),FB$6,_xlfn.IFNA(FB$4,-99),FB$7,""),"")</f>
        <v/>
      </c>
      <c r="FE141" s="32">
        <f>Eu_tabel_a[[#This Row],[x base]]*SQRT(Eu_a_h0_x*(1-Eu_a_h0_x)/Eu_a_n_x)+Eu_a_h0_x</f>
        <v>0</v>
      </c>
      <c r="FJ141" s="74" t="e">
        <f t="shared" si="234"/>
        <v>#N/A</v>
      </c>
      <c r="FK141" s="82" t="e">
        <f t="shared" si="218"/>
        <v>#DIV/0!</v>
      </c>
      <c r="FL141" s="7" t="e">
        <f t="shared" si="228"/>
        <v>#DIV/0!</v>
      </c>
      <c r="FM141" t="e">
        <f t="shared" si="219"/>
        <v>#DIV/0!</v>
      </c>
      <c r="FN141" s="8" t="e">
        <f t="shared" si="220"/>
        <v>#DIV/0!</v>
      </c>
      <c r="FO141" s="8" t="e">
        <f t="shared" si="221"/>
        <v>#DIV/0!</v>
      </c>
      <c r="FP141" s="81" t="e">
        <f t="shared" si="222"/>
        <v>#DIV/0!</v>
      </c>
      <c r="FQ141" s="74" t="e">
        <f t="shared" ca="1" si="229"/>
        <v>#N/A</v>
      </c>
      <c r="FR141" s="82" t="e" vm="3">
        <f t="shared" ca="1" si="235"/>
        <v>#VALUE!</v>
      </c>
      <c r="FS141" s="7" t="e" vm="3">
        <f t="shared" ca="1" si="230"/>
        <v>#VALUE!</v>
      </c>
      <c r="FT141" t="e" vm="3">
        <f t="shared" ca="1" si="224"/>
        <v>#VALUE!</v>
      </c>
      <c r="FU141" s="8" t="e" vm="3">
        <f t="shared" ca="1" si="225"/>
        <v>#VALUE!</v>
      </c>
      <c r="FV141" s="8" t="e" vm="3">
        <f t="shared" ca="1" si="226"/>
        <v>#VALUE!</v>
      </c>
      <c r="FW141" s="81" t="e" vm="3">
        <f t="shared" ca="1" si="227"/>
        <v>#VALUE!</v>
      </c>
      <c r="FX141" s="74" t="e">
        <f t="shared" si="231"/>
        <v>#N/A</v>
      </c>
      <c r="FY141" s="82" t="e">
        <f t="shared" si="236"/>
        <v>#N/A</v>
      </c>
      <c r="FZ141" s="7" t="e">
        <f t="shared" si="232"/>
        <v>#N/A</v>
      </c>
      <c r="GA141" t="e">
        <f t="shared" si="237"/>
        <v>#N/A</v>
      </c>
      <c r="GB141" s="8" t="e">
        <f t="shared" si="238"/>
        <v>#N/A</v>
      </c>
      <c r="GC141" s="8" t="e">
        <f t="shared" si="239"/>
        <v>#N/A</v>
      </c>
      <c r="GD141" s="81" t="e">
        <f t="shared" si="240"/>
        <v>#N/A</v>
      </c>
      <c r="GE141" s="74" t="e">
        <f t="shared" si="241"/>
        <v>#N/A</v>
      </c>
      <c r="GF141" s="82" t="e">
        <f t="shared" si="242"/>
        <v>#N/A</v>
      </c>
      <c r="GG141" s="7" t="e">
        <f t="shared" si="233"/>
        <v>#N/A</v>
      </c>
      <c r="GH141" t="e">
        <f t="shared" si="243"/>
        <v>#N/A</v>
      </c>
      <c r="GI141" s="8" t="e">
        <f t="shared" si="244"/>
        <v>#N/A</v>
      </c>
      <c r="GJ141" s="8" t="e">
        <f t="shared" si="245"/>
        <v>#N/A</v>
      </c>
      <c r="GK141" s="81" t="e">
        <f t="shared" si="246"/>
        <v>#N/A</v>
      </c>
      <c r="GL141" s="81"/>
      <c r="GM141" s="81"/>
      <c r="GP141" s="32">
        <f t="shared" si="291"/>
        <v>131</v>
      </c>
      <c r="GQ141" s="32">
        <f t="shared" si="292"/>
        <v>132</v>
      </c>
      <c r="GR141" s="32">
        <f t="shared" si="293"/>
        <v>4.7910578390198744E-2</v>
      </c>
      <c r="GS141" s="32">
        <f t="shared" si="294"/>
        <v>0.39848467230564738</v>
      </c>
      <c r="GT141" s="32" t="e">
        <f t="shared" si="295"/>
        <v>#N/A</v>
      </c>
      <c r="GU141" s="32" t="e">
        <f t="shared" si="296"/>
        <v>#N/A</v>
      </c>
      <c r="GV141" s="32" t="e">
        <f t="shared" si="297"/>
        <v>#N/A</v>
      </c>
      <c r="GW141" s="32" t="b">
        <f t="shared" si="298"/>
        <v>0</v>
      </c>
      <c r="GX141" s="32" t="b">
        <f t="shared" si="299"/>
        <v>1</v>
      </c>
      <c r="GY141" s="32" t="b">
        <f t="shared" si="300"/>
        <v>0</v>
      </c>
      <c r="GZ141" s="32" t="b">
        <f t="shared" si="301"/>
        <v>1</v>
      </c>
      <c r="HA141" s="32">
        <f t="shared" si="302"/>
        <v>0.39848467230564738</v>
      </c>
      <c r="HB141" s="32" t="e">
        <f t="shared" si="303"/>
        <v>#N/A</v>
      </c>
      <c r="HC141" s="32">
        <f t="shared" si="304"/>
        <v>0.39848467230564738</v>
      </c>
      <c r="HD141" s="45" t="str">
        <f t="shared" si="305"/>
        <v/>
      </c>
      <c r="HJ141" s="32">
        <f t="shared" si="306"/>
        <v>131</v>
      </c>
      <c r="HK141" s="32">
        <f t="shared" si="307"/>
        <v>132</v>
      </c>
      <c r="HL141" s="32">
        <f t="shared" si="308"/>
        <v>7.4190536878114166E-2</v>
      </c>
      <c r="HM141" s="32" t="e">
        <f t="shared" si="309"/>
        <v>#N/A</v>
      </c>
      <c r="HN141" s="32">
        <f t="shared" si="310"/>
        <v>0.38378292251089163</v>
      </c>
      <c r="HO141" s="32" t="e">
        <f t="shared" si="311"/>
        <v>#N/A</v>
      </c>
      <c r="HP141" s="32" t="e">
        <f t="shared" si="312"/>
        <v>#N/A</v>
      </c>
      <c r="HQ141" s="32" t="b">
        <f t="shared" si="313"/>
        <v>1</v>
      </c>
      <c r="HR141" s="32" t="b">
        <f t="shared" si="314"/>
        <v>0</v>
      </c>
      <c r="HS141" s="32" t="b">
        <f t="shared" si="315"/>
        <v>0</v>
      </c>
      <c r="HT141" s="32" t="b">
        <f t="shared" si="316"/>
        <v>1</v>
      </c>
      <c r="HU141" s="32">
        <f t="shared" si="317"/>
        <v>0.38378292251089163</v>
      </c>
      <c r="HV141" s="32">
        <f t="shared" si="318"/>
        <v>0.38378292251089163</v>
      </c>
      <c r="HW141" s="32" t="e">
        <f t="shared" si="319"/>
        <v>#N/A</v>
      </c>
      <c r="HX141" s="45" t="str">
        <f t="shared" si="320"/>
        <v/>
      </c>
    </row>
    <row r="142" spans="78:232" x14ac:dyDescent="0.2">
      <c r="BZ142" s="32">
        <f t="shared" si="247"/>
        <v>132</v>
      </c>
      <c r="CA142" s="32">
        <f>Eu_tabel_g[[#This Row],[Indeks]]+1</f>
        <v>133</v>
      </c>
      <c r="CB142" s="32">
        <f t="shared" si="248"/>
        <v>7.1865867585298115E-2</v>
      </c>
      <c r="CC142" s="32">
        <f t="shared" si="249"/>
        <v>0.39791340025725958</v>
      </c>
      <c r="CD142" s="32" t="e">
        <f t="shared" si="250"/>
        <v>#N/A</v>
      </c>
      <c r="CE142" s="32" t="e">
        <f t="shared" si="251"/>
        <v>#N/A</v>
      </c>
      <c r="CF142" s="32" t="e">
        <f t="shared" si="252"/>
        <v>#N/A</v>
      </c>
      <c r="CG142" s="32" t="b">
        <f t="shared" si="253"/>
        <v>0</v>
      </c>
      <c r="CH142" s="32" t="b">
        <f t="shared" si="254"/>
        <v>1</v>
      </c>
      <c r="CI142" s="32" t="b">
        <f t="shared" si="255"/>
        <v>0</v>
      </c>
      <c r="CJ142" s="32" t="b">
        <f t="shared" si="256"/>
        <v>1</v>
      </c>
      <c r="CK142" s="32">
        <f t="shared" si="223"/>
        <v>0.39791340025725958</v>
      </c>
      <c r="CL142" s="32" t="e">
        <f t="shared" si="257"/>
        <v>#N/A</v>
      </c>
      <c r="CM142" s="32">
        <f t="shared" si="258"/>
        <v>0.39791340025725958</v>
      </c>
      <c r="CN142" s="45" t="str">
        <f t="shared" si="259"/>
        <v/>
      </c>
      <c r="CO142" s="32">
        <f>_xlfn.NORM.DIST(_xlfn.NORM.INV(1-Eu_g_konfidensniveau,0,1)-Eu_tabel_g[[#This Row],[x base]],0,1,TRUE)</f>
        <v>4.3015218235686256E-2</v>
      </c>
      <c r="CP142" s="32">
        <f>1-_xlfn.NORM.DIST(_xlfn.NORM.INV(Eu_g_konfidensniveau,0,1)-Eu_tabel_g[[#This Row],[x base]],0,1,TRUE)</f>
        <v>5.786082628451894E-2</v>
      </c>
      <c r="CQ142" s="32">
        <f>_xlfn.NORM.DIST(_xlfn.NORM.INV((1-Eu_g_konfidensniveau)/2,0,1)-Eu_tabel_g[[#This Row],[x base]],0,1,TRUE)+1-_xlfn.NORM.DIST(_xlfn.NORM.INV(1-(1-Eu_g_konfidensniveau)/2,0,1)-Eu_tabel_g[[#This Row],[x base]],0,1,TRUE)</f>
        <v>5.0591831796844566E-2</v>
      </c>
      <c r="CR142" s="32" t="e" cm="1">
        <f t="array" ref="CR142">IF($CR$3,INDEX(Eu_tabel_g[[#This Row],[Styrke venstre]:[Styrke tosidet]],CR$7),NA())</f>
        <v>#N/A</v>
      </c>
      <c r="CS142" s="52" t="e">
        <f>Eu_tabel_g[[#This Row],[Falsk positiv
Nulhypotese accepteres
Fejltype 1]]</f>
        <v>#N/A</v>
      </c>
      <c r="CT142" s="52" t="e">
        <f>IF(CHOOSE(CR$7,Eu_tabel_g[[#This Row],[x base]]&gt;0,Eu_tabel_g[[#This Row],[x base]]&lt;0,Eu_tabel_g[[#This Row],[x base]]=0),Eu_tabel_g[[#This Row],[Styrke, aktiv]],NA())</f>
        <v>#N/A</v>
      </c>
      <c r="CU142" s="52" t="e">
        <f>IFERROR(IF($CR$3,Eu_tabel_g[[#This Row],[Styrke, aktiv]],NA()),NA())</f>
        <v>#N/A</v>
      </c>
      <c r="CV142" s="52" t="e">
        <f>IF(ISNA(Eu_tabel_g[[#This Row],[Sand negativ
Nulhypotese afvises
Korrekt]]),NA(),IF($CR$3,1,NA()))</f>
        <v>#N/A</v>
      </c>
      <c r="CW142" s="34" t="str" cm="1">
        <f t="array" ref="CW142">_xlfn.SWITCH(BZ142,_xlfn.IFNA(CU$2,-99),CU$5,_xlfn.IFNA(CU$3,-99),CU$6,_xlfn.IFNA(CU$4,-99),CU$7,"")</f>
        <v/>
      </c>
      <c r="DA142" s="7">
        <f t="shared" si="260"/>
        <v>0.8</v>
      </c>
      <c r="DB142">
        <f>IF(ROW(Styrkeberegning_G[[#This Row],[X base venstre]])=ROW(Styrkeberegning_G[[#Headers],[X base venstre]])+1,DB$7/(DA$7/$B$67),DB141/(DA141/$B$67))</f>
        <v>-2.8015817870135784</v>
      </c>
      <c r="DC142">
        <f>Styrkeberegning_G[[#This Row],[X base venstre]]*-1</f>
        <v>2.8015817870135784</v>
      </c>
      <c r="DN142" s="32">
        <f t="shared" si="261"/>
        <v>132</v>
      </c>
      <c r="DO142" s="32">
        <f t="shared" si="262"/>
        <v>133</v>
      </c>
      <c r="DP142" s="32">
        <f t="shared" si="263"/>
        <v>16.891205711697822</v>
      </c>
      <c r="DQ142" s="32" t="e">
        <f t="shared" si="264"/>
        <v>#N/A</v>
      </c>
      <c r="DR142" s="32" t="e">
        <f t="shared" si="265"/>
        <v>#N/A</v>
      </c>
      <c r="DS142" s="32">
        <f t="shared" si="266"/>
        <v>3.0343974900861607E-2</v>
      </c>
      <c r="DT142" s="32" t="e">
        <f t="shared" si="267"/>
        <v>#N/A</v>
      </c>
      <c r="DU142" s="32" t="b">
        <f t="shared" si="268"/>
        <v>0</v>
      </c>
      <c r="DV142" s="32" t="b">
        <f t="shared" si="269"/>
        <v>1</v>
      </c>
      <c r="DW142" s="32" t="b">
        <f t="shared" si="270"/>
        <v>0</v>
      </c>
      <c r="DX142" s="32" t="b">
        <f t="shared" si="271"/>
        <v>1</v>
      </c>
      <c r="DY142" s="32">
        <f t="shared" si="272"/>
        <v>3.0343974900861607E-2</v>
      </c>
      <c r="DZ142" s="32" t="e">
        <f t="shared" si="273"/>
        <v>#N/A</v>
      </c>
      <c r="EA142" s="32">
        <f t="shared" si="274"/>
        <v>3.0343974900861607E-2</v>
      </c>
      <c r="EB142" s="45" t="str">
        <f t="shared" si="275"/>
        <v/>
      </c>
      <c r="EG142" s="32">
        <f t="shared" si="276"/>
        <v>132</v>
      </c>
      <c r="EH142" s="32">
        <f t="shared" si="277"/>
        <v>133</v>
      </c>
      <c r="EI142" s="32">
        <f t="shared" si="278"/>
        <v>7.1865867585298115E-2</v>
      </c>
      <c r="EJ142" s="32">
        <f t="shared" si="279"/>
        <v>0.39791340025725958</v>
      </c>
      <c r="EK142" s="32" t="e">
        <f t="shared" si="280"/>
        <v>#N/A</v>
      </c>
      <c r="EL142" s="32" t="e">
        <f t="shared" si="281"/>
        <v>#N/A</v>
      </c>
      <c r="EM142" s="32" t="e">
        <f t="shared" si="282"/>
        <v>#N/A</v>
      </c>
      <c r="EN142" s="32" t="b">
        <f t="shared" si="283"/>
        <v>0</v>
      </c>
      <c r="EO142" s="32" t="b">
        <f t="shared" si="284"/>
        <v>1</v>
      </c>
      <c r="EP142" s="32" t="b">
        <f t="shared" si="285"/>
        <v>0</v>
      </c>
      <c r="EQ142" s="32" t="b">
        <f t="shared" si="286"/>
        <v>1</v>
      </c>
      <c r="ER142" s="32">
        <f t="shared" si="287"/>
        <v>0.39791340025725958</v>
      </c>
      <c r="ES142" s="32" t="e">
        <f t="shared" si="288"/>
        <v>#N/A</v>
      </c>
      <c r="ET142" s="32">
        <f t="shared" si="289"/>
        <v>0.39791340025725958</v>
      </c>
      <c r="EU142" s="45" t="str">
        <f t="shared" si="290"/>
        <v/>
      </c>
      <c r="EV14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2" s="32" t="e" cm="1">
        <f t="array" ref="EY142">IF($CR$3,INDEX(Eu_tabel_a[[#This Row],[Styrke venstre]:[Styrke tosidet]],EY$7),NA())</f>
        <v>#N/A</v>
      </c>
      <c r="EZ142" s="32" t="e">
        <f>IF(EY$3,IF(CHOOSE(EY$7,Eu_tabel_a[[#This Row],[x base]]&gt;0,Eu_tabel_a[[#This Row],[x base]]&lt;0,Eu_tabel_a[[#This Row],[x base]]=0),1,NA()),NA())</f>
        <v>#N/A</v>
      </c>
      <c r="FA142" s="32" t="e">
        <f>IF(CHOOSE(EY$7,Eu_tabel_a[[#This Row],[x base]]&gt;0,Eu_tabel_a[[#This Row],[x base]]&lt;0,Eu_tabel_a[[#This Row],[x base]]=0),Eu_tabel_a[[#This Row],[Styrke, aktiv]],NA())</f>
        <v>#N/A</v>
      </c>
      <c r="FB142" s="32" t="e">
        <f>IFERROR(IF($EY$3,Eu_tabel_a[[#This Row],[Styrke, aktiv]],NA()),NA())</f>
        <v>#N/A</v>
      </c>
      <c r="FC142" s="32" t="e">
        <f>IF(ISNA(Eu_tabel_a[[#This Row],[Sand negativ
Nulhypotese afvises
Korrekt]]),NA(),IF(EY$3,1,NA()))</f>
        <v>#N/A</v>
      </c>
      <c r="FD142" s="33" t="str" cm="1">
        <f t="array" ref="FD142">IFERROR(_xlfn.SWITCH(Eu_tabel_a[[#This Row],[Indeks]],_xlfn.IFNA(FB$2,-99),FB$5,_xlfn.IFNA(FB$3,-99),FB$6,_xlfn.IFNA(FB$4,-99),FB$7,""),"")</f>
        <v/>
      </c>
      <c r="FE142" s="32">
        <f>Eu_tabel_a[[#This Row],[x base]]*SQRT(Eu_a_h0_x*(1-Eu_a_h0_x)/Eu_a_n_x)+Eu_a_h0_x</f>
        <v>0</v>
      </c>
      <c r="FJ142" s="74" t="e">
        <f t="shared" si="234"/>
        <v>#N/A</v>
      </c>
      <c r="FK142" s="82" t="e">
        <f t="shared" si="218"/>
        <v>#DIV/0!</v>
      </c>
      <c r="FL142" s="7" t="e">
        <f t="shared" si="228"/>
        <v>#DIV/0!</v>
      </c>
      <c r="FM142" t="e">
        <f t="shared" si="219"/>
        <v>#DIV/0!</v>
      </c>
      <c r="FN142" s="8" t="e">
        <f t="shared" si="220"/>
        <v>#DIV/0!</v>
      </c>
      <c r="FO142" s="8" t="e">
        <f t="shared" si="221"/>
        <v>#DIV/0!</v>
      </c>
      <c r="FP142" s="81" t="e">
        <f t="shared" si="222"/>
        <v>#DIV/0!</v>
      </c>
      <c r="FQ142" s="74" t="e">
        <f t="shared" ca="1" si="229"/>
        <v>#N/A</v>
      </c>
      <c r="FR142" s="82" t="e" vm="3">
        <f t="shared" ca="1" si="235"/>
        <v>#VALUE!</v>
      </c>
      <c r="FS142" s="7" t="e" vm="3">
        <f t="shared" ca="1" si="230"/>
        <v>#VALUE!</v>
      </c>
      <c r="FT142" t="e" vm="3">
        <f t="shared" ca="1" si="224"/>
        <v>#VALUE!</v>
      </c>
      <c r="FU142" s="8" t="e" vm="3">
        <f t="shared" ca="1" si="225"/>
        <v>#VALUE!</v>
      </c>
      <c r="FV142" s="8" t="e" vm="3">
        <f t="shared" ca="1" si="226"/>
        <v>#VALUE!</v>
      </c>
      <c r="FW142" s="81" t="e" vm="3">
        <f t="shared" ca="1" si="227"/>
        <v>#VALUE!</v>
      </c>
      <c r="FX142" s="74" t="e">
        <f t="shared" si="231"/>
        <v>#N/A</v>
      </c>
      <c r="FY142" s="82" t="e">
        <f t="shared" si="236"/>
        <v>#N/A</v>
      </c>
      <c r="FZ142" s="7" t="e">
        <f t="shared" si="232"/>
        <v>#N/A</v>
      </c>
      <c r="GA142" t="e">
        <f t="shared" si="237"/>
        <v>#N/A</v>
      </c>
      <c r="GB142" s="8" t="e">
        <f t="shared" si="238"/>
        <v>#N/A</v>
      </c>
      <c r="GC142" s="8" t="e">
        <f t="shared" si="239"/>
        <v>#N/A</v>
      </c>
      <c r="GD142" s="81" t="e">
        <f t="shared" si="240"/>
        <v>#N/A</v>
      </c>
      <c r="GE142" s="74" t="e">
        <f t="shared" si="241"/>
        <v>#N/A</v>
      </c>
      <c r="GF142" s="82" t="e">
        <f t="shared" si="242"/>
        <v>#N/A</v>
      </c>
      <c r="GG142" s="7" t="e">
        <f t="shared" si="233"/>
        <v>#N/A</v>
      </c>
      <c r="GH142" t="e">
        <f t="shared" si="243"/>
        <v>#N/A</v>
      </c>
      <c r="GI142" s="8" t="e">
        <f t="shared" si="244"/>
        <v>#N/A</v>
      </c>
      <c r="GJ142" s="8" t="e">
        <f t="shared" si="245"/>
        <v>#N/A</v>
      </c>
      <c r="GK142" s="81" t="e">
        <f t="shared" si="246"/>
        <v>#N/A</v>
      </c>
      <c r="GL142" s="81"/>
      <c r="GM142" s="81"/>
      <c r="GP142" s="32">
        <f t="shared" si="291"/>
        <v>132</v>
      </c>
      <c r="GQ142" s="32">
        <f t="shared" si="292"/>
        <v>133</v>
      </c>
      <c r="GR142" s="32">
        <f t="shared" si="293"/>
        <v>7.1865867585298115E-2</v>
      </c>
      <c r="GS142" s="32">
        <f t="shared" si="294"/>
        <v>0.39791340025725958</v>
      </c>
      <c r="GT142" s="32" t="e">
        <f t="shared" si="295"/>
        <v>#N/A</v>
      </c>
      <c r="GU142" s="32" t="e">
        <f t="shared" si="296"/>
        <v>#N/A</v>
      </c>
      <c r="GV142" s="32" t="e">
        <f t="shared" si="297"/>
        <v>#N/A</v>
      </c>
      <c r="GW142" s="32" t="b">
        <f t="shared" si="298"/>
        <v>0</v>
      </c>
      <c r="GX142" s="32" t="b">
        <f t="shared" si="299"/>
        <v>1</v>
      </c>
      <c r="GY142" s="32" t="b">
        <f t="shared" si="300"/>
        <v>0</v>
      </c>
      <c r="GZ142" s="32" t="b">
        <f t="shared" si="301"/>
        <v>1</v>
      </c>
      <c r="HA142" s="32">
        <f t="shared" si="302"/>
        <v>0.39791340025725958</v>
      </c>
      <c r="HB142" s="32" t="e">
        <f t="shared" si="303"/>
        <v>#N/A</v>
      </c>
      <c r="HC142" s="32">
        <f t="shared" si="304"/>
        <v>0.39791340025725958</v>
      </c>
      <c r="HD142" s="45" t="str">
        <f t="shared" si="305"/>
        <v/>
      </c>
      <c r="HJ142" s="32">
        <f t="shared" si="306"/>
        <v>132</v>
      </c>
      <c r="HK142" s="32">
        <f t="shared" si="307"/>
        <v>133</v>
      </c>
      <c r="HL142" s="32">
        <f t="shared" si="308"/>
        <v>0.11128580531717081</v>
      </c>
      <c r="HM142" s="32" t="e">
        <f t="shared" si="309"/>
        <v>#N/A</v>
      </c>
      <c r="HN142" s="32">
        <f t="shared" si="310"/>
        <v>0.38227892287272436</v>
      </c>
      <c r="HO142" s="32" t="e">
        <f t="shared" si="311"/>
        <v>#N/A</v>
      </c>
      <c r="HP142" s="32" t="e">
        <f t="shared" si="312"/>
        <v>#N/A</v>
      </c>
      <c r="HQ142" s="32" t="b">
        <f t="shared" si="313"/>
        <v>1</v>
      </c>
      <c r="HR142" s="32" t="b">
        <f t="shared" si="314"/>
        <v>0</v>
      </c>
      <c r="HS142" s="32" t="b">
        <f t="shared" si="315"/>
        <v>0</v>
      </c>
      <c r="HT142" s="32" t="b">
        <f t="shared" si="316"/>
        <v>1</v>
      </c>
      <c r="HU142" s="32">
        <f t="shared" si="317"/>
        <v>0.38227892287272436</v>
      </c>
      <c r="HV142" s="32">
        <f t="shared" si="318"/>
        <v>0.38227892287272436</v>
      </c>
      <c r="HW142" s="32" t="e">
        <f t="shared" si="319"/>
        <v>#N/A</v>
      </c>
      <c r="HX142" s="45" t="str">
        <f t="shared" si="320"/>
        <v/>
      </c>
    </row>
    <row r="143" spans="78:232" x14ac:dyDescent="0.2">
      <c r="BZ143" s="32">
        <f t="shared" si="247"/>
        <v>133</v>
      </c>
      <c r="CA143" s="32">
        <f>Eu_tabel_g[[#This Row],[Indeks]]+1</f>
        <v>134</v>
      </c>
      <c r="CB143" s="32">
        <f t="shared" si="248"/>
        <v>9.5821156780397043E-2</v>
      </c>
      <c r="CC143" s="32">
        <f t="shared" si="249"/>
        <v>0.39711499501613434</v>
      </c>
      <c r="CD143" s="32" t="e">
        <f t="shared" si="250"/>
        <v>#N/A</v>
      </c>
      <c r="CE143" s="32" t="e">
        <f t="shared" si="251"/>
        <v>#N/A</v>
      </c>
      <c r="CF143" s="32" t="e">
        <f t="shared" si="252"/>
        <v>#N/A</v>
      </c>
      <c r="CG143" s="32" t="b">
        <f t="shared" si="253"/>
        <v>0</v>
      </c>
      <c r="CH143" s="32" t="b">
        <f t="shared" si="254"/>
        <v>1</v>
      </c>
      <c r="CI143" s="32" t="b">
        <f t="shared" si="255"/>
        <v>0</v>
      </c>
      <c r="CJ143" s="32" t="b">
        <f t="shared" si="256"/>
        <v>1</v>
      </c>
      <c r="CK143" s="32">
        <f t="shared" si="223"/>
        <v>0.39711499501613434</v>
      </c>
      <c r="CL143" s="32" t="e">
        <f t="shared" si="257"/>
        <v>#N/A</v>
      </c>
      <c r="CM143" s="32">
        <f t="shared" si="258"/>
        <v>0.39711499501613434</v>
      </c>
      <c r="CN143" s="45" t="str">
        <f t="shared" si="259"/>
        <v/>
      </c>
      <c r="CO143" s="32">
        <f>_xlfn.NORM.DIST(_xlfn.NORM.INV(1-Eu_g_konfidensniveau,0,1)-Eu_tabel_g[[#This Row],[x base]],0,1,TRUE)</f>
        <v>4.0870300389037689E-2</v>
      </c>
      <c r="CP143" s="32">
        <f>1-_xlfn.NORM.DIST(_xlfn.NORM.INV(Eu_g_konfidensniveau,0,1)-Eu_tabel_g[[#This Row],[x base]],0,1,TRUE)</f>
        <v>6.0686957380505224E-2</v>
      </c>
      <c r="CQ143" s="32">
        <f>_xlfn.NORM.DIST(_xlfn.NORM.INV((1-Eu_g_konfidensniveau)/2,0,1)-Eu_tabel_g[[#This Row],[x base]],0,1,TRUE)+1-_xlfn.NORM.DIST(_xlfn.NORM.INV(1-(1-Eu_g_konfidensniveau)/2,0,1)-Eu_tabel_g[[#This Row],[x base]],0,1,TRUE)</f>
        <v>5.105244021923605E-2</v>
      </c>
      <c r="CR143" s="32" t="e" cm="1">
        <f t="array" ref="CR143">IF($CR$3,INDEX(Eu_tabel_g[[#This Row],[Styrke venstre]:[Styrke tosidet]],CR$7),NA())</f>
        <v>#N/A</v>
      </c>
      <c r="CS143" s="52" t="e">
        <f>Eu_tabel_g[[#This Row],[Falsk positiv
Nulhypotese accepteres
Fejltype 1]]</f>
        <v>#N/A</v>
      </c>
      <c r="CT143" s="52" t="e">
        <f>IF(CHOOSE(CR$7,Eu_tabel_g[[#This Row],[x base]]&gt;0,Eu_tabel_g[[#This Row],[x base]]&lt;0,Eu_tabel_g[[#This Row],[x base]]=0),Eu_tabel_g[[#This Row],[Styrke, aktiv]],NA())</f>
        <v>#N/A</v>
      </c>
      <c r="CU143" s="52" t="e">
        <f>IFERROR(IF($CR$3,Eu_tabel_g[[#This Row],[Styrke, aktiv]],NA()),NA())</f>
        <v>#N/A</v>
      </c>
      <c r="CV143" s="52" t="e">
        <f>IF(ISNA(Eu_tabel_g[[#This Row],[Sand negativ
Nulhypotese afvises
Korrekt]]),NA(),IF($CR$3,1,NA()))</f>
        <v>#N/A</v>
      </c>
      <c r="CW143" s="34" t="str" cm="1">
        <f t="array" ref="CW143">_xlfn.SWITCH(BZ143,_xlfn.IFNA(CU$2,-99),CU$5,_xlfn.IFNA(CU$3,-99),CU$6,_xlfn.IFNA(CU$4,-99),CU$7,"")</f>
        <v/>
      </c>
      <c r="DA143" s="7">
        <f t="shared" si="260"/>
        <v>0.8</v>
      </c>
      <c r="DB143">
        <f>IF(ROW(Styrkeberegning_G[[#This Row],[X base venstre]])=ROW(Styrkeberegning_G[[#Headers],[X base venstre]])+1,DB$7/(DA$7/$B$67),DB142/(DA142/$B$67))</f>
        <v>-2.8015817870135784</v>
      </c>
      <c r="DC143">
        <f>Styrkeberegning_G[[#This Row],[X base venstre]]*-1</f>
        <v>2.8015817870135784</v>
      </c>
      <c r="DN143" s="32">
        <f t="shared" si="261"/>
        <v>133</v>
      </c>
      <c r="DO143" s="32">
        <f t="shared" si="262"/>
        <v>134</v>
      </c>
      <c r="DP143" s="32">
        <f t="shared" si="263"/>
        <v>17.005276568114823</v>
      </c>
      <c r="DQ143" s="32" t="e">
        <f t="shared" si="264"/>
        <v>#N/A</v>
      </c>
      <c r="DR143" s="32" t="e">
        <f t="shared" si="265"/>
        <v>#N/A</v>
      </c>
      <c r="DS143" s="32">
        <f t="shared" si="266"/>
        <v>2.9543096760019427E-2</v>
      </c>
      <c r="DT143" s="32" t="e">
        <f t="shared" si="267"/>
        <v>#N/A</v>
      </c>
      <c r="DU143" s="32" t="b">
        <f t="shared" si="268"/>
        <v>0</v>
      </c>
      <c r="DV143" s="32" t="b">
        <f t="shared" si="269"/>
        <v>1</v>
      </c>
      <c r="DW143" s="32" t="b">
        <f t="shared" si="270"/>
        <v>0</v>
      </c>
      <c r="DX143" s="32" t="b">
        <f t="shared" si="271"/>
        <v>1</v>
      </c>
      <c r="DY143" s="32">
        <f t="shared" si="272"/>
        <v>2.9543096760019427E-2</v>
      </c>
      <c r="DZ143" s="32" t="e">
        <f t="shared" si="273"/>
        <v>#N/A</v>
      </c>
      <c r="EA143" s="32">
        <f t="shared" si="274"/>
        <v>2.9543096760019427E-2</v>
      </c>
      <c r="EB143" s="45" t="str">
        <f t="shared" si="275"/>
        <v/>
      </c>
      <c r="EG143" s="32">
        <f t="shared" si="276"/>
        <v>133</v>
      </c>
      <c r="EH143" s="32">
        <f t="shared" si="277"/>
        <v>134</v>
      </c>
      <c r="EI143" s="32">
        <f t="shared" si="278"/>
        <v>9.5821156780397043E-2</v>
      </c>
      <c r="EJ143" s="32">
        <f t="shared" si="279"/>
        <v>0.39711499501613434</v>
      </c>
      <c r="EK143" s="32" t="e">
        <f t="shared" si="280"/>
        <v>#N/A</v>
      </c>
      <c r="EL143" s="32" t="e">
        <f t="shared" si="281"/>
        <v>#N/A</v>
      </c>
      <c r="EM143" s="32" t="e">
        <f t="shared" si="282"/>
        <v>#N/A</v>
      </c>
      <c r="EN143" s="32" t="b">
        <f t="shared" si="283"/>
        <v>0</v>
      </c>
      <c r="EO143" s="32" t="b">
        <f t="shared" si="284"/>
        <v>1</v>
      </c>
      <c r="EP143" s="32" t="b">
        <f t="shared" si="285"/>
        <v>0</v>
      </c>
      <c r="EQ143" s="32" t="b">
        <f t="shared" si="286"/>
        <v>1</v>
      </c>
      <c r="ER143" s="32">
        <f t="shared" si="287"/>
        <v>0.39711499501613434</v>
      </c>
      <c r="ES143" s="32" t="e">
        <f t="shared" si="288"/>
        <v>#N/A</v>
      </c>
      <c r="ET143" s="32">
        <f t="shared" si="289"/>
        <v>0.39711499501613434</v>
      </c>
      <c r="EU143" s="45" t="str">
        <f t="shared" si="290"/>
        <v/>
      </c>
      <c r="EV14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3" s="32" t="e" cm="1">
        <f t="array" ref="EY143">IF($CR$3,INDEX(Eu_tabel_a[[#This Row],[Styrke venstre]:[Styrke tosidet]],EY$7),NA())</f>
        <v>#N/A</v>
      </c>
      <c r="EZ143" s="32" t="e">
        <f>IF(EY$3,IF(CHOOSE(EY$7,Eu_tabel_a[[#This Row],[x base]]&gt;0,Eu_tabel_a[[#This Row],[x base]]&lt;0,Eu_tabel_a[[#This Row],[x base]]=0),1,NA()),NA())</f>
        <v>#N/A</v>
      </c>
      <c r="FA143" s="32" t="e">
        <f>IF(CHOOSE(EY$7,Eu_tabel_a[[#This Row],[x base]]&gt;0,Eu_tabel_a[[#This Row],[x base]]&lt;0,Eu_tabel_a[[#This Row],[x base]]=0),Eu_tabel_a[[#This Row],[Styrke, aktiv]],NA())</f>
        <v>#N/A</v>
      </c>
      <c r="FB143" s="32" t="e">
        <f>IFERROR(IF($EY$3,Eu_tabel_a[[#This Row],[Styrke, aktiv]],NA()),NA())</f>
        <v>#N/A</v>
      </c>
      <c r="FC143" s="32" t="e">
        <f>IF(ISNA(Eu_tabel_a[[#This Row],[Sand negativ
Nulhypotese afvises
Korrekt]]),NA(),IF(EY$3,1,NA()))</f>
        <v>#N/A</v>
      </c>
      <c r="FD143" s="33" t="str" cm="1">
        <f t="array" ref="FD143">IFERROR(_xlfn.SWITCH(Eu_tabel_a[[#This Row],[Indeks]],_xlfn.IFNA(FB$2,-99),FB$5,_xlfn.IFNA(FB$3,-99),FB$6,_xlfn.IFNA(FB$4,-99),FB$7,""),"")</f>
        <v/>
      </c>
      <c r="FE143" s="32">
        <f>Eu_tabel_a[[#This Row],[x base]]*SQRT(Eu_a_h0_x*(1-Eu_a_h0_x)/Eu_a_n_x)+Eu_a_h0_x</f>
        <v>0</v>
      </c>
      <c r="FJ143" s="74" t="e">
        <f t="shared" si="234"/>
        <v>#N/A</v>
      </c>
      <c r="FK143" s="82" t="e">
        <f t="shared" si="218"/>
        <v>#DIV/0!</v>
      </c>
      <c r="FL143" s="7" t="e">
        <f t="shared" si="228"/>
        <v>#DIV/0!</v>
      </c>
      <c r="FM143" t="e">
        <f t="shared" si="219"/>
        <v>#DIV/0!</v>
      </c>
      <c r="FN143" s="8" t="e">
        <f t="shared" si="220"/>
        <v>#DIV/0!</v>
      </c>
      <c r="FO143" s="8" t="e">
        <f t="shared" si="221"/>
        <v>#DIV/0!</v>
      </c>
      <c r="FP143" s="81" t="e">
        <f t="shared" si="222"/>
        <v>#DIV/0!</v>
      </c>
      <c r="FQ143" s="74" t="e">
        <f t="shared" ca="1" si="229"/>
        <v>#N/A</v>
      </c>
      <c r="FR143" s="82" t="e" vm="3">
        <f t="shared" ca="1" si="235"/>
        <v>#VALUE!</v>
      </c>
      <c r="FS143" s="7" t="e" vm="3">
        <f t="shared" ca="1" si="230"/>
        <v>#VALUE!</v>
      </c>
      <c r="FT143" t="e" vm="3">
        <f t="shared" ca="1" si="224"/>
        <v>#VALUE!</v>
      </c>
      <c r="FU143" s="8" t="e" vm="3">
        <f t="shared" ca="1" si="225"/>
        <v>#VALUE!</v>
      </c>
      <c r="FV143" s="8" t="e" vm="3">
        <f t="shared" ca="1" si="226"/>
        <v>#VALUE!</v>
      </c>
      <c r="FW143" s="81" t="e" vm="3">
        <f t="shared" ca="1" si="227"/>
        <v>#VALUE!</v>
      </c>
      <c r="FX143" s="74" t="e">
        <f t="shared" si="231"/>
        <v>#N/A</v>
      </c>
      <c r="FY143" s="82" t="e">
        <f t="shared" si="236"/>
        <v>#N/A</v>
      </c>
      <c r="FZ143" s="7" t="e">
        <f t="shared" si="232"/>
        <v>#N/A</v>
      </c>
      <c r="GA143" t="e">
        <f t="shared" si="237"/>
        <v>#N/A</v>
      </c>
      <c r="GB143" s="8" t="e">
        <f t="shared" si="238"/>
        <v>#N/A</v>
      </c>
      <c r="GC143" s="8" t="e">
        <f t="shared" si="239"/>
        <v>#N/A</v>
      </c>
      <c r="GD143" s="81" t="e">
        <f t="shared" si="240"/>
        <v>#N/A</v>
      </c>
      <c r="GE143" s="74" t="e">
        <f t="shared" si="241"/>
        <v>#N/A</v>
      </c>
      <c r="GF143" s="82" t="e">
        <f t="shared" si="242"/>
        <v>#N/A</v>
      </c>
      <c r="GG143" s="7" t="e">
        <f t="shared" si="233"/>
        <v>#N/A</v>
      </c>
      <c r="GH143" t="e">
        <f t="shared" si="243"/>
        <v>#N/A</v>
      </c>
      <c r="GI143" s="8" t="e">
        <f t="shared" si="244"/>
        <v>#N/A</v>
      </c>
      <c r="GJ143" s="8" t="e">
        <f t="shared" si="245"/>
        <v>#N/A</v>
      </c>
      <c r="GK143" s="81" t="e">
        <f t="shared" si="246"/>
        <v>#N/A</v>
      </c>
      <c r="GL143" s="81"/>
      <c r="GM143" s="81"/>
      <c r="GP143" s="32">
        <f t="shared" si="291"/>
        <v>133</v>
      </c>
      <c r="GQ143" s="32">
        <f t="shared" si="292"/>
        <v>134</v>
      </c>
      <c r="GR143" s="32">
        <f t="shared" si="293"/>
        <v>9.5821156780397043E-2</v>
      </c>
      <c r="GS143" s="32">
        <f t="shared" si="294"/>
        <v>0.39711499501613434</v>
      </c>
      <c r="GT143" s="32" t="e">
        <f t="shared" si="295"/>
        <v>#N/A</v>
      </c>
      <c r="GU143" s="32" t="e">
        <f t="shared" si="296"/>
        <v>#N/A</v>
      </c>
      <c r="GV143" s="32" t="e">
        <f t="shared" si="297"/>
        <v>#N/A</v>
      </c>
      <c r="GW143" s="32" t="b">
        <f t="shared" si="298"/>
        <v>0</v>
      </c>
      <c r="GX143" s="32" t="b">
        <f t="shared" si="299"/>
        <v>1</v>
      </c>
      <c r="GY143" s="32" t="b">
        <f t="shared" si="300"/>
        <v>0</v>
      </c>
      <c r="GZ143" s="32" t="b">
        <f t="shared" si="301"/>
        <v>1</v>
      </c>
      <c r="HA143" s="32">
        <f t="shared" si="302"/>
        <v>0.39711499501613434</v>
      </c>
      <c r="HB143" s="32" t="e">
        <f t="shared" si="303"/>
        <v>#N/A</v>
      </c>
      <c r="HC143" s="32">
        <f t="shared" si="304"/>
        <v>0.39711499501613434</v>
      </c>
      <c r="HD143" s="45" t="str">
        <f t="shared" si="305"/>
        <v/>
      </c>
      <c r="HJ143" s="32">
        <f t="shared" si="306"/>
        <v>133</v>
      </c>
      <c r="HK143" s="32">
        <f t="shared" si="307"/>
        <v>134</v>
      </c>
      <c r="HL143" s="32">
        <f t="shared" si="308"/>
        <v>0.14838107375622744</v>
      </c>
      <c r="HM143" s="32" t="e">
        <f t="shared" si="309"/>
        <v>#N/A</v>
      </c>
      <c r="HN143" s="32">
        <f t="shared" si="310"/>
        <v>0.38018567897028177</v>
      </c>
      <c r="HO143" s="32" t="e">
        <f t="shared" si="311"/>
        <v>#N/A</v>
      </c>
      <c r="HP143" s="32" t="e">
        <f t="shared" si="312"/>
        <v>#N/A</v>
      </c>
      <c r="HQ143" s="32" t="b">
        <f t="shared" si="313"/>
        <v>1</v>
      </c>
      <c r="HR143" s="32" t="b">
        <f t="shared" si="314"/>
        <v>0</v>
      </c>
      <c r="HS143" s="32" t="b">
        <f t="shared" si="315"/>
        <v>0</v>
      </c>
      <c r="HT143" s="32" t="b">
        <f t="shared" si="316"/>
        <v>1</v>
      </c>
      <c r="HU143" s="32">
        <f t="shared" si="317"/>
        <v>0.38018567897028177</v>
      </c>
      <c r="HV143" s="32">
        <f t="shared" si="318"/>
        <v>0.38018567897028177</v>
      </c>
      <c r="HW143" s="32" t="e">
        <f t="shared" si="319"/>
        <v>#N/A</v>
      </c>
      <c r="HX143" s="45" t="str">
        <f t="shared" si="320"/>
        <v/>
      </c>
    </row>
    <row r="144" spans="78:232" x14ac:dyDescent="0.2">
      <c r="BZ144" s="32">
        <f t="shared" si="247"/>
        <v>134</v>
      </c>
      <c r="CA144" s="32">
        <f>Eu_tabel_g[[#This Row],[Indeks]]+1</f>
        <v>135</v>
      </c>
      <c r="CB144" s="32">
        <f t="shared" si="248"/>
        <v>0.11977644597549642</v>
      </c>
      <c r="CC144" s="32">
        <f t="shared" si="249"/>
        <v>0.39609082747762636</v>
      </c>
      <c r="CD144" s="32" t="e">
        <f t="shared" si="250"/>
        <v>#N/A</v>
      </c>
      <c r="CE144" s="32" t="e">
        <f t="shared" si="251"/>
        <v>#N/A</v>
      </c>
      <c r="CF144" s="32" t="e">
        <f t="shared" si="252"/>
        <v>#N/A</v>
      </c>
      <c r="CG144" s="32" t="b">
        <f t="shared" si="253"/>
        <v>0</v>
      </c>
      <c r="CH144" s="32" t="b">
        <f t="shared" si="254"/>
        <v>1</v>
      </c>
      <c r="CI144" s="32" t="b">
        <f t="shared" si="255"/>
        <v>0</v>
      </c>
      <c r="CJ144" s="32" t="b">
        <f t="shared" si="256"/>
        <v>1</v>
      </c>
      <c r="CK144" s="32">
        <f t="shared" si="223"/>
        <v>0.39609082747762636</v>
      </c>
      <c r="CL144" s="32" t="e">
        <f t="shared" si="257"/>
        <v>#N/A</v>
      </c>
      <c r="CM144" s="32">
        <f t="shared" si="258"/>
        <v>0.39609082747762636</v>
      </c>
      <c r="CN144" s="45" t="str">
        <f t="shared" si="259"/>
        <v/>
      </c>
      <c r="CO144" s="32">
        <f>_xlfn.NORM.DIST(_xlfn.NORM.INV(1-Eu_g_konfidensniveau,0,1)-Eu_tabel_g[[#This Row],[x base]],0,1,TRUE)</f>
        <v>3.8812978922329114E-2</v>
      </c>
      <c r="CP144" s="32">
        <f>1-_xlfn.NORM.DIST(_xlfn.NORM.INV(Eu_g_konfidensniveau,0,1)-Eu_tabel_g[[#This Row],[x base]],0,1,TRUE)</f>
        <v>6.3619924028872621E-2</v>
      </c>
      <c r="CQ144" s="32">
        <f>_xlfn.NORM.DIST(_xlfn.NORM.INV((1-Eu_g_konfidensniveau)/2,0,1)-Eu_tabel_g[[#This Row],[x base]],0,1,TRUE)+1-_xlfn.NORM.DIST(_xlfn.NORM.INV(1-(1-Eu_g_konfidensniveau)/2,0,1)-Eu_tabel_g[[#This Row],[x base]],0,1,TRUE)</f>
        <v>5.1645028210794308E-2</v>
      </c>
      <c r="CR144" s="32" t="e" cm="1">
        <f t="array" ref="CR144">IF($CR$3,INDEX(Eu_tabel_g[[#This Row],[Styrke venstre]:[Styrke tosidet]],CR$7),NA())</f>
        <v>#N/A</v>
      </c>
      <c r="CS144" s="52" t="e">
        <f>Eu_tabel_g[[#This Row],[Falsk positiv
Nulhypotese accepteres
Fejltype 1]]</f>
        <v>#N/A</v>
      </c>
      <c r="CT144" s="52" t="e">
        <f>IF(CHOOSE(CR$7,Eu_tabel_g[[#This Row],[x base]]&gt;0,Eu_tabel_g[[#This Row],[x base]]&lt;0,Eu_tabel_g[[#This Row],[x base]]=0),Eu_tabel_g[[#This Row],[Styrke, aktiv]],NA())</f>
        <v>#N/A</v>
      </c>
      <c r="CU144" s="52" t="e">
        <f>IFERROR(IF($CR$3,Eu_tabel_g[[#This Row],[Styrke, aktiv]],NA()),NA())</f>
        <v>#N/A</v>
      </c>
      <c r="CV144" s="52" t="e">
        <f>IF(ISNA(Eu_tabel_g[[#This Row],[Sand negativ
Nulhypotese afvises
Korrekt]]),NA(),IF($CR$3,1,NA()))</f>
        <v>#N/A</v>
      </c>
      <c r="CW144" s="34" t="str" cm="1">
        <f t="array" ref="CW144">_xlfn.SWITCH(BZ144,_xlfn.IFNA(CU$2,-99),CU$5,_xlfn.IFNA(CU$3,-99),CU$6,_xlfn.IFNA(CU$4,-99),CU$7,"")</f>
        <v/>
      </c>
      <c r="DA144" s="7">
        <f t="shared" si="260"/>
        <v>0.8</v>
      </c>
      <c r="DB144">
        <f>IF(ROW(Styrkeberegning_G[[#This Row],[X base venstre]])=ROW(Styrkeberegning_G[[#Headers],[X base venstre]])+1,DB$7/(DA$7/$B$67),DB143/(DA143/$B$67))</f>
        <v>-2.8015817870135784</v>
      </c>
      <c r="DC144">
        <f>Styrkeberegning_G[[#This Row],[X base venstre]]*-1</f>
        <v>2.8015817870135784</v>
      </c>
      <c r="DN144" s="32">
        <f t="shared" si="261"/>
        <v>134</v>
      </c>
      <c r="DO144" s="32">
        <f t="shared" si="262"/>
        <v>135</v>
      </c>
      <c r="DP144" s="32">
        <f t="shared" si="263"/>
        <v>17.119347424531824</v>
      </c>
      <c r="DQ144" s="32" t="e">
        <f t="shared" si="264"/>
        <v>#N/A</v>
      </c>
      <c r="DR144" s="32" t="e">
        <f t="shared" si="265"/>
        <v>#N/A</v>
      </c>
      <c r="DS144" s="32">
        <f t="shared" si="266"/>
        <v>2.8757532737699435E-2</v>
      </c>
      <c r="DT144" s="32" t="e">
        <f t="shared" si="267"/>
        <v>#N/A</v>
      </c>
      <c r="DU144" s="32" t="b">
        <f t="shared" si="268"/>
        <v>0</v>
      </c>
      <c r="DV144" s="32" t="b">
        <f t="shared" si="269"/>
        <v>1</v>
      </c>
      <c r="DW144" s="32" t="b">
        <f t="shared" si="270"/>
        <v>0</v>
      </c>
      <c r="DX144" s="32" t="b">
        <f t="shared" si="271"/>
        <v>1</v>
      </c>
      <c r="DY144" s="32">
        <f t="shared" si="272"/>
        <v>2.8757532737699435E-2</v>
      </c>
      <c r="DZ144" s="32" t="e">
        <f t="shared" si="273"/>
        <v>#N/A</v>
      </c>
      <c r="EA144" s="32">
        <f t="shared" si="274"/>
        <v>2.8757532737699435E-2</v>
      </c>
      <c r="EB144" s="45" t="str">
        <f t="shared" si="275"/>
        <v/>
      </c>
      <c r="EG144" s="32">
        <f t="shared" si="276"/>
        <v>134</v>
      </c>
      <c r="EH144" s="32">
        <f t="shared" si="277"/>
        <v>135</v>
      </c>
      <c r="EI144" s="32">
        <f t="shared" si="278"/>
        <v>0.11977644597549642</v>
      </c>
      <c r="EJ144" s="32">
        <f t="shared" si="279"/>
        <v>0.39609082747762636</v>
      </c>
      <c r="EK144" s="32" t="e">
        <f t="shared" si="280"/>
        <v>#N/A</v>
      </c>
      <c r="EL144" s="32" t="e">
        <f t="shared" si="281"/>
        <v>#N/A</v>
      </c>
      <c r="EM144" s="32" t="e">
        <f t="shared" si="282"/>
        <v>#N/A</v>
      </c>
      <c r="EN144" s="32" t="b">
        <f t="shared" si="283"/>
        <v>0</v>
      </c>
      <c r="EO144" s="32" t="b">
        <f t="shared" si="284"/>
        <v>1</v>
      </c>
      <c r="EP144" s="32" t="b">
        <f t="shared" si="285"/>
        <v>0</v>
      </c>
      <c r="EQ144" s="32" t="b">
        <f t="shared" si="286"/>
        <v>1</v>
      </c>
      <c r="ER144" s="32">
        <f t="shared" si="287"/>
        <v>0.39609082747762636</v>
      </c>
      <c r="ES144" s="32" t="e">
        <f t="shared" si="288"/>
        <v>#N/A</v>
      </c>
      <c r="ET144" s="32">
        <f t="shared" si="289"/>
        <v>0.39609082747762636</v>
      </c>
      <c r="EU144" s="45" t="str">
        <f t="shared" si="290"/>
        <v/>
      </c>
      <c r="EV14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4" s="32" t="e" cm="1">
        <f t="array" ref="EY144">IF($CR$3,INDEX(Eu_tabel_a[[#This Row],[Styrke venstre]:[Styrke tosidet]],EY$7),NA())</f>
        <v>#N/A</v>
      </c>
      <c r="EZ144" s="32" t="e">
        <f>IF(EY$3,IF(CHOOSE(EY$7,Eu_tabel_a[[#This Row],[x base]]&gt;0,Eu_tabel_a[[#This Row],[x base]]&lt;0,Eu_tabel_a[[#This Row],[x base]]=0),1,NA()),NA())</f>
        <v>#N/A</v>
      </c>
      <c r="FA144" s="32" t="e">
        <f>IF(CHOOSE(EY$7,Eu_tabel_a[[#This Row],[x base]]&gt;0,Eu_tabel_a[[#This Row],[x base]]&lt;0,Eu_tabel_a[[#This Row],[x base]]=0),Eu_tabel_a[[#This Row],[Styrke, aktiv]],NA())</f>
        <v>#N/A</v>
      </c>
      <c r="FB144" s="32" t="e">
        <f>IFERROR(IF($EY$3,Eu_tabel_a[[#This Row],[Styrke, aktiv]],NA()),NA())</f>
        <v>#N/A</v>
      </c>
      <c r="FC144" s="32" t="e">
        <f>IF(ISNA(Eu_tabel_a[[#This Row],[Sand negativ
Nulhypotese afvises
Korrekt]]),NA(),IF(EY$3,1,NA()))</f>
        <v>#N/A</v>
      </c>
      <c r="FD144" s="33" t="str" cm="1">
        <f t="array" ref="FD144">IFERROR(_xlfn.SWITCH(Eu_tabel_a[[#This Row],[Indeks]],_xlfn.IFNA(FB$2,-99),FB$5,_xlfn.IFNA(FB$3,-99),FB$6,_xlfn.IFNA(FB$4,-99),FB$7,""),"")</f>
        <v/>
      </c>
      <c r="FE144" s="32">
        <f>Eu_tabel_a[[#This Row],[x base]]*SQRT(Eu_a_h0_x*(1-Eu_a_h0_x)/Eu_a_n_x)+Eu_a_h0_x</f>
        <v>0</v>
      </c>
      <c r="FJ144" s="74" t="e">
        <f t="shared" si="234"/>
        <v>#N/A</v>
      </c>
      <c r="FK144" s="82" t="e">
        <f t="shared" si="218"/>
        <v>#DIV/0!</v>
      </c>
      <c r="FL144" s="7" t="e">
        <f t="shared" si="228"/>
        <v>#DIV/0!</v>
      </c>
      <c r="FM144" t="e">
        <f t="shared" si="219"/>
        <v>#DIV/0!</v>
      </c>
      <c r="FN144" s="8" t="e">
        <f t="shared" si="220"/>
        <v>#DIV/0!</v>
      </c>
      <c r="FO144" s="8" t="e">
        <f t="shared" si="221"/>
        <v>#DIV/0!</v>
      </c>
      <c r="FP144" s="81" t="e">
        <f t="shared" si="222"/>
        <v>#DIV/0!</v>
      </c>
      <c r="FQ144" s="74" t="e">
        <f t="shared" ca="1" si="229"/>
        <v>#N/A</v>
      </c>
      <c r="FR144" s="82" t="e" vm="3">
        <f t="shared" ca="1" si="235"/>
        <v>#VALUE!</v>
      </c>
      <c r="FS144" s="7" t="e" vm="3">
        <f t="shared" ca="1" si="230"/>
        <v>#VALUE!</v>
      </c>
      <c r="FT144" t="e" vm="3">
        <f t="shared" ca="1" si="224"/>
        <v>#VALUE!</v>
      </c>
      <c r="FU144" s="8" t="e" vm="3">
        <f t="shared" ca="1" si="225"/>
        <v>#VALUE!</v>
      </c>
      <c r="FV144" s="8" t="e" vm="3">
        <f t="shared" ca="1" si="226"/>
        <v>#VALUE!</v>
      </c>
      <c r="FW144" s="81" t="e" vm="3">
        <f t="shared" ca="1" si="227"/>
        <v>#VALUE!</v>
      </c>
      <c r="FX144" s="74" t="e">
        <f t="shared" si="231"/>
        <v>#N/A</v>
      </c>
      <c r="FY144" s="82" t="e">
        <f t="shared" si="236"/>
        <v>#N/A</v>
      </c>
      <c r="FZ144" s="7" t="e">
        <f t="shared" si="232"/>
        <v>#N/A</v>
      </c>
      <c r="GA144" t="e">
        <f t="shared" si="237"/>
        <v>#N/A</v>
      </c>
      <c r="GB144" s="8" t="e">
        <f t="shared" si="238"/>
        <v>#N/A</v>
      </c>
      <c r="GC144" s="8" t="e">
        <f t="shared" si="239"/>
        <v>#N/A</v>
      </c>
      <c r="GD144" s="81" t="e">
        <f t="shared" si="240"/>
        <v>#N/A</v>
      </c>
      <c r="GE144" s="74" t="e">
        <f t="shared" si="241"/>
        <v>#N/A</v>
      </c>
      <c r="GF144" s="82" t="e">
        <f t="shared" si="242"/>
        <v>#N/A</v>
      </c>
      <c r="GG144" s="7" t="e">
        <f t="shared" si="233"/>
        <v>#N/A</v>
      </c>
      <c r="GH144" t="e">
        <f t="shared" si="243"/>
        <v>#N/A</v>
      </c>
      <c r="GI144" s="8" t="e">
        <f t="shared" si="244"/>
        <v>#N/A</v>
      </c>
      <c r="GJ144" s="8" t="e">
        <f t="shared" si="245"/>
        <v>#N/A</v>
      </c>
      <c r="GK144" s="81" t="e">
        <f t="shared" si="246"/>
        <v>#N/A</v>
      </c>
      <c r="GL144" s="81"/>
      <c r="GM144" s="81"/>
      <c r="GP144" s="32">
        <f t="shared" si="291"/>
        <v>134</v>
      </c>
      <c r="GQ144" s="32">
        <f t="shared" si="292"/>
        <v>135</v>
      </c>
      <c r="GR144" s="32">
        <f t="shared" si="293"/>
        <v>0.11977644597549642</v>
      </c>
      <c r="GS144" s="32">
        <f t="shared" si="294"/>
        <v>0.39609082747762636</v>
      </c>
      <c r="GT144" s="32" t="e">
        <f t="shared" si="295"/>
        <v>#N/A</v>
      </c>
      <c r="GU144" s="32" t="e">
        <f t="shared" si="296"/>
        <v>#N/A</v>
      </c>
      <c r="GV144" s="32" t="e">
        <f t="shared" si="297"/>
        <v>#N/A</v>
      </c>
      <c r="GW144" s="32" t="b">
        <f t="shared" si="298"/>
        <v>0</v>
      </c>
      <c r="GX144" s="32" t="b">
        <f t="shared" si="299"/>
        <v>1</v>
      </c>
      <c r="GY144" s="32" t="b">
        <f t="shared" si="300"/>
        <v>0</v>
      </c>
      <c r="GZ144" s="32" t="b">
        <f t="shared" si="301"/>
        <v>1</v>
      </c>
      <c r="HA144" s="32">
        <f t="shared" si="302"/>
        <v>0.39609082747762636</v>
      </c>
      <c r="HB144" s="32" t="e">
        <f t="shared" si="303"/>
        <v>#N/A</v>
      </c>
      <c r="HC144" s="32">
        <f t="shared" si="304"/>
        <v>0.39609082747762636</v>
      </c>
      <c r="HD144" s="45" t="str">
        <f t="shared" si="305"/>
        <v/>
      </c>
      <c r="HJ144" s="32">
        <f t="shared" si="306"/>
        <v>134</v>
      </c>
      <c r="HK144" s="32">
        <f t="shared" si="307"/>
        <v>135</v>
      </c>
      <c r="HL144" s="32">
        <f t="shared" si="308"/>
        <v>0.18547634219528408</v>
      </c>
      <c r="HM144" s="32" t="e">
        <f t="shared" si="309"/>
        <v>#N/A</v>
      </c>
      <c r="HN144" s="32">
        <f t="shared" si="310"/>
        <v>0.37751537276303793</v>
      </c>
      <c r="HO144" s="32" t="e">
        <f t="shared" si="311"/>
        <v>#N/A</v>
      </c>
      <c r="HP144" s="32" t="e">
        <f t="shared" si="312"/>
        <v>#N/A</v>
      </c>
      <c r="HQ144" s="32" t="b">
        <f t="shared" si="313"/>
        <v>1</v>
      </c>
      <c r="HR144" s="32" t="b">
        <f t="shared" si="314"/>
        <v>0</v>
      </c>
      <c r="HS144" s="32" t="b">
        <f t="shared" si="315"/>
        <v>0</v>
      </c>
      <c r="HT144" s="32" t="b">
        <f t="shared" si="316"/>
        <v>1</v>
      </c>
      <c r="HU144" s="32">
        <f t="shared" si="317"/>
        <v>0.37751537276303793</v>
      </c>
      <c r="HV144" s="32">
        <f t="shared" si="318"/>
        <v>0.37751537276303793</v>
      </c>
      <c r="HW144" s="32" t="e">
        <f t="shared" si="319"/>
        <v>#N/A</v>
      </c>
      <c r="HX144" s="45" t="str">
        <f t="shared" si="320"/>
        <v/>
      </c>
    </row>
    <row r="145" spans="78:232" x14ac:dyDescent="0.2">
      <c r="BZ145" s="32">
        <f t="shared" si="247"/>
        <v>135</v>
      </c>
      <c r="CA145" s="32">
        <f>Eu_tabel_g[[#This Row],[Indeks]]+1</f>
        <v>136</v>
      </c>
      <c r="CB145" s="32">
        <f t="shared" si="248"/>
        <v>0.14373173517059579</v>
      </c>
      <c r="CC145" s="32">
        <f t="shared" si="249"/>
        <v>0.39484265348383518</v>
      </c>
      <c r="CD145" s="32" t="e">
        <f t="shared" si="250"/>
        <v>#N/A</v>
      </c>
      <c r="CE145" s="32" t="e">
        <f t="shared" si="251"/>
        <v>#N/A</v>
      </c>
      <c r="CF145" s="32" t="e">
        <f t="shared" si="252"/>
        <v>#N/A</v>
      </c>
      <c r="CG145" s="32" t="b">
        <f t="shared" si="253"/>
        <v>0</v>
      </c>
      <c r="CH145" s="32" t="b">
        <f t="shared" si="254"/>
        <v>1</v>
      </c>
      <c r="CI145" s="32" t="b">
        <f t="shared" si="255"/>
        <v>0</v>
      </c>
      <c r="CJ145" s="32" t="b">
        <f t="shared" si="256"/>
        <v>1</v>
      </c>
      <c r="CK145" s="32">
        <f t="shared" si="223"/>
        <v>0.39484265348383518</v>
      </c>
      <c r="CL145" s="32" t="e">
        <f t="shared" si="257"/>
        <v>#N/A</v>
      </c>
      <c r="CM145" s="32">
        <f t="shared" si="258"/>
        <v>0.39484265348383518</v>
      </c>
      <c r="CN145" s="45" t="str">
        <f t="shared" si="259"/>
        <v/>
      </c>
      <c r="CO145" s="32">
        <f>_xlfn.NORM.DIST(_xlfn.NORM.INV(1-Eu_g_konfidensniveau,0,1)-Eu_tabel_g[[#This Row],[x base]],0,1,TRUE)</f>
        <v>3.6840808495973203E-2</v>
      </c>
      <c r="CP145" s="32">
        <f>1-_xlfn.NORM.DIST(_xlfn.NORM.INV(Eu_g_konfidensniveau,0,1)-Eu_tabel_g[[#This Row],[x base]],0,1,TRUE)</f>
        <v>6.6662018766824094E-2</v>
      </c>
      <c r="CQ145" s="32">
        <f>_xlfn.NORM.DIST(_xlfn.NORM.INV((1-Eu_g_konfidensniveau)/2,0,1)-Eu_tabel_g[[#This Row],[x base]],0,1,TRUE)+1-_xlfn.NORM.DIST(_xlfn.NORM.INV(1-(1-Eu_g_konfidensniveau)/2,0,1)-Eu_tabel_g[[#This Row],[x base]],0,1,TRUE)</f>
        <v>5.2369875565396296E-2</v>
      </c>
      <c r="CR145" s="32" t="e" cm="1">
        <f t="array" ref="CR145">IF($CR$3,INDEX(Eu_tabel_g[[#This Row],[Styrke venstre]:[Styrke tosidet]],CR$7),NA())</f>
        <v>#N/A</v>
      </c>
      <c r="CS145" s="52" t="e">
        <f>Eu_tabel_g[[#This Row],[Falsk positiv
Nulhypotese accepteres
Fejltype 1]]</f>
        <v>#N/A</v>
      </c>
      <c r="CT145" s="52" t="e">
        <f>IF(CHOOSE(CR$7,Eu_tabel_g[[#This Row],[x base]]&gt;0,Eu_tabel_g[[#This Row],[x base]]&lt;0,Eu_tabel_g[[#This Row],[x base]]=0),Eu_tabel_g[[#This Row],[Styrke, aktiv]],NA())</f>
        <v>#N/A</v>
      </c>
      <c r="CU145" s="52" t="e">
        <f>IFERROR(IF($CR$3,Eu_tabel_g[[#This Row],[Styrke, aktiv]],NA()),NA())</f>
        <v>#N/A</v>
      </c>
      <c r="CV145" s="52" t="e">
        <f>IF(ISNA(Eu_tabel_g[[#This Row],[Sand negativ
Nulhypotese afvises
Korrekt]]),NA(),IF($CR$3,1,NA()))</f>
        <v>#N/A</v>
      </c>
      <c r="CW145" s="34" t="str" cm="1">
        <f t="array" ref="CW145">_xlfn.SWITCH(BZ145,_xlfn.IFNA(CU$2,-99),CU$5,_xlfn.IFNA(CU$3,-99),CU$6,_xlfn.IFNA(CU$4,-99),CU$7,"")</f>
        <v/>
      </c>
      <c r="DA145" s="7">
        <f t="shared" si="260"/>
        <v>0.8</v>
      </c>
      <c r="DB145">
        <f>IF(ROW(Styrkeberegning_G[[#This Row],[X base venstre]])=ROW(Styrkeberegning_G[[#Headers],[X base venstre]])+1,DB$7/(DA$7/$B$67),DB144/(DA144/$B$67))</f>
        <v>-2.8015817870135784</v>
      </c>
      <c r="DC145">
        <f>Styrkeberegning_G[[#This Row],[X base venstre]]*-1</f>
        <v>2.8015817870135784</v>
      </c>
      <c r="DN145" s="32">
        <f t="shared" si="261"/>
        <v>135</v>
      </c>
      <c r="DO145" s="32">
        <f t="shared" si="262"/>
        <v>136</v>
      </c>
      <c r="DP145" s="32">
        <f t="shared" si="263"/>
        <v>17.233418280948825</v>
      </c>
      <c r="DQ145" s="32" t="e">
        <f t="shared" si="264"/>
        <v>#N/A</v>
      </c>
      <c r="DR145" s="32" t="e">
        <f t="shared" si="265"/>
        <v>#N/A</v>
      </c>
      <c r="DS145" s="32">
        <f t="shared" si="266"/>
        <v>2.798726477492559E-2</v>
      </c>
      <c r="DT145" s="32" t="e">
        <f t="shared" si="267"/>
        <v>#N/A</v>
      </c>
      <c r="DU145" s="32" t="b">
        <f t="shared" si="268"/>
        <v>0</v>
      </c>
      <c r="DV145" s="32" t="b">
        <f t="shared" si="269"/>
        <v>1</v>
      </c>
      <c r="DW145" s="32" t="b">
        <f t="shared" si="270"/>
        <v>0</v>
      </c>
      <c r="DX145" s="32" t="b">
        <f t="shared" si="271"/>
        <v>1</v>
      </c>
      <c r="DY145" s="32">
        <f t="shared" si="272"/>
        <v>2.798726477492559E-2</v>
      </c>
      <c r="DZ145" s="32" t="e">
        <f t="shared" si="273"/>
        <v>#N/A</v>
      </c>
      <c r="EA145" s="32">
        <f t="shared" si="274"/>
        <v>2.798726477492559E-2</v>
      </c>
      <c r="EB145" s="45" t="str">
        <f t="shared" si="275"/>
        <v/>
      </c>
      <c r="EG145" s="32">
        <f t="shared" si="276"/>
        <v>135</v>
      </c>
      <c r="EH145" s="32">
        <f t="shared" si="277"/>
        <v>136</v>
      </c>
      <c r="EI145" s="32">
        <f t="shared" si="278"/>
        <v>0.14373173517059579</v>
      </c>
      <c r="EJ145" s="32">
        <f t="shared" si="279"/>
        <v>0.39484265348383518</v>
      </c>
      <c r="EK145" s="32" t="e">
        <f t="shared" si="280"/>
        <v>#N/A</v>
      </c>
      <c r="EL145" s="32" t="e">
        <f t="shared" si="281"/>
        <v>#N/A</v>
      </c>
      <c r="EM145" s="32" t="e">
        <f t="shared" si="282"/>
        <v>#N/A</v>
      </c>
      <c r="EN145" s="32" t="b">
        <f t="shared" si="283"/>
        <v>0</v>
      </c>
      <c r="EO145" s="32" t="b">
        <f t="shared" si="284"/>
        <v>1</v>
      </c>
      <c r="EP145" s="32" t="b">
        <f t="shared" si="285"/>
        <v>0</v>
      </c>
      <c r="EQ145" s="32" t="b">
        <f t="shared" si="286"/>
        <v>1</v>
      </c>
      <c r="ER145" s="32">
        <f t="shared" si="287"/>
        <v>0.39484265348383518</v>
      </c>
      <c r="ES145" s="32" t="e">
        <f t="shared" si="288"/>
        <v>#N/A</v>
      </c>
      <c r="ET145" s="32">
        <f t="shared" si="289"/>
        <v>0.39484265348383518</v>
      </c>
      <c r="EU145" s="45" t="str">
        <f t="shared" si="290"/>
        <v/>
      </c>
      <c r="EV14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5" s="32" t="e" cm="1">
        <f t="array" ref="EY145">IF($CR$3,INDEX(Eu_tabel_a[[#This Row],[Styrke venstre]:[Styrke tosidet]],EY$7),NA())</f>
        <v>#N/A</v>
      </c>
      <c r="EZ145" s="32" t="e">
        <f>IF(EY$3,IF(CHOOSE(EY$7,Eu_tabel_a[[#This Row],[x base]]&gt;0,Eu_tabel_a[[#This Row],[x base]]&lt;0,Eu_tabel_a[[#This Row],[x base]]=0),1,NA()),NA())</f>
        <v>#N/A</v>
      </c>
      <c r="FA145" s="32" t="e">
        <f>IF(CHOOSE(EY$7,Eu_tabel_a[[#This Row],[x base]]&gt;0,Eu_tabel_a[[#This Row],[x base]]&lt;0,Eu_tabel_a[[#This Row],[x base]]=0),Eu_tabel_a[[#This Row],[Styrke, aktiv]],NA())</f>
        <v>#N/A</v>
      </c>
      <c r="FB145" s="32" t="e">
        <f>IFERROR(IF($EY$3,Eu_tabel_a[[#This Row],[Styrke, aktiv]],NA()),NA())</f>
        <v>#N/A</v>
      </c>
      <c r="FC145" s="32" t="e">
        <f>IF(ISNA(Eu_tabel_a[[#This Row],[Sand negativ
Nulhypotese afvises
Korrekt]]),NA(),IF(EY$3,1,NA()))</f>
        <v>#N/A</v>
      </c>
      <c r="FD145" s="33" t="str" cm="1">
        <f t="array" ref="FD145">IFERROR(_xlfn.SWITCH(Eu_tabel_a[[#This Row],[Indeks]],_xlfn.IFNA(FB$2,-99),FB$5,_xlfn.IFNA(FB$3,-99),FB$6,_xlfn.IFNA(FB$4,-99),FB$7,""),"")</f>
        <v/>
      </c>
      <c r="FE145" s="32">
        <f>Eu_tabel_a[[#This Row],[x base]]*SQRT(Eu_a_h0_x*(1-Eu_a_h0_x)/Eu_a_n_x)+Eu_a_h0_x</f>
        <v>0</v>
      </c>
      <c r="FJ145" s="74" t="e">
        <f t="shared" si="234"/>
        <v>#N/A</v>
      </c>
      <c r="FK145" s="82" t="e">
        <f t="shared" si="218"/>
        <v>#DIV/0!</v>
      </c>
      <c r="FL145" s="7" t="e">
        <f t="shared" si="228"/>
        <v>#DIV/0!</v>
      </c>
      <c r="FM145" t="e">
        <f t="shared" si="219"/>
        <v>#DIV/0!</v>
      </c>
      <c r="FN145" s="8" t="e">
        <f t="shared" si="220"/>
        <v>#DIV/0!</v>
      </c>
      <c r="FO145" s="8" t="e">
        <f t="shared" si="221"/>
        <v>#DIV/0!</v>
      </c>
      <c r="FP145" s="81" t="e">
        <f t="shared" si="222"/>
        <v>#DIV/0!</v>
      </c>
      <c r="FQ145" s="74" t="e">
        <f t="shared" ca="1" si="229"/>
        <v>#N/A</v>
      </c>
      <c r="FR145" s="82" t="e" vm="3">
        <f t="shared" ca="1" si="235"/>
        <v>#VALUE!</v>
      </c>
      <c r="FS145" s="7" t="e" vm="3">
        <f t="shared" ca="1" si="230"/>
        <v>#VALUE!</v>
      </c>
      <c r="FT145" t="e" vm="3">
        <f t="shared" ca="1" si="224"/>
        <v>#VALUE!</v>
      </c>
      <c r="FU145" s="8" t="e" vm="3">
        <f t="shared" ca="1" si="225"/>
        <v>#VALUE!</v>
      </c>
      <c r="FV145" s="8" t="e" vm="3">
        <f t="shared" ca="1" si="226"/>
        <v>#VALUE!</v>
      </c>
      <c r="FW145" s="81" t="e" vm="3">
        <f t="shared" ca="1" si="227"/>
        <v>#VALUE!</v>
      </c>
      <c r="FX145" s="74" t="e">
        <f t="shared" si="231"/>
        <v>#N/A</v>
      </c>
      <c r="FY145" s="82" t="e">
        <f t="shared" si="236"/>
        <v>#N/A</v>
      </c>
      <c r="FZ145" s="7" t="e">
        <f t="shared" si="232"/>
        <v>#N/A</v>
      </c>
      <c r="GA145" t="e">
        <f t="shared" si="237"/>
        <v>#N/A</v>
      </c>
      <c r="GB145" s="8" t="e">
        <f t="shared" si="238"/>
        <v>#N/A</v>
      </c>
      <c r="GC145" s="8" t="e">
        <f t="shared" si="239"/>
        <v>#N/A</v>
      </c>
      <c r="GD145" s="81" t="e">
        <f t="shared" si="240"/>
        <v>#N/A</v>
      </c>
      <c r="GE145" s="74" t="e">
        <f t="shared" si="241"/>
        <v>#N/A</v>
      </c>
      <c r="GF145" s="82" t="e">
        <f t="shared" si="242"/>
        <v>#N/A</v>
      </c>
      <c r="GG145" s="7" t="e">
        <f t="shared" si="233"/>
        <v>#N/A</v>
      </c>
      <c r="GH145" t="e">
        <f t="shared" si="243"/>
        <v>#N/A</v>
      </c>
      <c r="GI145" s="8" t="e">
        <f t="shared" si="244"/>
        <v>#N/A</v>
      </c>
      <c r="GJ145" s="8" t="e">
        <f t="shared" si="245"/>
        <v>#N/A</v>
      </c>
      <c r="GK145" s="81" t="e">
        <f t="shared" si="246"/>
        <v>#N/A</v>
      </c>
      <c r="GL145" s="81"/>
      <c r="GM145" s="81"/>
      <c r="GP145" s="32">
        <f t="shared" si="291"/>
        <v>135</v>
      </c>
      <c r="GQ145" s="32">
        <f t="shared" si="292"/>
        <v>136</v>
      </c>
      <c r="GR145" s="32">
        <f t="shared" si="293"/>
        <v>0.14373173517059579</v>
      </c>
      <c r="GS145" s="32">
        <f t="shared" si="294"/>
        <v>0.39484265348383518</v>
      </c>
      <c r="GT145" s="32" t="e">
        <f t="shared" si="295"/>
        <v>#N/A</v>
      </c>
      <c r="GU145" s="32" t="e">
        <f t="shared" si="296"/>
        <v>#N/A</v>
      </c>
      <c r="GV145" s="32" t="e">
        <f t="shared" si="297"/>
        <v>#N/A</v>
      </c>
      <c r="GW145" s="32" t="b">
        <f t="shared" si="298"/>
        <v>0</v>
      </c>
      <c r="GX145" s="32" t="b">
        <f t="shared" si="299"/>
        <v>1</v>
      </c>
      <c r="GY145" s="32" t="b">
        <f t="shared" si="300"/>
        <v>0</v>
      </c>
      <c r="GZ145" s="32" t="b">
        <f t="shared" si="301"/>
        <v>1</v>
      </c>
      <c r="HA145" s="32">
        <f t="shared" si="302"/>
        <v>0.39484265348383518</v>
      </c>
      <c r="HB145" s="32" t="e">
        <f t="shared" si="303"/>
        <v>#N/A</v>
      </c>
      <c r="HC145" s="32">
        <f t="shared" si="304"/>
        <v>0.39484265348383518</v>
      </c>
      <c r="HD145" s="45" t="str">
        <f t="shared" si="305"/>
        <v/>
      </c>
      <c r="HJ145" s="32">
        <f t="shared" si="306"/>
        <v>135</v>
      </c>
      <c r="HK145" s="32">
        <f t="shared" si="307"/>
        <v>136</v>
      </c>
      <c r="HL145" s="32">
        <f t="shared" si="308"/>
        <v>0.22257161063434161</v>
      </c>
      <c r="HM145" s="32" t="e">
        <f t="shared" si="309"/>
        <v>#N/A</v>
      </c>
      <c r="HN145" s="32">
        <f t="shared" si="310"/>
        <v>0.3742834224436612</v>
      </c>
      <c r="HO145" s="32" t="e">
        <f t="shared" si="311"/>
        <v>#N/A</v>
      </c>
      <c r="HP145" s="32" t="e">
        <f t="shared" si="312"/>
        <v>#N/A</v>
      </c>
      <c r="HQ145" s="32" t="b">
        <f t="shared" si="313"/>
        <v>1</v>
      </c>
      <c r="HR145" s="32" t="b">
        <f t="shared" si="314"/>
        <v>0</v>
      </c>
      <c r="HS145" s="32" t="b">
        <f t="shared" si="315"/>
        <v>0</v>
      </c>
      <c r="HT145" s="32" t="b">
        <f t="shared" si="316"/>
        <v>1</v>
      </c>
      <c r="HU145" s="32">
        <f t="shared" si="317"/>
        <v>0.3742834224436612</v>
      </c>
      <c r="HV145" s="32">
        <f t="shared" si="318"/>
        <v>0.3742834224436612</v>
      </c>
      <c r="HW145" s="32" t="e">
        <f t="shared" si="319"/>
        <v>#N/A</v>
      </c>
      <c r="HX145" s="45" t="str">
        <f t="shared" si="320"/>
        <v/>
      </c>
    </row>
    <row r="146" spans="78:232" x14ac:dyDescent="0.2">
      <c r="BZ146" s="32">
        <f t="shared" si="247"/>
        <v>136</v>
      </c>
      <c r="CA146" s="32">
        <f>Eu_tabel_g[[#This Row],[Indeks]]+1</f>
        <v>137</v>
      </c>
      <c r="CB146" s="32">
        <f t="shared" si="248"/>
        <v>0.16768702436569516</v>
      </c>
      <c r="CC146" s="32">
        <f t="shared" si="249"/>
        <v>0.39337260880753866</v>
      </c>
      <c r="CD146" s="32" t="e">
        <f t="shared" si="250"/>
        <v>#N/A</v>
      </c>
      <c r="CE146" s="32" t="e">
        <f t="shared" si="251"/>
        <v>#N/A</v>
      </c>
      <c r="CF146" s="32" t="e">
        <f t="shared" si="252"/>
        <v>#N/A</v>
      </c>
      <c r="CG146" s="32" t="b">
        <f t="shared" si="253"/>
        <v>0</v>
      </c>
      <c r="CH146" s="32" t="b">
        <f t="shared" si="254"/>
        <v>1</v>
      </c>
      <c r="CI146" s="32" t="b">
        <f t="shared" si="255"/>
        <v>0</v>
      </c>
      <c r="CJ146" s="32" t="b">
        <f t="shared" si="256"/>
        <v>1</v>
      </c>
      <c r="CK146" s="32">
        <f t="shared" si="223"/>
        <v>0.39337260880753866</v>
      </c>
      <c r="CL146" s="32" t="e">
        <f t="shared" si="257"/>
        <v>#N/A</v>
      </c>
      <c r="CM146" s="32">
        <f t="shared" si="258"/>
        <v>0.39337260880753866</v>
      </c>
      <c r="CN146" s="45" t="str">
        <f t="shared" si="259"/>
        <v/>
      </c>
      <c r="CO146" s="32">
        <f>_xlfn.NORM.DIST(_xlfn.NORM.INV(1-Eu_g_konfidensniveau,0,1)-Eu_tabel_g[[#This Row],[x base]],0,1,TRUE)</f>
        <v>3.495134930685289E-2</v>
      </c>
      <c r="CP146" s="32">
        <f>1-_xlfn.NORM.DIST(_xlfn.NORM.INV(Eu_g_konfidensniveau,0,1)-Eu_tabel_g[[#This Row],[x base]],0,1,TRUE)</f>
        <v>6.9815491895966364E-2</v>
      </c>
      <c r="CQ146" s="32">
        <f>_xlfn.NORM.DIST(_xlfn.NORM.INV((1-Eu_g_konfidensniveau)/2,0,1)-Eu_tabel_g[[#This Row],[x base]],0,1,TRUE)+1-_xlfn.NORM.DIST(_xlfn.NORM.INV(1-(1-Eu_g_konfidensniveau)/2,0,1)-Eu_tabel_g[[#This Row],[x base]],0,1,TRUE)</f>
        <v>5.3227320844540071E-2</v>
      </c>
      <c r="CR146" s="32" t="e" cm="1">
        <f t="array" ref="CR146">IF($CR$3,INDEX(Eu_tabel_g[[#This Row],[Styrke venstre]:[Styrke tosidet]],CR$7),NA())</f>
        <v>#N/A</v>
      </c>
      <c r="CS146" s="52" t="e">
        <f>Eu_tabel_g[[#This Row],[Falsk positiv
Nulhypotese accepteres
Fejltype 1]]</f>
        <v>#N/A</v>
      </c>
      <c r="CT146" s="52" t="e">
        <f>IF(CHOOSE(CR$7,Eu_tabel_g[[#This Row],[x base]]&gt;0,Eu_tabel_g[[#This Row],[x base]]&lt;0,Eu_tabel_g[[#This Row],[x base]]=0),Eu_tabel_g[[#This Row],[Styrke, aktiv]],NA())</f>
        <v>#N/A</v>
      </c>
      <c r="CU146" s="52" t="e">
        <f>IFERROR(IF($CR$3,Eu_tabel_g[[#This Row],[Styrke, aktiv]],NA()),NA())</f>
        <v>#N/A</v>
      </c>
      <c r="CV146" s="52" t="e">
        <f>IF(ISNA(Eu_tabel_g[[#This Row],[Sand negativ
Nulhypotese afvises
Korrekt]]),NA(),IF($CR$3,1,NA()))</f>
        <v>#N/A</v>
      </c>
      <c r="CW146" s="34" t="str" cm="1">
        <f t="array" ref="CW146">_xlfn.SWITCH(BZ146,_xlfn.IFNA(CU$2,-99),CU$5,_xlfn.IFNA(CU$3,-99),CU$6,_xlfn.IFNA(CU$4,-99),CU$7,"")</f>
        <v/>
      </c>
      <c r="DA146" s="7">
        <f t="shared" si="260"/>
        <v>0.8</v>
      </c>
      <c r="DB146">
        <f>IF(ROW(Styrkeberegning_G[[#This Row],[X base venstre]])=ROW(Styrkeberegning_G[[#Headers],[X base venstre]])+1,DB$7/(DA$7/$B$67),DB145/(DA145/$B$67))</f>
        <v>-2.8015817870135784</v>
      </c>
      <c r="DC146">
        <f>Styrkeberegning_G[[#This Row],[X base venstre]]*-1</f>
        <v>2.8015817870135784</v>
      </c>
      <c r="DN146" s="32">
        <f t="shared" si="261"/>
        <v>136</v>
      </c>
      <c r="DO146" s="32">
        <f t="shared" si="262"/>
        <v>137</v>
      </c>
      <c r="DP146" s="32">
        <f t="shared" si="263"/>
        <v>17.347489137365827</v>
      </c>
      <c r="DQ146" s="32" t="e">
        <f t="shared" si="264"/>
        <v>#N/A</v>
      </c>
      <c r="DR146" s="32" t="e">
        <f t="shared" si="265"/>
        <v>#N/A</v>
      </c>
      <c r="DS146" s="32">
        <f t="shared" si="266"/>
        <v>2.7232258609019386E-2</v>
      </c>
      <c r="DT146" s="32" t="e">
        <f t="shared" si="267"/>
        <v>#N/A</v>
      </c>
      <c r="DU146" s="32" t="b">
        <f t="shared" si="268"/>
        <v>0</v>
      </c>
      <c r="DV146" s="32" t="b">
        <f t="shared" si="269"/>
        <v>1</v>
      </c>
      <c r="DW146" s="32" t="b">
        <f t="shared" si="270"/>
        <v>0</v>
      </c>
      <c r="DX146" s="32" t="b">
        <f t="shared" si="271"/>
        <v>1</v>
      </c>
      <c r="DY146" s="32">
        <f t="shared" si="272"/>
        <v>2.7232258609019386E-2</v>
      </c>
      <c r="DZ146" s="32" t="e">
        <f t="shared" si="273"/>
        <v>#N/A</v>
      </c>
      <c r="EA146" s="32">
        <f t="shared" si="274"/>
        <v>2.7232258609019386E-2</v>
      </c>
      <c r="EB146" s="45" t="str">
        <f t="shared" si="275"/>
        <v/>
      </c>
      <c r="EG146" s="32">
        <f t="shared" si="276"/>
        <v>136</v>
      </c>
      <c r="EH146" s="32">
        <f t="shared" si="277"/>
        <v>137</v>
      </c>
      <c r="EI146" s="32">
        <f t="shared" si="278"/>
        <v>0.16768702436569516</v>
      </c>
      <c r="EJ146" s="32">
        <f t="shared" si="279"/>
        <v>0.39337260880753866</v>
      </c>
      <c r="EK146" s="32" t="e">
        <f t="shared" si="280"/>
        <v>#N/A</v>
      </c>
      <c r="EL146" s="32" t="e">
        <f t="shared" si="281"/>
        <v>#N/A</v>
      </c>
      <c r="EM146" s="32" t="e">
        <f t="shared" si="282"/>
        <v>#N/A</v>
      </c>
      <c r="EN146" s="32" t="b">
        <f t="shared" si="283"/>
        <v>0</v>
      </c>
      <c r="EO146" s="32" t="b">
        <f t="shared" si="284"/>
        <v>1</v>
      </c>
      <c r="EP146" s="32" t="b">
        <f t="shared" si="285"/>
        <v>0</v>
      </c>
      <c r="EQ146" s="32" t="b">
        <f t="shared" si="286"/>
        <v>1</v>
      </c>
      <c r="ER146" s="32">
        <f t="shared" si="287"/>
        <v>0.39337260880753866</v>
      </c>
      <c r="ES146" s="32" t="e">
        <f t="shared" si="288"/>
        <v>#N/A</v>
      </c>
      <c r="ET146" s="32">
        <f t="shared" si="289"/>
        <v>0.39337260880753866</v>
      </c>
      <c r="EU146" s="45" t="str">
        <f t="shared" si="290"/>
        <v/>
      </c>
      <c r="EV14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6" s="32" t="e" cm="1">
        <f t="array" ref="EY146">IF($CR$3,INDEX(Eu_tabel_a[[#This Row],[Styrke venstre]:[Styrke tosidet]],EY$7),NA())</f>
        <v>#N/A</v>
      </c>
      <c r="EZ146" s="32" t="e">
        <f>IF(EY$3,IF(CHOOSE(EY$7,Eu_tabel_a[[#This Row],[x base]]&gt;0,Eu_tabel_a[[#This Row],[x base]]&lt;0,Eu_tabel_a[[#This Row],[x base]]=0),1,NA()),NA())</f>
        <v>#N/A</v>
      </c>
      <c r="FA146" s="32" t="e">
        <f>IF(CHOOSE(EY$7,Eu_tabel_a[[#This Row],[x base]]&gt;0,Eu_tabel_a[[#This Row],[x base]]&lt;0,Eu_tabel_a[[#This Row],[x base]]=0),Eu_tabel_a[[#This Row],[Styrke, aktiv]],NA())</f>
        <v>#N/A</v>
      </c>
      <c r="FB146" s="32" t="e">
        <f>IFERROR(IF($EY$3,Eu_tabel_a[[#This Row],[Styrke, aktiv]],NA()),NA())</f>
        <v>#N/A</v>
      </c>
      <c r="FC146" s="32" t="e">
        <f>IF(ISNA(Eu_tabel_a[[#This Row],[Sand negativ
Nulhypotese afvises
Korrekt]]),NA(),IF(EY$3,1,NA()))</f>
        <v>#N/A</v>
      </c>
      <c r="FD146" s="33" t="str" cm="1">
        <f t="array" ref="FD146">IFERROR(_xlfn.SWITCH(Eu_tabel_a[[#This Row],[Indeks]],_xlfn.IFNA(FB$2,-99),FB$5,_xlfn.IFNA(FB$3,-99),FB$6,_xlfn.IFNA(FB$4,-99),FB$7,""),"")</f>
        <v/>
      </c>
      <c r="FE146" s="32">
        <f>Eu_tabel_a[[#This Row],[x base]]*SQRT(Eu_a_h0_x*(1-Eu_a_h0_x)/Eu_a_n_x)+Eu_a_h0_x</f>
        <v>0</v>
      </c>
      <c r="FJ146" s="74" t="e">
        <f t="shared" si="234"/>
        <v>#N/A</v>
      </c>
      <c r="FK146" s="82" t="e">
        <f t="shared" si="218"/>
        <v>#DIV/0!</v>
      </c>
      <c r="FL146" s="7" t="e">
        <f t="shared" si="228"/>
        <v>#DIV/0!</v>
      </c>
      <c r="FM146" t="e">
        <f t="shared" si="219"/>
        <v>#DIV/0!</v>
      </c>
      <c r="FN146" s="8" t="e">
        <f t="shared" si="220"/>
        <v>#DIV/0!</v>
      </c>
      <c r="FO146" s="8" t="e">
        <f t="shared" si="221"/>
        <v>#DIV/0!</v>
      </c>
      <c r="FP146" s="81" t="e">
        <f t="shared" si="222"/>
        <v>#DIV/0!</v>
      </c>
      <c r="FQ146" s="74" t="e">
        <f t="shared" ca="1" si="229"/>
        <v>#N/A</v>
      </c>
      <c r="FR146" s="82" t="e" vm="3">
        <f t="shared" ca="1" si="235"/>
        <v>#VALUE!</v>
      </c>
      <c r="FS146" s="7" t="e" vm="3">
        <f t="shared" ca="1" si="230"/>
        <v>#VALUE!</v>
      </c>
      <c r="FT146" t="e" vm="3">
        <f t="shared" ca="1" si="224"/>
        <v>#VALUE!</v>
      </c>
      <c r="FU146" s="8" t="e" vm="3">
        <f t="shared" ca="1" si="225"/>
        <v>#VALUE!</v>
      </c>
      <c r="FV146" s="8" t="e" vm="3">
        <f t="shared" ca="1" si="226"/>
        <v>#VALUE!</v>
      </c>
      <c r="FW146" s="81" t="e" vm="3">
        <f t="shared" ca="1" si="227"/>
        <v>#VALUE!</v>
      </c>
      <c r="FX146" s="74" t="e">
        <f t="shared" si="231"/>
        <v>#N/A</v>
      </c>
      <c r="FY146" s="82" t="e">
        <f t="shared" si="236"/>
        <v>#N/A</v>
      </c>
      <c r="FZ146" s="7" t="e">
        <f t="shared" si="232"/>
        <v>#N/A</v>
      </c>
      <c r="GA146" t="e">
        <f t="shared" si="237"/>
        <v>#N/A</v>
      </c>
      <c r="GB146" s="8" t="e">
        <f t="shared" si="238"/>
        <v>#N/A</v>
      </c>
      <c r="GC146" s="8" t="e">
        <f t="shared" si="239"/>
        <v>#N/A</v>
      </c>
      <c r="GD146" s="81" t="e">
        <f t="shared" si="240"/>
        <v>#N/A</v>
      </c>
      <c r="GE146" s="74" t="e">
        <f t="shared" si="241"/>
        <v>#N/A</v>
      </c>
      <c r="GF146" s="82" t="e">
        <f t="shared" si="242"/>
        <v>#N/A</v>
      </c>
      <c r="GG146" s="7" t="e">
        <f t="shared" si="233"/>
        <v>#N/A</v>
      </c>
      <c r="GH146" t="e">
        <f t="shared" si="243"/>
        <v>#N/A</v>
      </c>
      <c r="GI146" s="8" t="e">
        <f t="shared" si="244"/>
        <v>#N/A</v>
      </c>
      <c r="GJ146" s="8" t="e">
        <f t="shared" si="245"/>
        <v>#N/A</v>
      </c>
      <c r="GK146" s="81" t="e">
        <f t="shared" si="246"/>
        <v>#N/A</v>
      </c>
      <c r="GL146" s="81"/>
      <c r="GM146" s="81"/>
      <c r="GP146" s="32">
        <f t="shared" si="291"/>
        <v>136</v>
      </c>
      <c r="GQ146" s="32">
        <f t="shared" si="292"/>
        <v>137</v>
      </c>
      <c r="GR146" s="32">
        <f t="shared" si="293"/>
        <v>0.16768702436569516</v>
      </c>
      <c r="GS146" s="32">
        <f t="shared" si="294"/>
        <v>0.39337260880753866</v>
      </c>
      <c r="GT146" s="32" t="e">
        <f t="shared" si="295"/>
        <v>#N/A</v>
      </c>
      <c r="GU146" s="32" t="e">
        <f t="shared" si="296"/>
        <v>#N/A</v>
      </c>
      <c r="GV146" s="32" t="e">
        <f t="shared" si="297"/>
        <v>#N/A</v>
      </c>
      <c r="GW146" s="32" t="b">
        <f t="shared" si="298"/>
        <v>0</v>
      </c>
      <c r="GX146" s="32" t="b">
        <f t="shared" si="299"/>
        <v>1</v>
      </c>
      <c r="GY146" s="32" t="b">
        <f t="shared" si="300"/>
        <v>0</v>
      </c>
      <c r="GZ146" s="32" t="b">
        <f t="shared" si="301"/>
        <v>1</v>
      </c>
      <c r="HA146" s="32">
        <f t="shared" si="302"/>
        <v>0.39337260880753866</v>
      </c>
      <c r="HB146" s="32" t="e">
        <f t="shared" si="303"/>
        <v>#N/A</v>
      </c>
      <c r="HC146" s="32">
        <f t="shared" si="304"/>
        <v>0.39337260880753866</v>
      </c>
      <c r="HD146" s="45" t="str">
        <f t="shared" si="305"/>
        <v/>
      </c>
      <c r="HJ146" s="32">
        <f t="shared" si="306"/>
        <v>136</v>
      </c>
      <c r="HK146" s="32">
        <f t="shared" si="307"/>
        <v>137</v>
      </c>
      <c r="HL146" s="32">
        <f t="shared" si="308"/>
        <v>0.25966687907339825</v>
      </c>
      <c r="HM146" s="32" t="e">
        <f t="shared" si="309"/>
        <v>#N/A</v>
      </c>
      <c r="HN146" s="32">
        <f t="shared" si="310"/>
        <v>0.37050830558756798</v>
      </c>
      <c r="HO146" s="32" t="e">
        <f t="shared" si="311"/>
        <v>#N/A</v>
      </c>
      <c r="HP146" s="32" t="e">
        <f t="shared" si="312"/>
        <v>#N/A</v>
      </c>
      <c r="HQ146" s="32" t="b">
        <f t="shared" si="313"/>
        <v>1</v>
      </c>
      <c r="HR146" s="32" t="b">
        <f t="shared" si="314"/>
        <v>0</v>
      </c>
      <c r="HS146" s="32" t="b">
        <f t="shared" si="315"/>
        <v>0</v>
      </c>
      <c r="HT146" s="32" t="b">
        <f t="shared" si="316"/>
        <v>1</v>
      </c>
      <c r="HU146" s="32">
        <f t="shared" si="317"/>
        <v>0.37050830558756798</v>
      </c>
      <c r="HV146" s="32">
        <f t="shared" si="318"/>
        <v>0.37050830558756798</v>
      </c>
      <c r="HW146" s="32" t="e">
        <f t="shared" si="319"/>
        <v>#N/A</v>
      </c>
      <c r="HX146" s="45" t="str">
        <f t="shared" si="320"/>
        <v/>
      </c>
    </row>
    <row r="147" spans="78:232" x14ac:dyDescent="0.2">
      <c r="BZ147" s="32">
        <f t="shared" si="247"/>
        <v>137</v>
      </c>
      <c r="CA147" s="32">
        <f>Eu_tabel_g[[#This Row],[Indeks]]+1</f>
        <v>138</v>
      </c>
      <c r="CB147" s="32">
        <f t="shared" si="248"/>
        <v>0.19164231356079453</v>
      </c>
      <c r="CC147" s="32">
        <f t="shared" si="249"/>
        <v>0.39168320306250204</v>
      </c>
      <c r="CD147" s="32" t="e">
        <f t="shared" si="250"/>
        <v>#N/A</v>
      </c>
      <c r="CE147" s="32" t="e">
        <f t="shared" si="251"/>
        <v>#N/A</v>
      </c>
      <c r="CF147" s="32" t="e">
        <f t="shared" si="252"/>
        <v>#N/A</v>
      </c>
      <c r="CG147" s="32" t="b">
        <f t="shared" si="253"/>
        <v>0</v>
      </c>
      <c r="CH147" s="32" t="b">
        <f t="shared" si="254"/>
        <v>1</v>
      </c>
      <c r="CI147" s="32" t="b">
        <f t="shared" si="255"/>
        <v>0</v>
      </c>
      <c r="CJ147" s="32" t="b">
        <f t="shared" si="256"/>
        <v>1</v>
      </c>
      <c r="CK147" s="32">
        <f t="shared" si="223"/>
        <v>0.39168320306250204</v>
      </c>
      <c r="CL147" s="32" t="e">
        <f t="shared" si="257"/>
        <v>#N/A</v>
      </c>
      <c r="CM147" s="32">
        <f t="shared" si="258"/>
        <v>0.39168320306250204</v>
      </c>
      <c r="CN147" s="45" t="str">
        <f t="shared" si="259"/>
        <v/>
      </c>
      <c r="CO147" s="32">
        <f>_xlfn.NORM.DIST(_xlfn.NORM.INV(1-Eu_g_konfidensniveau,0,1)-Eu_tabel_g[[#This Row],[x base]],0,1,TRUE)</f>
        <v>3.3142170968285214E-2</v>
      </c>
      <c r="CP147" s="32">
        <f>1-_xlfn.NORM.DIST(_xlfn.NORM.INV(Eu_g_konfidensniveau,0,1)-Eu_tabel_g[[#This Row],[x base]],0,1,TRUE)</f>
        <v>7.308254598003705E-2</v>
      </c>
      <c r="CQ147" s="32">
        <f>_xlfn.NORM.DIST(_xlfn.NORM.INV((1-Eu_g_konfidensniveau)/2,0,1)-Eu_tabel_g[[#This Row],[x base]],0,1,TRUE)+1-_xlfn.NORM.DIST(_xlfn.NORM.INV(1-(1-Eu_g_konfidensniveau)/2,0,1)-Eu_tabel_g[[#This Row],[x base]],0,1,TRUE)</f>
        <v>5.4217759348040295E-2</v>
      </c>
      <c r="CR147" s="32" t="e" cm="1">
        <f t="array" ref="CR147">IF($CR$3,INDEX(Eu_tabel_g[[#This Row],[Styrke venstre]:[Styrke tosidet]],CR$7),NA())</f>
        <v>#N/A</v>
      </c>
      <c r="CS147" s="52" t="e">
        <f>Eu_tabel_g[[#This Row],[Falsk positiv
Nulhypotese accepteres
Fejltype 1]]</f>
        <v>#N/A</v>
      </c>
      <c r="CT147" s="52" t="e">
        <f>IF(CHOOSE(CR$7,Eu_tabel_g[[#This Row],[x base]]&gt;0,Eu_tabel_g[[#This Row],[x base]]&lt;0,Eu_tabel_g[[#This Row],[x base]]=0),Eu_tabel_g[[#This Row],[Styrke, aktiv]],NA())</f>
        <v>#N/A</v>
      </c>
      <c r="CU147" s="52" t="e">
        <f>IFERROR(IF($CR$3,Eu_tabel_g[[#This Row],[Styrke, aktiv]],NA()),NA())</f>
        <v>#N/A</v>
      </c>
      <c r="CV147" s="52" t="e">
        <f>IF(ISNA(Eu_tabel_g[[#This Row],[Sand negativ
Nulhypotese afvises
Korrekt]]),NA(),IF($CR$3,1,NA()))</f>
        <v>#N/A</v>
      </c>
      <c r="CW147" s="34" t="str" cm="1">
        <f t="array" ref="CW147">_xlfn.SWITCH(BZ147,_xlfn.IFNA(CU$2,-99),CU$5,_xlfn.IFNA(CU$3,-99),CU$6,_xlfn.IFNA(CU$4,-99),CU$7,"")</f>
        <v/>
      </c>
      <c r="DA147" s="7">
        <f t="shared" si="260"/>
        <v>0.8</v>
      </c>
      <c r="DB147">
        <f>IF(ROW(Styrkeberegning_G[[#This Row],[X base venstre]])=ROW(Styrkeberegning_G[[#Headers],[X base venstre]])+1,DB$7/(DA$7/$B$67),DB146/(DA146/$B$67))</f>
        <v>-2.8015817870135784</v>
      </c>
      <c r="DC147">
        <f>Styrkeberegning_G[[#This Row],[X base venstre]]*-1</f>
        <v>2.8015817870135784</v>
      </c>
      <c r="DN147" s="32">
        <f t="shared" si="261"/>
        <v>137</v>
      </c>
      <c r="DO147" s="32">
        <f t="shared" si="262"/>
        <v>138</v>
      </c>
      <c r="DP147" s="32">
        <f t="shared" si="263"/>
        <v>17.461559993782828</v>
      </c>
      <c r="DQ147" s="32" t="e">
        <f t="shared" si="264"/>
        <v>#N/A</v>
      </c>
      <c r="DR147" s="32" t="e">
        <f t="shared" si="265"/>
        <v>#N/A</v>
      </c>
      <c r="DS147" s="32">
        <f t="shared" si="266"/>
        <v>2.6492464671480021E-2</v>
      </c>
      <c r="DT147" s="32" t="e">
        <f t="shared" si="267"/>
        <v>#N/A</v>
      </c>
      <c r="DU147" s="32" t="b">
        <f t="shared" si="268"/>
        <v>0</v>
      </c>
      <c r="DV147" s="32" t="b">
        <f t="shared" si="269"/>
        <v>1</v>
      </c>
      <c r="DW147" s="32" t="b">
        <f t="shared" si="270"/>
        <v>0</v>
      </c>
      <c r="DX147" s="32" t="b">
        <f t="shared" si="271"/>
        <v>1</v>
      </c>
      <c r="DY147" s="32">
        <f t="shared" si="272"/>
        <v>2.6492464671480021E-2</v>
      </c>
      <c r="DZ147" s="32" t="e">
        <f t="shared" si="273"/>
        <v>#N/A</v>
      </c>
      <c r="EA147" s="32">
        <f t="shared" si="274"/>
        <v>2.6492464671480021E-2</v>
      </c>
      <c r="EB147" s="45" t="str">
        <f t="shared" si="275"/>
        <v/>
      </c>
      <c r="EG147" s="32">
        <f t="shared" si="276"/>
        <v>137</v>
      </c>
      <c r="EH147" s="32">
        <f t="shared" si="277"/>
        <v>138</v>
      </c>
      <c r="EI147" s="32">
        <f t="shared" si="278"/>
        <v>0.19164231356079453</v>
      </c>
      <c r="EJ147" s="32">
        <f t="shared" si="279"/>
        <v>0.39168320306250204</v>
      </c>
      <c r="EK147" s="32" t="e">
        <f t="shared" si="280"/>
        <v>#N/A</v>
      </c>
      <c r="EL147" s="32" t="e">
        <f t="shared" si="281"/>
        <v>#N/A</v>
      </c>
      <c r="EM147" s="32" t="e">
        <f t="shared" si="282"/>
        <v>#N/A</v>
      </c>
      <c r="EN147" s="32" t="b">
        <f t="shared" si="283"/>
        <v>0</v>
      </c>
      <c r="EO147" s="32" t="b">
        <f t="shared" si="284"/>
        <v>1</v>
      </c>
      <c r="EP147" s="32" t="b">
        <f t="shared" si="285"/>
        <v>0</v>
      </c>
      <c r="EQ147" s="32" t="b">
        <f t="shared" si="286"/>
        <v>1</v>
      </c>
      <c r="ER147" s="32">
        <f t="shared" si="287"/>
        <v>0.39168320306250204</v>
      </c>
      <c r="ES147" s="32" t="e">
        <f t="shared" si="288"/>
        <v>#N/A</v>
      </c>
      <c r="ET147" s="32">
        <f t="shared" si="289"/>
        <v>0.39168320306250204</v>
      </c>
      <c r="EU147" s="45" t="str">
        <f t="shared" si="290"/>
        <v/>
      </c>
      <c r="EV14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7" s="32" t="e" cm="1">
        <f t="array" ref="EY147">IF($CR$3,INDEX(Eu_tabel_a[[#This Row],[Styrke venstre]:[Styrke tosidet]],EY$7),NA())</f>
        <v>#N/A</v>
      </c>
      <c r="EZ147" s="32" t="e">
        <f>IF(EY$3,IF(CHOOSE(EY$7,Eu_tabel_a[[#This Row],[x base]]&gt;0,Eu_tabel_a[[#This Row],[x base]]&lt;0,Eu_tabel_a[[#This Row],[x base]]=0),1,NA()),NA())</f>
        <v>#N/A</v>
      </c>
      <c r="FA147" s="32" t="e">
        <f>IF(CHOOSE(EY$7,Eu_tabel_a[[#This Row],[x base]]&gt;0,Eu_tabel_a[[#This Row],[x base]]&lt;0,Eu_tabel_a[[#This Row],[x base]]=0),Eu_tabel_a[[#This Row],[Styrke, aktiv]],NA())</f>
        <v>#N/A</v>
      </c>
      <c r="FB147" s="32" t="e">
        <f>IFERROR(IF($EY$3,Eu_tabel_a[[#This Row],[Styrke, aktiv]],NA()),NA())</f>
        <v>#N/A</v>
      </c>
      <c r="FC147" s="32" t="e">
        <f>IF(ISNA(Eu_tabel_a[[#This Row],[Sand negativ
Nulhypotese afvises
Korrekt]]),NA(),IF(EY$3,1,NA()))</f>
        <v>#N/A</v>
      </c>
      <c r="FD147" s="33" t="str" cm="1">
        <f t="array" ref="FD147">IFERROR(_xlfn.SWITCH(Eu_tabel_a[[#This Row],[Indeks]],_xlfn.IFNA(FB$2,-99),FB$5,_xlfn.IFNA(FB$3,-99),FB$6,_xlfn.IFNA(FB$4,-99),FB$7,""),"")</f>
        <v/>
      </c>
      <c r="FE147" s="32">
        <f>Eu_tabel_a[[#This Row],[x base]]*SQRT(Eu_a_h0_x*(1-Eu_a_h0_x)/Eu_a_n_x)+Eu_a_h0_x</f>
        <v>0</v>
      </c>
      <c r="FJ147" s="74" t="e">
        <f t="shared" si="234"/>
        <v>#N/A</v>
      </c>
      <c r="FK147" s="82" t="e">
        <f t="shared" si="218"/>
        <v>#DIV/0!</v>
      </c>
      <c r="FL147" s="7" t="e">
        <f t="shared" si="228"/>
        <v>#DIV/0!</v>
      </c>
      <c r="FM147" t="e">
        <f t="shared" si="219"/>
        <v>#DIV/0!</v>
      </c>
      <c r="FN147" s="8" t="e">
        <f t="shared" si="220"/>
        <v>#DIV/0!</v>
      </c>
      <c r="FO147" s="8" t="e">
        <f t="shared" si="221"/>
        <v>#DIV/0!</v>
      </c>
      <c r="FP147" s="81" t="e">
        <f t="shared" si="222"/>
        <v>#DIV/0!</v>
      </c>
      <c r="FQ147" s="74" t="e">
        <f t="shared" ca="1" si="229"/>
        <v>#N/A</v>
      </c>
      <c r="FR147" s="82" t="e" vm="3">
        <f t="shared" ca="1" si="235"/>
        <v>#VALUE!</v>
      </c>
      <c r="FS147" s="7" t="e" vm="3">
        <f t="shared" ca="1" si="230"/>
        <v>#VALUE!</v>
      </c>
      <c r="FT147" t="e" vm="3">
        <f t="shared" ca="1" si="224"/>
        <v>#VALUE!</v>
      </c>
      <c r="FU147" s="8" t="e" vm="3">
        <f t="shared" ca="1" si="225"/>
        <v>#VALUE!</v>
      </c>
      <c r="FV147" s="8" t="e" vm="3">
        <f t="shared" ca="1" si="226"/>
        <v>#VALUE!</v>
      </c>
      <c r="FW147" s="81" t="e" vm="3">
        <f t="shared" ca="1" si="227"/>
        <v>#VALUE!</v>
      </c>
      <c r="FX147" s="74" t="e">
        <f t="shared" si="231"/>
        <v>#N/A</v>
      </c>
      <c r="FY147" s="82" t="e">
        <f t="shared" si="236"/>
        <v>#N/A</v>
      </c>
      <c r="FZ147" s="7" t="e">
        <f t="shared" si="232"/>
        <v>#N/A</v>
      </c>
      <c r="GA147" t="e">
        <f t="shared" si="237"/>
        <v>#N/A</v>
      </c>
      <c r="GB147" s="8" t="e">
        <f t="shared" si="238"/>
        <v>#N/A</v>
      </c>
      <c r="GC147" s="8" t="e">
        <f t="shared" si="239"/>
        <v>#N/A</v>
      </c>
      <c r="GD147" s="81" t="e">
        <f t="shared" si="240"/>
        <v>#N/A</v>
      </c>
      <c r="GE147" s="74" t="e">
        <f t="shared" si="241"/>
        <v>#N/A</v>
      </c>
      <c r="GF147" s="82" t="e">
        <f t="shared" si="242"/>
        <v>#N/A</v>
      </c>
      <c r="GG147" s="7" t="e">
        <f t="shared" si="233"/>
        <v>#N/A</v>
      </c>
      <c r="GH147" t="e">
        <f t="shared" si="243"/>
        <v>#N/A</v>
      </c>
      <c r="GI147" s="8" t="e">
        <f t="shared" si="244"/>
        <v>#N/A</v>
      </c>
      <c r="GJ147" s="8" t="e">
        <f t="shared" si="245"/>
        <v>#N/A</v>
      </c>
      <c r="GK147" s="81" t="e">
        <f t="shared" si="246"/>
        <v>#N/A</v>
      </c>
      <c r="GL147" s="81"/>
      <c r="GM147" s="81"/>
      <c r="GP147" s="32">
        <f t="shared" si="291"/>
        <v>137</v>
      </c>
      <c r="GQ147" s="32">
        <f t="shared" si="292"/>
        <v>138</v>
      </c>
      <c r="GR147" s="32">
        <f t="shared" si="293"/>
        <v>0.19164231356079453</v>
      </c>
      <c r="GS147" s="32">
        <f t="shared" si="294"/>
        <v>0.39168320306250204</v>
      </c>
      <c r="GT147" s="32" t="e">
        <f t="shared" si="295"/>
        <v>#N/A</v>
      </c>
      <c r="GU147" s="32" t="e">
        <f t="shared" si="296"/>
        <v>#N/A</v>
      </c>
      <c r="GV147" s="32" t="e">
        <f t="shared" si="297"/>
        <v>#N/A</v>
      </c>
      <c r="GW147" s="32" t="b">
        <f t="shared" si="298"/>
        <v>0</v>
      </c>
      <c r="GX147" s="32" t="b">
        <f t="shared" si="299"/>
        <v>1</v>
      </c>
      <c r="GY147" s="32" t="b">
        <f t="shared" si="300"/>
        <v>0</v>
      </c>
      <c r="GZ147" s="32" t="b">
        <f t="shared" si="301"/>
        <v>1</v>
      </c>
      <c r="HA147" s="32">
        <f t="shared" si="302"/>
        <v>0.39168320306250204</v>
      </c>
      <c r="HB147" s="32" t="e">
        <f t="shared" si="303"/>
        <v>#N/A</v>
      </c>
      <c r="HC147" s="32">
        <f t="shared" si="304"/>
        <v>0.39168320306250204</v>
      </c>
      <c r="HD147" s="45" t="str">
        <f t="shared" si="305"/>
        <v/>
      </c>
      <c r="HJ147" s="32">
        <f t="shared" si="306"/>
        <v>137</v>
      </c>
      <c r="HK147" s="32">
        <f t="shared" si="307"/>
        <v>138</v>
      </c>
      <c r="HL147" s="32">
        <f t="shared" si="308"/>
        <v>0.29676214751245489</v>
      </c>
      <c r="HM147" s="32" t="e">
        <f t="shared" si="309"/>
        <v>#N/A</v>
      </c>
      <c r="HN147" s="32">
        <f t="shared" si="310"/>
        <v>0.36621134988680171</v>
      </c>
      <c r="HO147" s="32" t="e">
        <f t="shared" si="311"/>
        <v>#N/A</v>
      </c>
      <c r="HP147" s="32" t="e">
        <f t="shared" si="312"/>
        <v>#N/A</v>
      </c>
      <c r="HQ147" s="32" t="b">
        <f t="shared" si="313"/>
        <v>1</v>
      </c>
      <c r="HR147" s="32" t="b">
        <f t="shared" si="314"/>
        <v>0</v>
      </c>
      <c r="HS147" s="32" t="b">
        <f t="shared" si="315"/>
        <v>0</v>
      </c>
      <c r="HT147" s="32" t="b">
        <f t="shared" si="316"/>
        <v>1</v>
      </c>
      <c r="HU147" s="32">
        <f t="shared" si="317"/>
        <v>0.36621134988680171</v>
      </c>
      <c r="HV147" s="32">
        <f t="shared" si="318"/>
        <v>0.36621134988680171</v>
      </c>
      <c r="HW147" s="32" t="e">
        <f t="shared" si="319"/>
        <v>#N/A</v>
      </c>
      <c r="HX147" s="45" t="str">
        <f t="shared" si="320"/>
        <v/>
      </c>
    </row>
    <row r="148" spans="78:232" x14ac:dyDescent="0.2">
      <c r="BZ148" s="32">
        <f t="shared" si="247"/>
        <v>138</v>
      </c>
      <c r="CA148" s="32">
        <f>Eu_tabel_g[[#This Row],[Indeks]]+1</f>
        <v>139</v>
      </c>
      <c r="CB148" s="32">
        <f t="shared" si="248"/>
        <v>0.2155976027558939</v>
      </c>
      <c r="CC148" s="32">
        <f t="shared" si="249"/>
        <v>0.38977731256446624</v>
      </c>
      <c r="CD148" s="32" t="e">
        <f t="shared" si="250"/>
        <v>#N/A</v>
      </c>
      <c r="CE148" s="32" t="e">
        <f t="shared" si="251"/>
        <v>#N/A</v>
      </c>
      <c r="CF148" s="32" t="e">
        <f t="shared" si="252"/>
        <v>#N/A</v>
      </c>
      <c r="CG148" s="32" t="b">
        <f t="shared" si="253"/>
        <v>0</v>
      </c>
      <c r="CH148" s="32" t="b">
        <f t="shared" si="254"/>
        <v>1</v>
      </c>
      <c r="CI148" s="32" t="b">
        <f t="shared" si="255"/>
        <v>0</v>
      </c>
      <c r="CJ148" s="32" t="b">
        <f t="shared" si="256"/>
        <v>1</v>
      </c>
      <c r="CK148" s="32">
        <f t="shared" si="223"/>
        <v>0.38977731256446624</v>
      </c>
      <c r="CL148" s="32" t="e">
        <f t="shared" si="257"/>
        <v>#N/A</v>
      </c>
      <c r="CM148" s="32">
        <f t="shared" si="258"/>
        <v>0.38977731256446624</v>
      </c>
      <c r="CN148" s="45" t="str">
        <f t="shared" si="259"/>
        <v/>
      </c>
      <c r="CO148" s="32">
        <f>_xlfn.NORM.DIST(_xlfn.NORM.INV(1-Eu_g_konfidensniveau,0,1)-Eu_tabel_g[[#This Row],[x base]],0,1,TRUE)</f>
        <v>3.1410856206144755E-2</v>
      </c>
      <c r="CP148" s="32">
        <f>1-_xlfn.NORM.DIST(_xlfn.NORM.INV(Eu_g_konfidensniveau,0,1)-Eu_tabel_g[[#This Row],[x base]],0,1,TRUE)</f>
        <v>7.6465330252738495E-2</v>
      </c>
      <c r="CQ148" s="32">
        <f>_xlfn.NORM.DIST(_xlfn.NORM.INV((1-Eu_g_konfidensniveau)/2,0,1)-Eu_tabel_g[[#This Row],[x base]],0,1,TRUE)+1-_xlfn.NORM.DIST(_xlfn.NORM.INV(1-(1-Eu_g_konfidensniveau)/2,0,1)-Eu_tabel_g[[#This Row],[x base]],0,1,TRUE)</f>
        <v>5.5341640730241948E-2</v>
      </c>
      <c r="CR148" s="32" t="e" cm="1">
        <f t="array" ref="CR148">IF($CR$3,INDEX(Eu_tabel_g[[#This Row],[Styrke venstre]:[Styrke tosidet]],CR$7),NA())</f>
        <v>#N/A</v>
      </c>
      <c r="CS148" s="52" t="e">
        <f>Eu_tabel_g[[#This Row],[Falsk positiv
Nulhypotese accepteres
Fejltype 1]]</f>
        <v>#N/A</v>
      </c>
      <c r="CT148" s="52" t="e">
        <f>IF(CHOOSE(CR$7,Eu_tabel_g[[#This Row],[x base]]&gt;0,Eu_tabel_g[[#This Row],[x base]]&lt;0,Eu_tabel_g[[#This Row],[x base]]=0),Eu_tabel_g[[#This Row],[Styrke, aktiv]],NA())</f>
        <v>#N/A</v>
      </c>
      <c r="CU148" s="52" t="e">
        <f>IFERROR(IF($CR$3,Eu_tabel_g[[#This Row],[Styrke, aktiv]],NA()),NA())</f>
        <v>#N/A</v>
      </c>
      <c r="CV148" s="52" t="e">
        <f>IF(ISNA(Eu_tabel_g[[#This Row],[Sand negativ
Nulhypotese afvises
Korrekt]]),NA(),IF($CR$3,1,NA()))</f>
        <v>#N/A</v>
      </c>
      <c r="CW148" s="34" t="str" cm="1">
        <f t="array" ref="CW148">_xlfn.SWITCH(BZ148,_xlfn.IFNA(CU$2,-99),CU$5,_xlfn.IFNA(CU$3,-99),CU$6,_xlfn.IFNA(CU$4,-99),CU$7,"")</f>
        <v/>
      </c>
      <c r="DA148" s="7">
        <f t="shared" si="260"/>
        <v>0.8</v>
      </c>
      <c r="DB148">
        <f>IF(ROW(Styrkeberegning_G[[#This Row],[X base venstre]])=ROW(Styrkeberegning_G[[#Headers],[X base venstre]])+1,DB$7/(DA$7/$B$67),DB147/(DA147/$B$67))</f>
        <v>-2.8015817870135784</v>
      </c>
      <c r="DC148">
        <f>Styrkeberegning_G[[#This Row],[X base venstre]]*-1</f>
        <v>2.8015817870135784</v>
      </c>
      <c r="DN148" s="32">
        <f t="shared" si="261"/>
        <v>138</v>
      </c>
      <c r="DO148" s="32">
        <f t="shared" si="262"/>
        <v>139</v>
      </c>
      <c r="DP148" s="32">
        <f t="shared" si="263"/>
        <v>17.575630850199829</v>
      </c>
      <c r="DQ148" s="32" t="e">
        <f t="shared" si="264"/>
        <v>#N/A</v>
      </c>
      <c r="DR148" s="32" t="e">
        <f t="shared" si="265"/>
        <v>#N/A</v>
      </c>
      <c r="DS148" s="32">
        <f t="shared" si="266"/>
        <v>2.5767818961322256E-2</v>
      </c>
      <c r="DT148" s="32" t="e">
        <f t="shared" si="267"/>
        <v>#N/A</v>
      </c>
      <c r="DU148" s="32" t="b">
        <f t="shared" si="268"/>
        <v>0</v>
      </c>
      <c r="DV148" s="32" t="b">
        <f t="shared" si="269"/>
        <v>1</v>
      </c>
      <c r="DW148" s="32" t="b">
        <f t="shared" si="270"/>
        <v>0</v>
      </c>
      <c r="DX148" s="32" t="b">
        <f t="shared" si="271"/>
        <v>1</v>
      </c>
      <c r="DY148" s="32">
        <f t="shared" si="272"/>
        <v>2.5767818961322256E-2</v>
      </c>
      <c r="DZ148" s="32" t="e">
        <f t="shared" si="273"/>
        <v>#N/A</v>
      </c>
      <c r="EA148" s="32">
        <f t="shared" si="274"/>
        <v>2.5767818961322256E-2</v>
      </c>
      <c r="EB148" s="45" t="str">
        <f t="shared" si="275"/>
        <v/>
      </c>
      <c r="EG148" s="32">
        <f t="shared" si="276"/>
        <v>138</v>
      </c>
      <c r="EH148" s="32">
        <f t="shared" si="277"/>
        <v>139</v>
      </c>
      <c r="EI148" s="32">
        <f t="shared" si="278"/>
        <v>0.2155976027558939</v>
      </c>
      <c r="EJ148" s="32">
        <f t="shared" si="279"/>
        <v>0.38977731256446624</v>
      </c>
      <c r="EK148" s="32" t="e">
        <f t="shared" si="280"/>
        <v>#N/A</v>
      </c>
      <c r="EL148" s="32" t="e">
        <f t="shared" si="281"/>
        <v>#N/A</v>
      </c>
      <c r="EM148" s="32" t="e">
        <f t="shared" si="282"/>
        <v>#N/A</v>
      </c>
      <c r="EN148" s="32" t="b">
        <f t="shared" si="283"/>
        <v>0</v>
      </c>
      <c r="EO148" s="32" t="b">
        <f t="shared" si="284"/>
        <v>1</v>
      </c>
      <c r="EP148" s="32" t="b">
        <f t="shared" si="285"/>
        <v>0</v>
      </c>
      <c r="EQ148" s="32" t="b">
        <f t="shared" si="286"/>
        <v>1</v>
      </c>
      <c r="ER148" s="32">
        <f t="shared" si="287"/>
        <v>0.38977731256446624</v>
      </c>
      <c r="ES148" s="32" t="e">
        <f t="shared" si="288"/>
        <v>#N/A</v>
      </c>
      <c r="ET148" s="32">
        <f t="shared" si="289"/>
        <v>0.38977731256446624</v>
      </c>
      <c r="EU148" s="45" t="str">
        <f t="shared" si="290"/>
        <v/>
      </c>
      <c r="EV14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8" s="32" t="e" cm="1">
        <f t="array" ref="EY148">IF($CR$3,INDEX(Eu_tabel_a[[#This Row],[Styrke venstre]:[Styrke tosidet]],EY$7),NA())</f>
        <v>#N/A</v>
      </c>
      <c r="EZ148" s="32" t="e">
        <f>IF(EY$3,IF(CHOOSE(EY$7,Eu_tabel_a[[#This Row],[x base]]&gt;0,Eu_tabel_a[[#This Row],[x base]]&lt;0,Eu_tabel_a[[#This Row],[x base]]=0),1,NA()),NA())</f>
        <v>#N/A</v>
      </c>
      <c r="FA148" s="32" t="e">
        <f>IF(CHOOSE(EY$7,Eu_tabel_a[[#This Row],[x base]]&gt;0,Eu_tabel_a[[#This Row],[x base]]&lt;0,Eu_tabel_a[[#This Row],[x base]]=0),Eu_tabel_a[[#This Row],[Styrke, aktiv]],NA())</f>
        <v>#N/A</v>
      </c>
      <c r="FB148" s="32" t="e">
        <f>IFERROR(IF($EY$3,Eu_tabel_a[[#This Row],[Styrke, aktiv]],NA()),NA())</f>
        <v>#N/A</v>
      </c>
      <c r="FC148" s="32" t="e">
        <f>IF(ISNA(Eu_tabel_a[[#This Row],[Sand negativ
Nulhypotese afvises
Korrekt]]),NA(),IF(EY$3,1,NA()))</f>
        <v>#N/A</v>
      </c>
      <c r="FD148" s="33" t="str" cm="1">
        <f t="array" ref="FD148">IFERROR(_xlfn.SWITCH(Eu_tabel_a[[#This Row],[Indeks]],_xlfn.IFNA(FB$2,-99),FB$5,_xlfn.IFNA(FB$3,-99),FB$6,_xlfn.IFNA(FB$4,-99),FB$7,""),"")</f>
        <v/>
      </c>
      <c r="FE148" s="32">
        <f>Eu_tabel_a[[#This Row],[x base]]*SQRT(Eu_a_h0_x*(1-Eu_a_h0_x)/Eu_a_n_x)+Eu_a_h0_x</f>
        <v>0</v>
      </c>
      <c r="FJ148" s="74" t="e">
        <f t="shared" si="234"/>
        <v>#N/A</v>
      </c>
      <c r="FK148" s="82" t="e">
        <f t="shared" si="218"/>
        <v>#DIV/0!</v>
      </c>
      <c r="FL148" s="7" t="e">
        <f t="shared" si="228"/>
        <v>#DIV/0!</v>
      </c>
      <c r="FM148" t="e">
        <f t="shared" si="219"/>
        <v>#DIV/0!</v>
      </c>
      <c r="FN148" s="8" t="e">
        <f t="shared" si="220"/>
        <v>#DIV/0!</v>
      </c>
      <c r="FO148" s="8" t="e">
        <f t="shared" si="221"/>
        <v>#DIV/0!</v>
      </c>
      <c r="FP148" s="81" t="e">
        <f t="shared" si="222"/>
        <v>#DIV/0!</v>
      </c>
      <c r="FQ148" s="74" t="e">
        <f t="shared" ca="1" si="229"/>
        <v>#N/A</v>
      </c>
      <c r="FR148" s="82" t="e" vm="3">
        <f t="shared" ca="1" si="235"/>
        <v>#VALUE!</v>
      </c>
      <c r="FS148" s="7" t="e" vm="3">
        <f t="shared" ca="1" si="230"/>
        <v>#VALUE!</v>
      </c>
      <c r="FT148" t="e" vm="3">
        <f t="shared" ca="1" si="224"/>
        <v>#VALUE!</v>
      </c>
      <c r="FU148" s="8" t="e" vm="3">
        <f t="shared" ca="1" si="225"/>
        <v>#VALUE!</v>
      </c>
      <c r="FV148" s="8" t="e" vm="3">
        <f t="shared" ca="1" si="226"/>
        <v>#VALUE!</v>
      </c>
      <c r="FW148" s="81" t="e" vm="3">
        <f t="shared" ca="1" si="227"/>
        <v>#VALUE!</v>
      </c>
      <c r="FX148" s="74" t="e">
        <f t="shared" si="231"/>
        <v>#N/A</v>
      </c>
      <c r="FY148" s="82" t="e">
        <f t="shared" si="236"/>
        <v>#N/A</v>
      </c>
      <c r="FZ148" s="7" t="e">
        <f t="shared" si="232"/>
        <v>#N/A</v>
      </c>
      <c r="GA148" t="e">
        <f t="shared" si="237"/>
        <v>#N/A</v>
      </c>
      <c r="GB148" s="8" t="e">
        <f t="shared" si="238"/>
        <v>#N/A</v>
      </c>
      <c r="GC148" s="8" t="e">
        <f t="shared" si="239"/>
        <v>#N/A</v>
      </c>
      <c r="GD148" s="81" t="e">
        <f t="shared" si="240"/>
        <v>#N/A</v>
      </c>
      <c r="GE148" s="74" t="e">
        <f t="shared" si="241"/>
        <v>#N/A</v>
      </c>
      <c r="GF148" s="82" t="e">
        <f t="shared" si="242"/>
        <v>#N/A</v>
      </c>
      <c r="GG148" s="7" t="e">
        <f t="shared" si="233"/>
        <v>#N/A</v>
      </c>
      <c r="GH148" t="e">
        <f t="shared" si="243"/>
        <v>#N/A</v>
      </c>
      <c r="GI148" s="8" t="e">
        <f t="shared" si="244"/>
        <v>#N/A</v>
      </c>
      <c r="GJ148" s="8" t="e">
        <f t="shared" si="245"/>
        <v>#N/A</v>
      </c>
      <c r="GK148" s="81" t="e">
        <f t="shared" si="246"/>
        <v>#N/A</v>
      </c>
      <c r="GL148" s="81"/>
      <c r="GM148" s="81"/>
      <c r="GP148" s="32">
        <f t="shared" si="291"/>
        <v>138</v>
      </c>
      <c r="GQ148" s="32">
        <f t="shared" si="292"/>
        <v>139</v>
      </c>
      <c r="GR148" s="32">
        <f t="shared" si="293"/>
        <v>0.2155976027558939</v>
      </c>
      <c r="GS148" s="32">
        <f t="shared" si="294"/>
        <v>0.38977731256446624</v>
      </c>
      <c r="GT148" s="32" t="e">
        <f t="shared" si="295"/>
        <v>#N/A</v>
      </c>
      <c r="GU148" s="32" t="e">
        <f t="shared" si="296"/>
        <v>#N/A</v>
      </c>
      <c r="GV148" s="32" t="e">
        <f t="shared" si="297"/>
        <v>#N/A</v>
      </c>
      <c r="GW148" s="32" t="b">
        <f t="shared" si="298"/>
        <v>0</v>
      </c>
      <c r="GX148" s="32" t="b">
        <f t="shared" si="299"/>
        <v>1</v>
      </c>
      <c r="GY148" s="32" t="b">
        <f t="shared" si="300"/>
        <v>0</v>
      </c>
      <c r="GZ148" s="32" t="b">
        <f t="shared" si="301"/>
        <v>1</v>
      </c>
      <c r="HA148" s="32">
        <f t="shared" si="302"/>
        <v>0.38977731256446624</v>
      </c>
      <c r="HB148" s="32" t="e">
        <f t="shared" si="303"/>
        <v>#N/A</v>
      </c>
      <c r="HC148" s="32">
        <f t="shared" si="304"/>
        <v>0.38977731256446624</v>
      </c>
      <c r="HD148" s="45" t="str">
        <f t="shared" si="305"/>
        <v/>
      </c>
      <c r="HJ148" s="32">
        <f t="shared" si="306"/>
        <v>138</v>
      </c>
      <c r="HK148" s="32">
        <f t="shared" si="307"/>
        <v>139</v>
      </c>
      <c r="HL148" s="32">
        <f t="shared" si="308"/>
        <v>0.33385741595151153</v>
      </c>
      <c r="HM148" s="32" t="e">
        <f t="shared" si="309"/>
        <v>#N/A</v>
      </c>
      <c r="HN148" s="32">
        <f t="shared" si="310"/>
        <v>0.36141649529983938</v>
      </c>
      <c r="HO148" s="32" t="e">
        <f t="shared" si="311"/>
        <v>#N/A</v>
      </c>
      <c r="HP148" s="32" t="e">
        <f t="shared" si="312"/>
        <v>#N/A</v>
      </c>
      <c r="HQ148" s="32" t="b">
        <f t="shared" si="313"/>
        <v>1</v>
      </c>
      <c r="HR148" s="32" t="b">
        <f t="shared" si="314"/>
        <v>0</v>
      </c>
      <c r="HS148" s="32" t="b">
        <f t="shared" si="315"/>
        <v>0</v>
      </c>
      <c r="HT148" s="32" t="b">
        <f t="shared" si="316"/>
        <v>1</v>
      </c>
      <c r="HU148" s="32">
        <f t="shared" si="317"/>
        <v>0.36141649529983938</v>
      </c>
      <c r="HV148" s="32">
        <f t="shared" si="318"/>
        <v>0.36141649529983938</v>
      </c>
      <c r="HW148" s="32" t="e">
        <f t="shared" si="319"/>
        <v>#N/A</v>
      </c>
      <c r="HX148" s="45" t="str">
        <f t="shared" si="320"/>
        <v/>
      </c>
    </row>
    <row r="149" spans="78:232" x14ac:dyDescent="0.2">
      <c r="BZ149" s="32">
        <f t="shared" si="247"/>
        <v>139</v>
      </c>
      <c r="CA149" s="32">
        <f>Eu_tabel_g[[#This Row],[Indeks]]+1</f>
        <v>140</v>
      </c>
      <c r="CB149" s="32">
        <f t="shared" si="248"/>
        <v>0.23955289195099327</v>
      </c>
      <c r="CC149" s="32">
        <f t="shared" si="249"/>
        <v>0.38765817217124104</v>
      </c>
      <c r="CD149" s="32" t="e">
        <f t="shared" si="250"/>
        <v>#N/A</v>
      </c>
      <c r="CE149" s="32" t="e">
        <f t="shared" si="251"/>
        <v>#N/A</v>
      </c>
      <c r="CF149" s="32" t="e">
        <f t="shared" si="252"/>
        <v>#N/A</v>
      </c>
      <c r="CG149" s="32" t="b">
        <f t="shared" si="253"/>
        <v>0</v>
      </c>
      <c r="CH149" s="32" t="b">
        <f t="shared" si="254"/>
        <v>1</v>
      </c>
      <c r="CI149" s="32" t="b">
        <f t="shared" si="255"/>
        <v>0</v>
      </c>
      <c r="CJ149" s="32" t="b">
        <f t="shared" si="256"/>
        <v>1</v>
      </c>
      <c r="CK149" s="32">
        <f t="shared" si="223"/>
        <v>0.38765817217124104</v>
      </c>
      <c r="CL149" s="32" t="e">
        <f t="shared" si="257"/>
        <v>#N/A</v>
      </c>
      <c r="CM149" s="32">
        <f t="shared" si="258"/>
        <v>0.38765817217124104</v>
      </c>
      <c r="CN149" s="45" t="str">
        <f t="shared" si="259"/>
        <v/>
      </c>
      <c r="CO149" s="32">
        <f>_xlfn.NORM.DIST(_xlfn.NORM.INV(1-Eu_g_konfidensniveau,0,1)-Eu_tabel_g[[#This Row],[x base]],0,1,TRUE)</f>
        <v>2.9755004368531696E-2</v>
      </c>
      <c r="CP149" s="32">
        <f>1-_xlfn.NORM.DIST(_xlfn.NORM.INV(Eu_g_konfidensniveau,0,1)-Eu_tabel_g[[#This Row],[x base]],0,1,TRUE)</f>
        <v>7.9965934948739603E-2</v>
      </c>
      <c r="CQ149" s="32">
        <f>_xlfn.NORM.DIST(_xlfn.NORM.INV((1-Eu_g_konfidensniveau)/2,0,1)-Eu_tabel_g[[#This Row],[x base]],0,1,TRUE)+1-_xlfn.NORM.DIST(_xlfn.NORM.INV(1-(1-Eu_g_konfidensniveau)/2,0,1)-Eu_tabel_g[[#This Row],[x base]],0,1,TRUE)</f>
        <v>5.6599466268945853E-2</v>
      </c>
      <c r="CR149" s="32" t="e" cm="1">
        <f t="array" ref="CR149">IF($CR$3,INDEX(Eu_tabel_g[[#This Row],[Styrke venstre]:[Styrke tosidet]],CR$7),NA())</f>
        <v>#N/A</v>
      </c>
      <c r="CS149" s="52" t="e">
        <f>Eu_tabel_g[[#This Row],[Falsk positiv
Nulhypotese accepteres
Fejltype 1]]</f>
        <v>#N/A</v>
      </c>
      <c r="CT149" s="52" t="e">
        <f>IF(CHOOSE(CR$7,Eu_tabel_g[[#This Row],[x base]]&gt;0,Eu_tabel_g[[#This Row],[x base]]&lt;0,Eu_tabel_g[[#This Row],[x base]]=0),Eu_tabel_g[[#This Row],[Styrke, aktiv]],NA())</f>
        <v>#N/A</v>
      </c>
      <c r="CU149" s="52" t="e">
        <f>IFERROR(IF($CR$3,Eu_tabel_g[[#This Row],[Styrke, aktiv]],NA()),NA())</f>
        <v>#N/A</v>
      </c>
      <c r="CV149" s="52" t="e">
        <f>IF(ISNA(Eu_tabel_g[[#This Row],[Sand negativ
Nulhypotese afvises
Korrekt]]),NA(),IF($CR$3,1,NA()))</f>
        <v>#N/A</v>
      </c>
      <c r="CW149" s="34" t="str" cm="1">
        <f t="array" ref="CW149">_xlfn.SWITCH(BZ149,_xlfn.IFNA(CU$2,-99),CU$5,_xlfn.IFNA(CU$3,-99),CU$6,_xlfn.IFNA(CU$4,-99),CU$7,"")</f>
        <v/>
      </c>
      <c r="DA149" s="7">
        <f t="shared" si="260"/>
        <v>0.8</v>
      </c>
      <c r="DB149">
        <f>IF(ROW(Styrkeberegning_G[[#This Row],[X base venstre]])=ROW(Styrkeberegning_G[[#Headers],[X base venstre]])+1,DB$7/(DA$7/$B$67),DB148/(DA148/$B$67))</f>
        <v>-2.8015817870135784</v>
      </c>
      <c r="DC149">
        <f>Styrkeberegning_G[[#This Row],[X base venstre]]*-1</f>
        <v>2.8015817870135784</v>
      </c>
      <c r="DN149" s="32">
        <f t="shared" si="261"/>
        <v>139</v>
      </c>
      <c r="DO149" s="32">
        <f t="shared" si="262"/>
        <v>140</v>
      </c>
      <c r="DP149" s="32">
        <f t="shared" si="263"/>
        <v>17.68970170661683</v>
      </c>
      <c r="DQ149" s="32" t="e">
        <f t="shared" si="264"/>
        <v>#N/A</v>
      </c>
      <c r="DR149" s="32" t="e">
        <f t="shared" si="265"/>
        <v>#N/A</v>
      </c>
      <c r="DS149" s="32">
        <f t="shared" si="266"/>
        <v>2.5058243893553676E-2</v>
      </c>
      <c r="DT149" s="32" t="e">
        <f t="shared" si="267"/>
        <v>#N/A</v>
      </c>
      <c r="DU149" s="32" t="b">
        <f t="shared" si="268"/>
        <v>0</v>
      </c>
      <c r="DV149" s="32" t="b">
        <f t="shared" si="269"/>
        <v>1</v>
      </c>
      <c r="DW149" s="32" t="b">
        <f t="shared" si="270"/>
        <v>0</v>
      </c>
      <c r="DX149" s="32" t="b">
        <f t="shared" si="271"/>
        <v>1</v>
      </c>
      <c r="DY149" s="32">
        <f t="shared" si="272"/>
        <v>2.5058243893553676E-2</v>
      </c>
      <c r="DZ149" s="32" t="e">
        <f t="shared" si="273"/>
        <v>#N/A</v>
      </c>
      <c r="EA149" s="32">
        <f t="shared" si="274"/>
        <v>2.5058243893553676E-2</v>
      </c>
      <c r="EB149" s="45" t="str">
        <f t="shared" si="275"/>
        <v/>
      </c>
      <c r="EG149" s="32">
        <f t="shared" si="276"/>
        <v>139</v>
      </c>
      <c r="EH149" s="32">
        <f t="shared" si="277"/>
        <v>140</v>
      </c>
      <c r="EI149" s="32">
        <f t="shared" si="278"/>
        <v>0.23955289195099327</v>
      </c>
      <c r="EJ149" s="32">
        <f t="shared" si="279"/>
        <v>0.38765817217124104</v>
      </c>
      <c r="EK149" s="32" t="e">
        <f t="shared" si="280"/>
        <v>#N/A</v>
      </c>
      <c r="EL149" s="32" t="e">
        <f t="shared" si="281"/>
        <v>#N/A</v>
      </c>
      <c r="EM149" s="32" t="e">
        <f t="shared" si="282"/>
        <v>#N/A</v>
      </c>
      <c r="EN149" s="32" t="b">
        <f t="shared" si="283"/>
        <v>0</v>
      </c>
      <c r="EO149" s="32" t="b">
        <f t="shared" si="284"/>
        <v>1</v>
      </c>
      <c r="EP149" s="32" t="b">
        <f t="shared" si="285"/>
        <v>0</v>
      </c>
      <c r="EQ149" s="32" t="b">
        <f t="shared" si="286"/>
        <v>1</v>
      </c>
      <c r="ER149" s="32">
        <f t="shared" si="287"/>
        <v>0.38765817217124104</v>
      </c>
      <c r="ES149" s="32" t="e">
        <f t="shared" si="288"/>
        <v>#N/A</v>
      </c>
      <c r="ET149" s="32">
        <f t="shared" si="289"/>
        <v>0.38765817217124104</v>
      </c>
      <c r="EU149" s="45" t="str">
        <f t="shared" si="290"/>
        <v/>
      </c>
      <c r="EV14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9" s="32" t="e" cm="1">
        <f t="array" ref="EY149">IF($CR$3,INDEX(Eu_tabel_a[[#This Row],[Styrke venstre]:[Styrke tosidet]],EY$7),NA())</f>
        <v>#N/A</v>
      </c>
      <c r="EZ149" s="32" t="e">
        <f>IF(EY$3,IF(CHOOSE(EY$7,Eu_tabel_a[[#This Row],[x base]]&gt;0,Eu_tabel_a[[#This Row],[x base]]&lt;0,Eu_tabel_a[[#This Row],[x base]]=0),1,NA()),NA())</f>
        <v>#N/A</v>
      </c>
      <c r="FA149" s="32" t="e">
        <f>IF(CHOOSE(EY$7,Eu_tabel_a[[#This Row],[x base]]&gt;0,Eu_tabel_a[[#This Row],[x base]]&lt;0,Eu_tabel_a[[#This Row],[x base]]=0),Eu_tabel_a[[#This Row],[Styrke, aktiv]],NA())</f>
        <v>#N/A</v>
      </c>
      <c r="FB149" s="32" t="e">
        <f>IFERROR(IF($EY$3,Eu_tabel_a[[#This Row],[Styrke, aktiv]],NA()),NA())</f>
        <v>#N/A</v>
      </c>
      <c r="FC149" s="32" t="e">
        <f>IF(ISNA(Eu_tabel_a[[#This Row],[Sand negativ
Nulhypotese afvises
Korrekt]]),NA(),IF(EY$3,1,NA()))</f>
        <v>#N/A</v>
      </c>
      <c r="FD149" s="33" t="str" cm="1">
        <f t="array" ref="FD149">IFERROR(_xlfn.SWITCH(Eu_tabel_a[[#This Row],[Indeks]],_xlfn.IFNA(FB$2,-99),FB$5,_xlfn.IFNA(FB$3,-99),FB$6,_xlfn.IFNA(FB$4,-99),FB$7,""),"")</f>
        <v/>
      </c>
      <c r="FE149" s="32">
        <f>Eu_tabel_a[[#This Row],[x base]]*SQRT(Eu_a_h0_x*(1-Eu_a_h0_x)/Eu_a_n_x)+Eu_a_h0_x</f>
        <v>0</v>
      </c>
      <c r="FJ149" s="74" t="e">
        <f t="shared" si="234"/>
        <v>#N/A</v>
      </c>
      <c r="FK149" s="82" t="e">
        <f t="shared" si="218"/>
        <v>#DIV/0!</v>
      </c>
      <c r="FL149" s="7" t="e">
        <f t="shared" si="228"/>
        <v>#DIV/0!</v>
      </c>
      <c r="FM149" t="e">
        <f t="shared" si="219"/>
        <v>#DIV/0!</v>
      </c>
      <c r="FN149" s="8" t="e">
        <f t="shared" si="220"/>
        <v>#DIV/0!</v>
      </c>
      <c r="FO149" s="8" t="e">
        <f t="shared" si="221"/>
        <v>#DIV/0!</v>
      </c>
      <c r="FP149" s="81" t="e">
        <f t="shared" si="222"/>
        <v>#DIV/0!</v>
      </c>
      <c r="FQ149" s="74" t="e">
        <f t="shared" ca="1" si="229"/>
        <v>#N/A</v>
      </c>
      <c r="FR149" s="82" t="e" vm="3">
        <f t="shared" ca="1" si="235"/>
        <v>#VALUE!</v>
      </c>
      <c r="FS149" s="7" t="e" vm="3">
        <f t="shared" ca="1" si="230"/>
        <v>#VALUE!</v>
      </c>
      <c r="FT149" t="e" vm="3">
        <f t="shared" ca="1" si="224"/>
        <v>#VALUE!</v>
      </c>
      <c r="FU149" s="8" t="e" vm="3">
        <f t="shared" ca="1" si="225"/>
        <v>#VALUE!</v>
      </c>
      <c r="FV149" s="8" t="e" vm="3">
        <f t="shared" ca="1" si="226"/>
        <v>#VALUE!</v>
      </c>
      <c r="FW149" s="81" t="e" vm="3">
        <f t="shared" ca="1" si="227"/>
        <v>#VALUE!</v>
      </c>
      <c r="FX149" s="74" t="e">
        <f t="shared" si="231"/>
        <v>#N/A</v>
      </c>
      <c r="FY149" s="82" t="e">
        <f t="shared" si="236"/>
        <v>#N/A</v>
      </c>
      <c r="FZ149" s="7" t="e">
        <f t="shared" si="232"/>
        <v>#N/A</v>
      </c>
      <c r="GA149" t="e">
        <f t="shared" si="237"/>
        <v>#N/A</v>
      </c>
      <c r="GB149" s="8" t="e">
        <f t="shared" si="238"/>
        <v>#N/A</v>
      </c>
      <c r="GC149" s="8" t="e">
        <f t="shared" si="239"/>
        <v>#N/A</v>
      </c>
      <c r="GD149" s="81" t="e">
        <f t="shared" si="240"/>
        <v>#N/A</v>
      </c>
      <c r="GE149" s="74" t="e">
        <f t="shared" si="241"/>
        <v>#N/A</v>
      </c>
      <c r="GF149" s="82" t="e">
        <f t="shared" si="242"/>
        <v>#N/A</v>
      </c>
      <c r="GG149" s="7" t="e">
        <f t="shared" si="233"/>
        <v>#N/A</v>
      </c>
      <c r="GH149" t="e">
        <f t="shared" si="243"/>
        <v>#N/A</v>
      </c>
      <c r="GI149" s="8" t="e">
        <f t="shared" si="244"/>
        <v>#N/A</v>
      </c>
      <c r="GJ149" s="8" t="e">
        <f t="shared" si="245"/>
        <v>#N/A</v>
      </c>
      <c r="GK149" s="81" t="e">
        <f t="shared" si="246"/>
        <v>#N/A</v>
      </c>
      <c r="GL149" s="81"/>
      <c r="GM149" s="81"/>
      <c r="GP149" s="32">
        <f t="shared" si="291"/>
        <v>139</v>
      </c>
      <c r="GQ149" s="32">
        <f t="shared" si="292"/>
        <v>140</v>
      </c>
      <c r="GR149" s="32">
        <f t="shared" si="293"/>
        <v>0.23955289195099327</v>
      </c>
      <c r="GS149" s="32">
        <f t="shared" si="294"/>
        <v>0.38765817217124104</v>
      </c>
      <c r="GT149" s="32" t="e">
        <f t="shared" si="295"/>
        <v>#N/A</v>
      </c>
      <c r="GU149" s="32" t="e">
        <f t="shared" si="296"/>
        <v>#N/A</v>
      </c>
      <c r="GV149" s="32" t="e">
        <f t="shared" si="297"/>
        <v>#N/A</v>
      </c>
      <c r="GW149" s="32" t="b">
        <f t="shared" si="298"/>
        <v>0</v>
      </c>
      <c r="GX149" s="32" t="b">
        <f t="shared" si="299"/>
        <v>1</v>
      </c>
      <c r="GY149" s="32" t="b">
        <f t="shared" si="300"/>
        <v>0</v>
      </c>
      <c r="GZ149" s="32" t="b">
        <f t="shared" si="301"/>
        <v>1</v>
      </c>
      <c r="HA149" s="32">
        <f t="shared" si="302"/>
        <v>0.38765817217124104</v>
      </c>
      <c r="HB149" s="32" t="e">
        <f t="shared" si="303"/>
        <v>#N/A</v>
      </c>
      <c r="HC149" s="32">
        <f t="shared" si="304"/>
        <v>0.38765817217124104</v>
      </c>
      <c r="HD149" s="45" t="str">
        <f t="shared" si="305"/>
        <v/>
      </c>
      <c r="HJ149" s="32">
        <f t="shared" si="306"/>
        <v>139</v>
      </c>
      <c r="HK149" s="32">
        <f t="shared" si="307"/>
        <v>140</v>
      </c>
      <c r="HL149" s="32">
        <f t="shared" si="308"/>
        <v>0.37095268439056905</v>
      </c>
      <c r="HM149" s="32" t="e">
        <f t="shared" si="309"/>
        <v>#N/A</v>
      </c>
      <c r="HN149" s="32">
        <f t="shared" si="310"/>
        <v>0.35615003188924504</v>
      </c>
      <c r="HO149" s="32" t="e">
        <f t="shared" si="311"/>
        <v>#N/A</v>
      </c>
      <c r="HP149" s="32" t="e">
        <f t="shared" si="312"/>
        <v>#N/A</v>
      </c>
      <c r="HQ149" s="32" t="b">
        <f t="shared" si="313"/>
        <v>1</v>
      </c>
      <c r="HR149" s="32" t="b">
        <f t="shared" si="314"/>
        <v>0</v>
      </c>
      <c r="HS149" s="32" t="b">
        <f t="shared" si="315"/>
        <v>0</v>
      </c>
      <c r="HT149" s="32" t="b">
        <f t="shared" si="316"/>
        <v>1</v>
      </c>
      <c r="HU149" s="32">
        <f t="shared" si="317"/>
        <v>0.35615003188924504</v>
      </c>
      <c r="HV149" s="32">
        <f t="shared" si="318"/>
        <v>0.35615003188924504</v>
      </c>
      <c r="HW149" s="32" t="e">
        <f t="shared" si="319"/>
        <v>#N/A</v>
      </c>
      <c r="HX149" s="45" t="str">
        <f t="shared" si="320"/>
        <v/>
      </c>
    </row>
    <row r="150" spans="78:232" x14ac:dyDescent="0.2">
      <c r="BZ150" s="32">
        <f t="shared" si="247"/>
        <v>140</v>
      </c>
      <c r="CA150" s="32">
        <f>Eu_tabel_g[[#This Row],[Indeks]]+1</f>
        <v>141</v>
      </c>
      <c r="CB150" s="32">
        <f t="shared" si="248"/>
        <v>0.26350818114609265</v>
      </c>
      <c r="CC150" s="32">
        <f t="shared" si="249"/>
        <v>0.38532936613430413</v>
      </c>
      <c r="CD150" s="32" t="e">
        <f t="shared" si="250"/>
        <v>#N/A</v>
      </c>
      <c r="CE150" s="32" t="e">
        <f t="shared" si="251"/>
        <v>#N/A</v>
      </c>
      <c r="CF150" s="32" t="e">
        <f t="shared" si="252"/>
        <v>#N/A</v>
      </c>
      <c r="CG150" s="32" t="b">
        <f t="shared" si="253"/>
        <v>0</v>
      </c>
      <c r="CH150" s="32" t="b">
        <f t="shared" si="254"/>
        <v>1</v>
      </c>
      <c r="CI150" s="32" t="b">
        <f t="shared" si="255"/>
        <v>0</v>
      </c>
      <c r="CJ150" s="32" t="b">
        <f t="shared" si="256"/>
        <v>1</v>
      </c>
      <c r="CK150" s="32">
        <f t="shared" si="223"/>
        <v>0.38532936613430413</v>
      </c>
      <c r="CL150" s="32" t="e">
        <f t="shared" si="257"/>
        <v>#N/A</v>
      </c>
      <c r="CM150" s="32">
        <f t="shared" si="258"/>
        <v>0.38532936613430413</v>
      </c>
      <c r="CN150" s="45" t="str">
        <f t="shared" si="259"/>
        <v/>
      </c>
      <c r="CO150" s="32">
        <f>_xlfn.NORM.DIST(_xlfn.NORM.INV(1-Eu_g_konfidensniveau,0,1)-Eu_tabel_g[[#This Row],[x base]],0,1,TRUE)</f>
        <v>2.8172234747108612E-2</v>
      </c>
      <c r="CP150" s="32">
        <f>1-_xlfn.NORM.DIST(_xlfn.NORM.INV(Eu_g_konfidensniveau,0,1)-Eu_tabel_g[[#This Row],[x base]],0,1,TRUE)</f>
        <v>8.3586385571648658E-2</v>
      </c>
      <c r="CQ150" s="32">
        <f>_xlfn.NORM.DIST(_xlfn.NORM.INV((1-Eu_g_konfidensniveau)/2,0,1)-Eu_tabel_g[[#This Row],[x base]],0,1,TRUE)+1-_xlfn.NORM.DIST(_xlfn.NORM.INV(1-(1-Eu_g_konfidensniveau)/2,0,1)-Eu_tabel_g[[#This Row],[x base]],0,1,TRUE)</f>
        <v>5.7991785795311279E-2</v>
      </c>
      <c r="CR150" s="32" t="e" cm="1">
        <f t="array" ref="CR150">IF($CR$3,INDEX(Eu_tabel_g[[#This Row],[Styrke venstre]:[Styrke tosidet]],CR$7),NA())</f>
        <v>#N/A</v>
      </c>
      <c r="CS150" s="52" t="e">
        <f>Eu_tabel_g[[#This Row],[Falsk positiv
Nulhypotese accepteres
Fejltype 1]]</f>
        <v>#N/A</v>
      </c>
      <c r="CT150" s="52" t="e">
        <f>IF(CHOOSE(CR$7,Eu_tabel_g[[#This Row],[x base]]&gt;0,Eu_tabel_g[[#This Row],[x base]]&lt;0,Eu_tabel_g[[#This Row],[x base]]=0),Eu_tabel_g[[#This Row],[Styrke, aktiv]],NA())</f>
        <v>#N/A</v>
      </c>
      <c r="CU150" s="52" t="e">
        <f>IFERROR(IF($CR$3,Eu_tabel_g[[#This Row],[Styrke, aktiv]],NA()),NA())</f>
        <v>#N/A</v>
      </c>
      <c r="CV150" s="52" t="e">
        <f>IF(ISNA(Eu_tabel_g[[#This Row],[Sand negativ
Nulhypotese afvises
Korrekt]]),NA(),IF($CR$3,1,NA()))</f>
        <v>#N/A</v>
      </c>
      <c r="CW150" s="34" t="str" cm="1">
        <f t="array" ref="CW150">_xlfn.SWITCH(BZ150,_xlfn.IFNA(CU$2,-99),CU$5,_xlfn.IFNA(CU$3,-99),CU$6,_xlfn.IFNA(CU$4,-99),CU$7,"")</f>
        <v/>
      </c>
      <c r="DA150" s="7">
        <f t="shared" si="260"/>
        <v>0.8</v>
      </c>
      <c r="DB150">
        <f>IF(ROW(Styrkeberegning_G[[#This Row],[X base venstre]])=ROW(Styrkeberegning_G[[#Headers],[X base venstre]])+1,DB$7/(DA$7/$B$67),DB149/(DA149/$B$67))</f>
        <v>-2.8015817870135784</v>
      </c>
      <c r="DC150">
        <f>Styrkeberegning_G[[#This Row],[X base venstre]]*-1</f>
        <v>2.8015817870135784</v>
      </c>
      <c r="DN150" s="32">
        <f t="shared" si="261"/>
        <v>140</v>
      </c>
      <c r="DO150" s="32">
        <f t="shared" si="262"/>
        <v>141</v>
      </c>
      <c r="DP150" s="32">
        <f t="shared" si="263"/>
        <v>17.803772563033831</v>
      </c>
      <c r="DQ150" s="32" t="e">
        <f t="shared" si="264"/>
        <v>#N/A</v>
      </c>
      <c r="DR150" s="32" t="e">
        <f t="shared" si="265"/>
        <v>#N/A</v>
      </c>
      <c r="DS150" s="32">
        <f t="shared" si="266"/>
        <v>2.4363649122558756E-2</v>
      </c>
      <c r="DT150" s="32" t="e">
        <f t="shared" si="267"/>
        <v>#N/A</v>
      </c>
      <c r="DU150" s="32" t="b">
        <f t="shared" si="268"/>
        <v>0</v>
      </c>
      <c r="DV150" s="32" t="b">
        <f t="shared" si="269"/>
        <v>1</v>
      </c>
      <c r="DW150" s="32" t="b">
        <f t="shared" si="270"/>
        <v>0</v>
      </c>
      <c r="DX150" s="32" t="b">
        <f t="shared" si="271"/>
        <v>1</v>
      </c>
      <c r="DY150" s="32">
        <f t="shared" si="272"/>
        <v>2.4363649122558756E-2</v>
      </c>
      <c r="DZ150" s="32" t="e">
        <f t="shared" si="273"/>
        <v>#N/A</v>
      </c>
      <c r="EA150" s="32">
        <f t="shared" si="274"/>
        <v>2.4363649122558756E-2</v>
      </c>
      <c r="EB150" s="45" t="str">
        <f t="shared" si="275"/>
        <v/>
      </c>
      <c r="EG150" s="32">
        <f t="shared" si="276"/>
        <v>140</v>
      </c>
      <c r="EH150" s="32">
        <f t="shared" si="277"/>
        <v>141</v>
      </c>
      <c r="EI150" s="32">
        <f t="shared" si="278"/>
        <v>0.26350818114609265</v>
      </c>
      <c r="EJ150" s="32">
        <f t="shared" si="279"/>
        <v>0.38532936613430413</v>
      </c>
      <c r="EK150" s="32" t="e">
        <f t="shared" si="280"/>
        <v>#N/A</v>
      </c>
      <c r="EL150" s="32" t="e">
        <f t="shared" si="281"/>
        <v>#N/A</v>
      </c>
      <c r="EM150" s="32" t="e">
        <f t="shared" si="282"/>
        <v>#N/A</v>
      </c>
      <c r="EN150" s="32" t="b">
        <f t="shared" si="283"/>
        <v>0</v>
      </c>
      <c r="EO150" s="32" t="b">
        <f t="shared" si="284"/>
        <v>1</v>
      </c>
      <c r="EP150" s="32" t="b">
        <f t="shared" si="285"/>
        <v>0</v>
      </c>
      <c r="EQ150" s="32" t="b">
        <f t="shared" si="286"/>
        <v>1</v>
      </c>
      <c r="ER150" s="32">
        <f t="shared" si="287"/>
        <v>0.38532936613430413</v>
      </c>
      <c r="ES150" s="32" t="e">
        <f t="shared" si="288"/>
        <v>#N/A</v>
      </c>
      <c r="ET150" s="32">
        <f t="shared" si="289"/>
        <v>0.38532936613430413</v>
      </c>
      <c r="EU150" s="45" t="str">
        <f t="shared" si="290"/>
        <v/>
      </c>
      <c r="EV15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0" s="32" t="e" cm="1">
        <f t="array" ref="EY150">IF($CR$3,INDEX(Eu_tabel_a[[#This Row],[Styrke venstre]:[Styrke tosidet]],EY$7),NA())</f>
        <v>#N/A</v>
      </c>
      <c r="EZ150" s="32" t="e">
        <f>IF(EY$3,IF(CHOOSE(EY$7,Eu_tabel_a[[#This Row],[x base]]&gt;0,Eu_tabel_a[[#This Row],[x base]]&lt;0,Eu_tabel_a[[#This Row],[x base]]=0),1,NA()),NA())</f>
        <v>#N/A</v>
      </c>
      <c r="FA150" s="32" t="e">
        <f>IF(CHOOSE(EY$7,Eu_tabel_a[[#This Row],[x base]]&gt;0,Eu_tabel_a[[#This Row],[x base]]&lt;0,Eu_tabel_a[[#This Row],[x base]]=0),Eu_tabel_a[[#This Row],[Styrke, aktiv]],NA())</f>
        <v>#N/A</v>
      </c>
      <c r="FB150" s="32" t="e">
        <f>IFERROR(IF($EY$3,Eu_tabel_a[[#This Row],[Styrke, aktiv]],NA()),NA())</f>
        <v>#N/A</v>
      </c>
      <c r="FC150" s="32" t="e">
        <f>IF(ISNA(Eu_tabel_a[[#This Row],[Sand negativ
Nulhypotese afvises
Korrekt]]),NA(),IF(EY$3,1,NA()))</f>
        <v>#N/A</v>
      </c>
      <c r="FD150" s="33" t="str" cm="1">
        <f t="array" ref="FD150">IFERROR(_xlfn.SWITCH(Eu_tabel_a[[#This Row],[Indeks]],_xlfn.IFNA(FB$2,-99),FB$5,_xlfn.IFNA(FB$3,-99),FB$6,_xlfn.IFNA(FB$4,-99),FB$7,""),"")</f>
        <v/>
      </c>
      <c r="FE150" s="32">
        <f>Eu_tabel_a[[#This Row],[x base]]*SQRT(Eu_a_h0_x*(1-Eu_a_h0_x)/Eu_a_n_x)+Eu_a_h0_x</f>
        <v>0</v>
      </c>
      <c r="FJ150" s="74" t="e">
        <f t="shared" si="234"/>
        <v>#N/A</v>
      </c>
      <c r="FK150" s="82" t="e">
        <f t="shared" si="218"/>
        <v>#DIV/0!</v>
      </c>
      <c r="FL150" s="7" t="e">
        <f t="shared" si="228"/>
        <v>#DIV/0!</v>
      </c>
      <c r="FM150" t="e">
        <f t="shared" si="219"/>
        <v>#DIV/0!</v>
      </c>
      <c r="FN150" s="8" t="e">
        <f t="shared" si="220"/>
        <v>#DIV/0!</v>
      </c>
      <c r="FO150" s="8" t="e">
        <f t="shared" si="221"/>
        <v>#DIV/0!</v>
      </c>
      <c r="FP150" s="81" t="e">
        <f t="shared" si="222"/>
        <v>#DIV/0!</v>
      </c>
      <c r="FQ150" s="74" t="e">
        <f t="shared" ca="1" si="229"/>
        <v>#N/A</v>
      </c>
      <c r="FR150" s="82" t="e" vm="3">
        <f t="shared" ca="1" si="235"/>
        <v>#VALUE!</v>
      </c>
      <c r="FS150" s="7" t="e" vm="3">
        <f t="shared" ca="1" si="230"/>
        <v>#VALUE!</v>
      </c>
      <c r="FT150" t="e" vm="3">
        <f t="shared" ca="1" si="224"/>
        <v>#VALUE!</v>
      </c>
      <c r="FU150" s="8" t="e" vm="3">
        <f t="shared" ca="1" si="225"/>
        <v>#VALUE!</v>
      </c>
      <c r="FV150" s="8" t="e" vm="3">
        <f t="shared" ca="1" si="226"/>
        <v>#VALUE!</v>
      </c>
      <c r="FW150" s="81" t="e" vm="3">
        <f t="shared" ca="1" si="227"/>
        <v>#VALUE!</v>
      </c>
      <c r="FX150" s="74" t="e">
        <f t="shared" si="231"/>
        <v>#N/A</v>
      </c>
      <c r="FY150" s="82" t="e">
        <f t="shared" si="236"/>
        <v>#N/A</v>
      </c>
      <c r="FZ150" s="7" t="e">
        <f t="shared" si="232"/>
        <v>#N/A</v>
      </c>
      <c r="GA150" t="e">
        <f t="shared" si="237"/>
        <v>#N/A</v>
      </c>
      <c r="GB150" s="8" t="e">
        <f t="shared" si="238"/>
        <v>#N/A</v>
      </c>
      <c r="GC150" s="8" t="e">
        <f t="shared" si="239"/>
        <v>#N/A</v>
      </c>
      <c r="GD150" s="81" t="e">
        <f t="shared" si="240"/>
        <v>#N/A</v>
      </c>
      <c r="GE150" s="74" t="e">
        <f t="shared" si="241"/>
        <v>#N/A</v>
      </c>
      <c r="GF150" s="82" t="e">
        <f t="shared" si="242"/>
        <v>#N/A</v>
      </c>
      <c r="GG150" s="7" t="e">
        <f t="shared" si="233"/>
        <v>#N/A</v>
      </c>
      <c r="GH150" t="e">
        <f t="shared" si="243"/>
        <v>#N/A</v>
      </c>
      <c r="GI150" s="8" t="e">
        <f t="shared" si="244"/>
        <v>#N/A</v>
      </c>
      <c r="GJ150" s="8" t="e">
        <f t="shared" si="245"/>
        <v>#N/A</v>
      </c>
      <c r="GK150" s="81" t="e">
        <f t="shared" si="246"/>
        <v>#N/A</v>
      </c>
      <c r="GL150" s="81"/>
      <c r="GM150" s="81"/>
      <c r="GP150" s="32">
        <f t="shared" si="291"/>
        <v>140</v>
      </c>
      <c r="GQ150" s="32">
        <f t="shared" si="292"/>
        <v>141</v>
      </c>
      <c r="GR150" s="32">
        <f t="shared" si="293"/>
        <v>0.26350818114609265</v>
      </c>
      <c r="GS150" s="32">
        <f t="shared" si="294"/>
        <v>0.38532936613430413</v>
      </c>
      <c r="GT150" s="32" t="e">
        <f t="shared" si="295"/>
        <v>#N/A</v>
      </c>
      <c r="GU150" s="32" t="e">
        <f t="shared" si="296"/>
        <v>#N/A</v>
      </c>
      <c r="GV150" s="32" t="e">
        <f t="shared" si="297"/>
        <v>#N/A</v>
      </c>
      <c r="GW150" s="32" t="b">
        <f t="shared" si="298"/>
        <v>0</v>
      </c>
      <c r="GX150" s="32" t="b">
        <f t="shared" si="299"/>
        <v>1</v>
      </c>
      <c r="GY150" s="32" t="b">
        <f t="shared" si="300"/>
        <v>0</v>
      </c>
      <c r="GZ150" s="32" t="b">
        <f t="shared" si="301"/>
        <v>1</v>
      </c>
      <c r="HA150" s="32">
        <f t="shared" si="302"/>
        <v>0.38532936613430413</v>
      </c>
      <c r="HB150" s="32" t="e">
        <f t="shared" si="303"/>
        <v>#N/A</v>
      </c>
      <c r="HC150" s="32">
        <f t="shared" si="304"/>
        <v>0.38532936613430413</v>
      </c>
      <c r="HD150" s="45" t="str">
        <f t="shared" si="305"/>
        <v/>
      </c>
      <c r="HJ150" s="32">
        <f t="shared" si="306"/>
        <v>140</v>
      </c>
      <c r="HK150" s="32">
        <f t="shared" si="307"/>
        <v>141</v>
      </c>
      <c r="HL150" s="32">
        <f t="shared" si="308"/>
        <v>0.40804795282962569</v>
      </c>
      <c r="HM150" s="32" t="e">
        <f t="shared" si="309"/>
        <v>#N/A</v>
      </c>
      <c r="HN150" s="32">
        <f t="shared" si="310"/>
        <v>0.35044031794837688</v>
      </c>
      <c r="HO150" s="32" t="e">
        <f t="shared" si="311"/>
        <v>#N/A</v>
      </c>
      <c r="HP150" s="32" t="e">
        <f t="shared" si="312"/>
        <v>#N/A</v>
      </c>
      <c r="HQ150" s="32" t="b">
        <f t="shared" si="313"/>
        <v>1</v>
      </c>
      <c r="HR150" s="32" t="b">
        <f t="shared" si="314"/>
        <v>0</v>
      </c>
      <c r="HS150" s="32" t="b">
        <f t="shared" si="315"/>
        <v>0</v>
      </c>
      <c r="HT150" s="32" t="b">
        <f t="shared" si="316"/>
        <v>1</v>
      </c>
      <c r="HU150" s="32">
        <f t="shared" si="317"/>
        <v>0.35044031794837688</v>
      </c>
      <c r="HV150" s="32">
        <f t="shared" si="318"/>
        <v>0.35044031794837688</v>
      </c>
      <c r="HW150" s="32" t="e">
        <f t="shared" si="319"/>
        <v>#N/A</v>
      </c>
      <c r="HX150" s="45" t="str">
        <f t="shared" si="320"/>
        <v/>
      </c>
    </row>
    <row r="151" spans="78:232" x14ac:dyDescent="0.2">
      <c r="BZ151" s="32">
        <f t="shared" si="247"/>
        <v>141</v>
      </c>
      <c r="CA151" s="32">
        <f>Eu_tabel_g[[#This Row],[Indeks]]+1</f>
        <v>142</v>
      </c>
      <c r="CB151" s="32">
        <f t="shared" si="248"/>
        <v>0.28746347034119202</v>
      </c>
      <c r="CC151" s="32">
        <f t="shared" si="249"/>
        <v>0.38279481799811688</v>
      </c>
      <c r="CD151" s="32" t="e">
        <f t="shared" si="250"/>
        <v>#N/A</v>
      </c>
      <c r="CE151" s="32" t="e">
        <f t="shared" si="251"/>
        <v>#N/A</v>
      </c>
      <c r="CF151" s="32" t="e">
        <f t="shared" si="252"/>
        <v>#N/A</v>
      </c>
      <c r="CG151" s="32" t="b">
        <f t="shared" si="253"/>
        <v>0</v>
      </c>
      <c r="CH151" s="32" t="b">
        <f t="shared" si="254"/>
        <v>1</v>
      </c>
      <c r="CI151" s="32" t="b">
        <f t="shared" si="255"/>
        <v>0</v>
      </c>
      <c r="CJ151" s="32" t="b">
        <f t="shared" si="256"/>
        <v>1</v>
      </c>
      <c r="CK151" s="32">
        <f t="shared" si="223"/>
        <v>0.38279481799811688</v>
      </c>
      <c r="CL151" s="32" t="e">
        <f t="shared" si="257"/>
        <v>#N/A</v>
      </c>
      <c r="CM151" s="32">
        <f t="shared" si="258"/>
        <v>0.38279481799811688</v>
      </c>
      <c r="CN151" s="45" t="str">
        <f t="shared" si="259"/>
        <v/>
      </c>
      <c r="CO151" s="32">
        <f>_xlfn.NORM.DIST(_xlfn.NORM.INV(1-Eu_g_konfidensniveau,0,1)-Eu_tabel_g[[#This Row],[x base]],0,1,TRUE)</f>
        <v>2.6660189708944231E-2</v>
      </c>
      <c r="CP151" s="32">
        <f>1-_xlfn.NORM.DIST(_xlfn.NORM.INV(Eu_g_konfidensniveau,0,1)-Eu_tabel_g[[#This Row],[x base]],0,1,TRUE)</f>
        <v>8.7328637113466168E-2</v>
      </c>
      <c r="CQ151" s="32">
        <f>_xlfn.NORM.DIST(_xlfn.NORM.INV((1-Eu_g_konfidensniveau)/2,0,1)-Eu_tabel_g[[#This Row],[x base]],0,1,TRUE)+1-_xlfn.NORM.DIST(_xlfn.NORM.INV(1-(1-Eu_g_konfidensniveau)/2,0,1)-Eu_tabel_g[[#This Row],[x base]],0,1,TRUE)</f>
        <v>5.9519194294059163E-2</v>
      </c>
      <c r="CR151" s="32" t="e" cm="1">
        <f t="array" ref="CR151">IF($CR$3,INDEX(Eu_tabel_g[[#This Row],[Styrke venstre]:[Styrke tosidet]],CR$7),NA())</f>
        <v>#N/A</v>
      </c>
      <c r="CS151" s="52" t="e">
        <f>Eu_tabel_g[[#This Row],[Falsk positiv
Nulhypotese accepteres
Fejltype 1]]</f>
        <v>#N/A</v>
      </c>
      <c r="CT151" s="52" t="e">
        <f>IF(CHOOSE(CR$7,Eu_tabel_g[[#This Row],[x base]]&gt;0,Eu_tabel_g[[#This Row],[x base]]&lt;0,Eu_tabel_g[[#This Row],[x base]]=0),Eu_tabel_g[[#This Row],[Styrke, aktiv]],NA())</f>
        <v>#N/A</v>
      </c>
      <c r="CU151" s="52" t="e">
        <f>IFERROR(IF($CR$3,Eu_tabel_g[[#This Row],[Styrke, aktiv]],NA()),NA())</f>
        <v>#N/A</v>
      </c>
      <c r="CV151" s="52" t="e">
        <f>IF(ISNA(Eu_tabel_g[[#This Row],[Sand negativ
Nulhypotese afvises
Korrekt]]),NA(),IF($CR$3,1,NA()))</f>
        <v>#N/A</v>
      </c>
      <c r="CW151" s="34" t="str" cm="1">
        <f t="array" ref="CW151">_xlfn.SWITCH(BZ151,_xlfn.IFNA(CU$2,-99),CU$5,_xlfn.IFNA(CU$3,-99),CU$6,_xlfn.IFNA(CU$4,-99),CU$7,"")</f>
        <v/>
      </c>
      <c r="DA151" s="7">
        <f t="shared" si="260"/>
        <v>0.8</v>
      </c>
      <c r="DB151">
        <f>IF(ROW(Styrkeberegning_G[[#This Row],[X base venstre]])=ROW(Styrkeberegning_G[[#Headers],[X base venstre]])+1,DB$7/(DA$7/$B$67),DB150/(DA150/$B$67))</f>
        <v>-2.8015817870135784</v>
      </c>
      <c r="DC151">
        <f>Styrkeberegning_G[[#This Row],[X base venstre]]*-1</f>
        <v>2.8015817870135784</v>
      </c>
      <c r="DN151" s="32">
        <f t="shared" si="261"/>
        <v>141</v>
      </c>
      <c r="DO151" s="32">
        <f t="shared" si="262"/>
        <v>142</v>
      </c>
      <c r="DP151" s="32">
        <f t="shared" si="263"/>
        <v>17.917843419450833</v>
      </c>
      <c r="DQ151" s="32" t="e">
        <f t="shared" si="264"/>
        <v>#N/A</v>
      </c>
      <c r="DR151" s="32" t="e">
        <f t="shared" si="265"/>
        <v>#N/A</v>
      </c>
      <c r="DS151" s="32">
        <f t="shared" si="266"/>
        <v>2.368393234023642E-2</v>
      </c>
      <c r="DT151" s="32" t="e">
        <f t="shared" si="267"/>
        <v>#N/A</v>
      </c>
      <c r="DU151" s="32" t="b">
        <f t="shared" si="268"/>
        <v>0</v>
      </c>
      <c r="DV151" s="32" t="b">
        <f t="shared" si="269"/>
        <v>1</v>
      </c>
      <c r="DW151" s="32" t="b">
        <f t="shared" si="270"/>
        <v>0</v>
      </c>
      <c r="DX151" s="32" t="b">
        <f t="shared" si="271"/>
        <v>1</v>
      </c>
      <c r="DY151" s="32">
        <f t="shared" si="272"/>
        <v>2.368393234023642E-2</v>
      </c>
      <c r="DZ151" s="32" t="e">
        <f t="shared" si="273"/>
        <v>#N/A</v>
      </c>
      <c r="EA151" s="32">
        <f t="shared" si="274"/>
        <v>2.368393234023642E-2</v>
      </c>
      <c r="EB151" s="45" t="str">
        <f t="shared" si="275"/>
        <v/>
      </c>
      <c r="EG151" s="32">
        <f t="shared" si="276"/>
        <v>141</v>
      </c>
      <c r="EH151" s="32">
        <f t="shared" si="277"/>
        <v>142</v>
      </c>
      <c r="EI151" s="32">
        <f t="shared" si="278"/>
        <v>0.28746347034119202</v>
      </c>
      <c r="EJ151" s="32">
        <f t="shared" si="279"/>
        <v>0.38279481799811688</v>
      </c>
      <c r="EK151" s="32" t="e">
        <f t="shared" si="280"/>
        <v>#N/A</v>
      </c>
      <c r="EL151" s="32" t="e">
        <f t="shared" si="281"/>
        <v>#N/A</v>
      </c>
      <c r="EM151" s="32" t="e">
        <f t="shared" si="282"/>
        <v>#N/A</v>
      </c>
      <c r="EN151" s="32" t="b">
        <f t="shared" si="283"/>
        <v>0</v>
      </c>
      <c r="EO151" s="32" t="b">
        <f t="shared" si="284"/>
        <v>1</v>
      </c>
      <c r="EP151" s="32" t="b">
        <f t="shared" si="285"/>
        <v>0</v>
      </c>
      <c r="EQ151" s="32" t="b">
        <f t="shared" si="286"/>
        <v>1</v>
      </c>
      <c r="ER151" s="32">
        <f t="shared" si="287"/>
        <v>0.38279481799811688</v>
      </c>
      <c r="ES151" s="32" t="e">
        <f t="shared" si="288"/>
        <v>#N/A</v>
      </c>
      <c r="ET151" s="32">
        <f t="shared" si="289"/>
        <v>0.38279481799811688</v>
      </c>
      <c r="EU151" s="45" t="str">
        <f t="shared" si="290"/>
        <v/>
      </c>
      <c r="EV15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1" s="32" t="e" cm="1">
        <f t="array" ref="EY151">IF($CR$3,INDEX(Eu_tabel_a[[#This Row],[Styrke venstre]:[Styrke tosidet]],EY$7),NA())</f>
        <v>#N/A</v>
      </c>
      <c r="EZ151" s="32" t="e">
        <f>IF(EY$3,IF(CHOOSE(EY$7,Eu_tabel_a[[#This Row],[x base]]&gt;0,Eu_tabel_a[[#This Row],[x base]]&lt;0,Eu_tabel_a[[#This Row],[x base]]=0),1,NA()),NA())</f>
        <v>#N/A</v>
      </c>
      <c r="FA151" s="32" t="e">
        <f>IF(CHOOSE(EY$7,Eu_tabel_a[[#This Row],[x base]]&gt;0,Eu_tabel_a[[#This Row],[x base]]&lt;0,Eu_tabel_a[[#This Row],[x base]]=0),Eu_tabel_a[[#This Row],[Styrke, aktiv]],NA())</f>
        <v>#N/A</v>
      </c>
      <c r="FB151" s="32" t="e">
        <f>IFERROR(IF($EY$3,Eu_tabel_a[[#This Row],[Styrke, aktiv]],NA()),NA())</f>
        <v>#N/A</v>
      </c>
      <c r="FC151" s="32" t="e">
        <f>IF(ISNA(Eu_tabel_a[[#This Row],[Sand negativ
Nulhypotese afvises
Korrekt]]),NA(),IF(EY$3,1,NA()))</f>
        <v>#N/A</v>
      </c>
      <c r="FD151" s="33" t="str" cm="1">
        <f t="array" ref="FD151">IFERROR(_xlfn.SWITCH(Eu_tabel_a[[#This Row],[Indeks]],_xlfn.IFNA(FB$2,-99),FB$5,_xlfn.IFNA(FB$3,-99),FB$6,_xlfn.IFNA(FB$4,-99),FB$7,""),"")</f>
        <v/>
      </c>
      <c r="FE151" s="32">
        <f>Eu_tabel_a[[#This Row],[x base]]*SQRT(Eu_a_h0_x*(1-Eu_a_h0_x)/Eu_a_n_x)+Eu_a_h0_x</f>
        <v>0</v>
      </c>
      <c r="FJ151" s="74" t="e">
        <f t="shared" si="234"/>
        <v>#N/A</v>
      </c>
      <c r="FK151" s="82" t="e">
        <f t="shared" si="218"/>
        <v>#DIV/0!</v>
      </c>
      <c r="FL151" s="7" t="e">
        <f t="shared" si="228"/>
        <v>#DIV/0!</v>
      </c>
      <c r="FM151" t="e">
        <f t="shared" si="219"/>
        <v>#DIV/0!</v>
      </c>
      <c r="FN151" s="8" t="e">
        <f t="shared" si="220"/>
        <v>#DIV/0!</v>
      </c>
      <c r="FO151" s="8" t="e">
        <f t="shared" si="221"/>
        <v>#DIV/0!</v>
      </c>
      <c r="FP151" s="81" t="e">
        <f t="shared" si="222"/>
        <v>#DIV/0!</v>
      </c>
      <c r="FQ151" s="74" t="e">
        <f t="shared" ca="1" si="229"/>
        <v>#N/A</v>
      </c>
      <c r="FR151" s="82" t="e" vm="3">
        <f t="shared" ca="1" si="235"/>
        <v>#VALUE!</v>
      </c>
      <c r="FS151" s="7" t="e" vm="3">
        <f t="shared" ca="1" si="230"/>
        <v>#VALUE!</v>
      </c>
      <c r="FT151" t="e" vm="3">
        <f t="shared" ca="1" si="224"/>
        <v>#VALUE!</v>
      </c>
      <c r="FU151" s="8" t="e" vm="3">
        <f t="shared" ca="1" si="225"/>
        <v>#VALUE!</v>
      </c>
      <c r="FV151" s="8" t="e" vm="3">
        <f t="shared" ca="1" si="226"/>
        <v>#VALUE!</v>
      </c>
      <c r="FW151" s="81" t="e" vm="3">
        <f t="shared" ca="1" si="227"/>
        <v>#VALUE!</v>
      </c>
      <c r="FX151" s="74" t="e">
        <f t="shared" si="231"/>
        <v>#N/A</v>
      </c>
      <c r="FY151" s="82" t="e">
        <f t="shared" si="236"/>
        <v>#N/A</v>
      </c>
      <c r="FZ151" s="7" t="e">
        <f t="shared" si="232"/>
        <v>#N/A</v>
      </c>
      <c r="GA151" t="e">
        <f t="shared" si="237"/>
        <v>#N/A</v>
      </c>
      <c r="GB151" s="8" t="e">
        <f t="shared" si="238"/>
        <v>#N/A</v>
      </c>
      <c r="GC151" s="8" t="e">
        <f t="shared" si="239"/>
        <v>#N/A</v>
      </c>
      <c r="GD151" s="81" t="e">
        <f t="shared" si="240"/>
        <v>#N/A</v>
      </c>
      <c r="GE151" s="74" t="e">
        <f t="shared" si="241"/>
        <v>#N/A</v>
      </c>
      <c r="GF151" s="82" t="e">
        <f t="shared" si="242"/>
        <v>#N/A</v>
      </c>
      <c r="GG151" s="7" t="e">
        <f t="shared" si="233"/>
        <v>#N/A</v>
      </c>
      <c r="GH151" t="e">
        <f t="shared" si="243"/>
        <v>#N/A</v>
      </c>
      <c r="GI151" s="8" t="e">
        <f t="shared" si="244"/>
        <v>#N/A</v>
      </c>
      <c r="GJ151" s="8" t="e">
        <f t="shared" si="245"/>
        <v>#N/A</v>
      </c>
      <c r="GK151" s="81" t="e">
        <f t="shared" si="246"/>
        <v>#N/A</v>
      </c>
      <c r="GL151" s="81"/>
      <c r="GM151" s="81"/>
      <c r="GP151" s="32">
        <f t="shared" si="291"/>
        <v>141</v>
      </c>
      <c r="GQ151" s="32">
        <f t="shared" si="292"/>
        <v>142</v>
      </c>
      <c r="GR151" s="32">
        <f t="shared" si="293"/>
        <v>0.28746347034119202</v>
      </c>
      <c r="GS151" s="32">
        <f t="shared" si="294"/>
        <v>0.38279481799811688</v>
      </c>
      <c r="GT151" s="32" t="e">
        <f t="shared" si="295"/>
        <v>#N/A</v>
      </c>
      <c r="GU151" s="32" t="e">
        <f t="shared" si="296"/>
        <v>#N/A</v>
      </c>
      <c r="GV151" s="32" t="e">
        <f t="shared" si="297"/>
        <v>#N/A</v>
      </c>
      <c r="GW151" s="32" t="b">
        <f t="shared" si="298"/>
        <v>0</v>
      </c>
      <c r="GX151" s="32" t="b">
        <f t="shared" si="299"/>
        <v>1</v>
      </c>
      <c r="GY151" s="32" t="b">
        <f t="shared" si="300"/>
        <v>0</v>
      </c>
      <c r="GZ151" s="32" t="b">
        <f t="shared" si="301"/>
        <v>1</v>
      </c>
      <c r="HA151" s="32">
        <f t="shared" si="302"/>
        <v>0.38279481799811688</v>
      </c>
      <c r="HB151" s="32" t="e">
        <f t="shared" si="303"/>
        <v>#N/A</v>
      </c>
      <c r="HC151" s="32">
        <f t="shared" si="304"/>
        <v>0.38279481799811688</v>
      </c>
      <c r="HD151" s="45" t="str">
        <f t="shared" si="305"/>
        <v/>
      </c>
      <c r="HJ151" s="32">
        <f t="shared" si="306"/>
        <v>141</v>
      </c>
      <c r="HK151" s="32">
        <f t="shared" si="307"/>
        <v>142</v>
      </c>
      <c r="HL151" s="32">
        <f t="shared" si="308"/>
        <v>0.44514322126868233</v>
      </c>
      <c r="HM151" s="32" t="e">
        <f t="shared" si="309"/>
        <v>#N/A</v>
      </c>
      <c r="HN151" s="32">
        <f t="shared" si="310"/>
        <v>0.34431748323144512</v>
      </c>
      <c r="HO151" s="32" t="e">
        <f t="shared" si="311"/>
        <v>#N/A</v>
      </c>
      <c r="HP151" s="32" t="e">
        <f t="shared" si="312"/>
        <v>#N/A</v>
      </c>
      <c r="HQ151" s="32" t="b">
        <f t="shared" si="313"/>
        <v>1</v>
      </c>
      <c r="HR151" s="32" t="b">
        <f t="shared" si="314"/>
        <v>0</v>
      </c>
      <c r="HS151" s="32" t="b">
        <f t="shared" si="315"/>
        <v>0</v>
      </c>
      <c r="HT151" s="32" t="b">
        <f t="shared" si="316"/>
        <v>1</v>
      </c>
      <c r="HU151" s="32">
        <f t="shared" si="317"/>
        <v>0.34431748323144512</v>
      </c>
      <c r="HV151" s="32">
        <f t="shared" si="318"/>
        <v>0.34431748323144512</v>
      </c>
      <c r="HW151" s="32" t="e">
        <f t="shared" si="319"/>
        <v>#N/A</v>
      </c>
      <c r="HX151" s="45" t="str">
        <f t="shared" si="320"/>
        <v/>
      </c>
    </row>
    <row r="152" spans="78:232" x14ac:dyDescent="0.2">
      <c r="BZ152" s="32">
        <f t="shared" si="247"/>
        <v>142</v>
      </c>
      <c r="CA152" s="32">
        <f>Eu_tabel_g[[#This Row],[Indeks]]+1</f>
        <v>143</v>
      </c>
      <c r="CB152" s="32">
        <f t="shared" si="248"/>
        <v>0.31141875953629139</v>
      </c>
      <c r="CC152" s="32">
        <f t="shared" si="249"/>
        <v>0.38005877958699552</v>
      </c>
      <c r="CD152" s="32" t="e">
        <f t="shared" si="250"/>
        <v>#N/A</v>
      </c>
      <c r="CE152" s="32" t="e">
        <f t="shared" si="251"/>
        <v>#N/A</v>
      </c>
      <c r="CF152" s="32" t="e">
        <f t="shared" si="252"/>
        <v>#N/A</v>
      </c>
      <c r="CG152" s="32" t="b">
        <f t="shared" si="253"/>
        <v>0</v>
      </c>
      <c r="CH152" s="32" t="b">
        <f t="shared" si="254"/>
        <v>1</v>
      </c>
      <c r="CI152" s="32" t="b">
        <f t="shared" si="255"/>
        <v>0</v>
      </c>
      <c r="CJ152" s="32" t="b">
        <f t="shared" si="256"/>
        <v>1</v>
      </c>
      <c r="CK152" s="32">
        <f t="shared" si="223"/>
        <v>0.38005877958699552</v>
      </c>
      <c r="CL152" s="32" t="e">
        <f t="shared" si="257"/>
        <v>#N/A</v>
      </c>
      <c r="CM152" s="32">
        <f t="shared" si="258"/>
        <v>0.38005877958699552</v>
      </c>
      <c r="CN152" s="45" t="str">
        <f t="shared" si="259"/>
        <v/>
      </c>
      <c r="CO152" s="32">
        <f>_xlfn.NORM.DIST(_xlfn.NORM.INV(1-Eu_g_konfidensniveau,0,1)-Eu_tabel_g[[#This Row],[x base]],0,1,TRUE)</f>
        <v>2.5216537638391368E-2</v>
      </c>
      <c r="CP152" s="32">
        <f>1-_xlfn.NORM.DIST(_xlfn.NORM.INV(Eu_g_konfidensniveau,0,1)-Eu_tabel_g[[#This Row],[x base]],0,1,TRUE)</f>
        <v>9.1194568240704932E-2</v>
      </c>
      <c r="CQ152" s="32">
        <f>_xlfn.NORM.DIST(_xlfn.NORM.INV((1-Eu_g_konfidensniveau)/2,0,1)-Eu_tabel_g[[#This Row],[x base]],0,1,TRUE)+1-_xlfn.NORM.DIST(_xlfn.NORM.INV(1-(1-Eu_g_konfidensniveau)/2,0,1)-Eu_tabel_g[[#This Row],[x base]],0,1,TRUE)</f>
        <v>6.1182328184333556E-2</v>
      </c>
      <c r="CR152" s="32" t="e" cm="1">
        <f t="array" ref="CR152">IF($CR$3,INDEX(Eu_tabel_g[[#This Row],[Styrke venstre]:[Styrke tosidet]],CR$7),NA())</f>
        <v>#N/A</v>
      </c>
      <c r="CS152" s="52" t="e">
        <f>Eu_tabel_g[[#This Row],[Falsk positiv
Nulhypotese accepteres
Fejltype 1]]</f>
        <v>#N/A</v>
      </c>
      <c r="CT152" s="52" t="e">
        <f>IF(CHOOSE(CR$7,Eu_tabel_g[[#This Row],[x base]]&gt;0,Eu_tabel_g[[#This Row],[x base]]&lt;0,Eu_tabel_g[[#This Row],[x base]]=0),Eu_tabel_g[[#This Row],[Styrke, aktiv]],NA())</f>
        <v>#N/A</v>
      </c>
      <c r="CU152" s="52" t="e">
        <f>IFERROR(IF($CR$3,Eu_tabel_g[[#This Row],[Styrke, aktiv]],NA()),NA())</f>
        <v>#N/A</v>
      </c>
      <c r="CV152" s="52" t="e">
        <f>IF(ISNA(Eu_tabel_g[[#This Row],[Sand negativ
Nulhypotese afvises
Korrekt]]),NA(),IF($CR$3,1,NA()))</f>
        <v>#N/A</v>
      </c>
      <c r="CW152" s="34" t="str" cm="1">
        <f t="array" ref="CW152">_xlfn.SWITCH(BZ152,_xlfn.IFNA(CU$2,-99),CU$5,_xlfn.IFNA(CU$3,-99),CU$6,_xlfn.IFNA(CU$4,-99),CU$7,"")</f>
        <v/>
      </c>
      <c r="DA152" s="7">
        <f t="shared" si="260"/>
        <v>0.8</v>
      </c>
      <c r="DB152">
        <f>IF(ROW(Styrkeberegning_G[[#This Row],[X base venstre]])=ROW(Styrkeberegning_G[[#Headers],[X base venstre]])+1,DB$7/(DA$7/$B$67),DB151/(DA151/$B$67))</f>
        <v>-2.8015817870135784</v>
      </c>
      <c r="DC152">
        <f>Styrkeberegning_G[[#This Row],[X base venstre]]*-1</f>
        <v>2.8015817870135784</v>
      </c>
      <c r="DN152" s="32">
        <f t="shared" si="261"/>
        <v>142</v>
      </c>
      <c r="DO152" s="32">
        <f t="shared" si="262"/>
        <v>143</v>
      </c>
      <c r="DP152" s="32">
        <f t="shared" si="263"/>
        <v>18.031914275867834</v>
      </c>
      <c r="DQ152" s="32" t="e">
        <f t="shared" si="264"/>
        <v>#N/A</v>
      </c>
      <c r="DR152" s="32" t="e">
        <f t="shared" si="265"/>
        <v>#N/A</v>
      </c>
      <c r="DS152" s="32">
        <f t="shared" si="266"/>
        <v>2.3018980048812178E-2</v>
      </c>
      <c r="DT152" s="32" t="e">
        <f t="shared" si="267"/>
        <v>#N/A</v>
      </c>
      <c r="DU152" s="32" t="b">
        <f t="shared" si="268"/>
        <v>0</v>
      </c>
      <c r="DV152" s="32" t="b">
        <f t="shared" si="269"/>
        <v>1</v>
      </c>
      <c r="DW152" s="32" t="b">
        <f t="shared" si="270"/>
        <v>0</v>
      </c>
      <c r="DX152" s="32" t="b">
        <f t="shared" si="271"/>
        <v>1</v>
      </c>
      <c r="DY152" s="32">
        <f t="shared" si="272"/>
        <v>2.3018980048812178E-2</v>
      </c>
      <c r="DZ152" s="32" t="e">
        <f t="shared" si="273"/>
        <v>#N/A</v>
      </c>
      <c r="EA152" s="32">
        <f t="shared" si="274"/>
        <v>2.3018980048812178E-2</v>
      </c>
      <c r="EB152" s="45" t="str">
        <f t="shared" si="275"/>
        <v/>
      </c>
      <c r="EG152" s="32">
        <f t="shared" si="276"/>
        <v>142</v>
      </c>
      <c r="EH152" s="32">
        <f t="shared" si="277"/>
        <v>143</v>
      </c>
      <c r="EI152" s="32">
        <f t="shared" si="278"/>
        <v>0.31141875953629139</v>
      </c>
      <c r="EJ152" s="32">
        <f t="shared" si="279"/>
        <v>0.38005877958699552</v>
      </c>
      <c r="EK152" s="32" t="e">
        <f t="shared" si="280"/>
        <v>#N/A</v>
      </c>
      <c r="EL152" s="32" t="e">
        <f t="shared" si="281"/>
        <v>#N/A</v>
      </c>
      <c r="EM152" s="32" t="e">
        <f t="shared" si="282"/>
        <v>#N/A</v>
      </c>
      <c r="EN152" s="32" t="b">
        <f t="shared" si="283"/>
        <v>0</v>
      </c>
      <c r="EO152" s="32" t="b">
        <f t="shared" si="284"/>
        <v>1</v>
      </c>
      <c r="EP152" s="32" t="b">
        <f t="shared" si="285"/>
        <v>0</v>
      </c>
      <c r="EQ152" s="32" t="b">
        <f t="shared" si="286"/>
        <v>1</v>
      </c>
      <c r="ER152" s="32">
        <f t="shared" si="287"/>
        <v>0.38005877958699552</v>
      </c>
      <c r="ES152" s="32" t="e">
        <f t="shared" si="288"/>
        <v>#N/A</v>
      </c>
      <c r="ET152" s="32">
        <f t="shared" si="289"/>
        <v>0.38005877958699552</v>
      </c>
      <c r="EU152" s="45" t="str">
        <f t="shared" si="290"/>
        <v/>
      </c>
      <c r="EV15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2" s="32" t="e" cm="1">
        <f t="array" ref="EY152">IF($CR$3,INDEX(Eu_tabel_a[[#This Row],[Styrke venstre]:[Styrke tosidet]],EY$7),NA())</f>
        <v>#N/A</v>
      </c>
      <c r="EZ152" s="32" t="e">
        <f>IF(EY$3,IF(CHOOSE(EY$7,Eu_tabel_a[[#This Row],[x base]]&gt;0,Eu_tabel_a[[#This Row],[x base]]&lt;0,Eu_tabel_a[[#This Row],[x base]]=0),1,NA()),NA())</f>
        <v>#N/A</v>
      </c>
      <c r="FA152" s="32" t="e">
        <f>IF(CHOOSE(EY$7,Eu_tabel_a[[#This Row],[x base]]&gt;0,Eu_tabel_a[[#This Row],[x base]]&lt;0,Eu_tabel_a[[#This Row],[x base]]=0),Eu_tabel_a[[#This Row],[Styrke, aktiv]],NA())</f>
        <v>#N/A</v>
      </c>
      <c r="FB152" s="32" t="e">
        <f>IFERROR(IF($EY$3,Eu_tabel_a[[#This Row],[Styrke, aktiv]],NA()),NA())</f>
        <v>#N/A</v>
      </c>
      <c r="FC152" s="32" t="e">
        <f>IF(ISNA(Eu_tabel_a[[#This Row],[Sand negativ
Nulhypotese afvises
Korrekt]]),NA(),IF(EY$3,1,NA()))</f>
        <v>#N/A</v>
      </c>
      <c r="FD152" s="33" t="str" cm="1">
        <f t="array" ref="FD152">IFERROR(_xlfn.SWITCH(Eu_tabel_a[[#This Row],[Indeks]],_xlfn.IFNA(FB$2,-99),FB$5,_xlfn.IFNA(FB$3,-99),FB$6,_xlfn.IFNA(FB$4,-99),FB$7,""),"")</f>
        <v/>
      </c>
      <c r="FE152" s="32">
        <f>Eu_tabel_a[[#This Row],[x base]]*SQRT(Eu_a_h0_x*(1-Eu_a_h0_x)/Eu_a_n_x)+Eu_a_h0_x</f>
        <v>0</v>
      </c>
      <c r="FJ152" s="74" t="e">
        <f t="shared" si="234"/>
        <v>#N/A</v>
      </c>
      <c r="FK152" s="82" t="e">
        <f t="shared" si="218"/>
        <v>#DIV/0!</v>
      </c>
      <c r="FL152" s="7" t="e">
        <f t="shared" si="228"/>
        <v>#DIV/0!</v>
      </c>
      <c r="FM152" t="e">
        <f t="shared" si="219"/>
        <v>#DIV/0!</v>
      </c>
      <c r="FN152" s="8" t="e">
        <f t="shared" si="220"/>
        <v>#DIV/0!</v>
      </c>
      <c r="FO152" s="8" t="e">
        <f t="shared" si="221"/>
        <v>#DIV/0!</v>
      </c>
      <c r="FP152" s="81" t="e">
        <f t="shared" si="222"/>
        <v>#DIV/0!</v>
      </c>
      <c r="FQ152" s="74" t="e">
        <f t="shared" ca="1" si="229"/>
        <v>#N/A</v>
      </c>
      <c r="FR152" s="82" t="e" vm="3">
        <f t="shared" ca="1" si="235"/>
        <v>#VALUE!</v>
      </c>
      <c r="FS152" s="7" t="e" vm="3">
        <f t="shared" ca="1" si="230"/>
        <v>#VALUE!</v>
      </c>
      <c r="FT152" t="e" vm="3">
        <f t="shared" ca="1" si="224"/>
        <v>#VALUE!</v>
      </c>
      <c r="FU152" s="8" t="e" vm="3">
        <f t="shared" ca="1" si="225"/>
        <v>#VALUE!</v>
      </c>
      <c r="FV152" s="8" t="e" vm="3">
        <f t="shared" ca="1" si="226"/>
        <v>#VALUE!</v>
      </c>
      <c r="FW152" s="81" t="e" vm="3">
        <f t="shared" ca="1" si="227"/>
        <v>#VALUE!</v>
      </c>
      <c r="FX152" s="74" t="e">
        <f t="shared" si="231"/>
        <v>#N/A</v>
      </c>
      <c r="FY152" s="82" t="e">
        <f t="shared" si="236"/>
        <v>#N/A</v>
      </c>
      <c r="FZ152" s="7" t="e">
        <f t="shared" si="232"/>
        <v>#N/A</v>
      </c>
      <c r="GA152" t="e">
        <f t="shared" si="237"/>
        <v>#N/A</v>
      </c>
      <c r="GB152" s="8" t="e">
        <f t="shared" si="238"/>
        <v>#N/A</v>
      </c>
      <c r="GC152" s="8" t="e">
        <f t="shared" si="239"/>
        <v>#N/A</v>
      </c>
      <c r="GD152" s="81" t="e">
        <f t="shared" si="240"/>
        <v>#N/A</v>
      </c>
      <c r="GE152" s="74" t="e">
        <f t="shared" si="241"/>
        <v>#N/A</v>
      </c>
      <c r="GF152" s="82" t="e">
        <f t="shared" si="242"/>
        <v>#N/A</v>
      </c>
      <c r="GG152" s="7" t="e">
        <f t="shared" si="233"/>
        <v>#N/A</v>
      </c>
      <c r="GH152" t="e">
        <f t="shared" si="243"/>
        <v>#N/A</v>
      </c>
      <c r="GI152" s="8" t="e">
        <f t="shared" si="244"/>
        <v>#N/A</v>
      </c>
      <c r="GJ152" s="8" t="e">
        <f t="shared" si="245"/>
        <v>#N/A</v>
      </c>
      <c r="GK152" s="81" t="e">
        <f t="shared" si="246"/>
        <v>#N/A</v>
      </c>
      <c r="GL152" s="81"/>
      <c r="GM152" s="81"/>
      <c r="GP152" s="32">
        <f t="shared" si="291"/>
        <v>142</v>
      </c>
      <c r="GQ152" s="32">
        <f t="shared" si="292"/>
        <v>143</v>
      </c>
      <c r="GR152" s="32">
        <f t="shared" si="293"/>
        <v>0.31141875953629139</v>
      </c>
      <c r="GS152" s="32">
        <f t="shared" si="294"/>
        <v>0.38005877958699552</v>
      </c>
      <c r="GT152" s="32" t="e">
        <f t="shared" si="295"/>
        <v>#N/A</v>
      </c>
      <c r="GU152" s="32" t="e">
        <f t="shared" si="296"/>
        <v>#N/A</v>
      </c>
      <c r="GV152" s="32" t="e">
        <f t="shared" si="297"/>
        <v>#N/A</v>
      </c>
      <c r="GW152" s="32" t="b">
        <f t="shared" si="298"/>
        <v>0</v>
      </c>
      <c r="GX152" s="32" t="b">
        <f t="shared" si="299"/>
        <v>1</v>
      </c>
      <c r="GY152" s="32" t="b">
        <f t="shared" si="300"/>
        <v>0</v>
      </c>
      <c r="GZ152" s="32" t="b">
        <f t="shared" si="301"/>
        <v>1</v>
      </c>
      <c r="HA152" s="32">
        <f t="shared" si="302"/>
        <v>0.38005877958699552</v>
      </c>
      <c r="HB152" s="32" t="e">
        <f t="shared" si="303"/>
        <v>#N/A</v>
      </c>
      <c r="HC152" s="32">
        <f t="shared" si="304"/>
        <v>0.38005877958699552</v>
      </c>
      <c r="HD152" s="45" t="str">
        <f t="shared" si="305"/>
        <v/>
      </c>
      <c r="HJ152" s="32">
        <f t="shared" si="306"/>
        <v>142</v>
      </c>
      <c r="HK152" s="32">
        <f t="shared" si="307"/>
        <v>143</v>
      </c>
      <c r="HL152" s="32">
        <f t="shared" si="308"/>
        <v>0.48223848970773897</v>
      </c>
      <c r="HM152" s="32" t="e">
        <f t="shared" si="309"/>
        <v>#N/A</v>
      </c>
      <c r="HN152" s="32">
        <f t="shared" si="310"/>
        <v>0.3378131221968852</v>
      </c>
      <c r="HO152" s="32" t="e">
        <f t="shared" si="311"/>
        <v>#N/A</v>
      </c>
      <c r="HP152" s="32" t="e">
        <f t="shared" si="312"/>
        <v>#N/A</v>
      </c>
      <c r="HQ152" s="32" t="b">
        <f t="shared" si="313"/>
        <v>1</v>
      </c>
      <c r="HR152" s="32" t="b">
        <f t="shared" si="314"/>
        <v>0</v>
      </c>
      <c r="HS152" s="32" t="b">
        <f t="shared" si="315"/>
        <v>0</v>
      </c>
      <c r="HT152" s="32" t="b">
        <f t="shared" si="316"/>
        <v>1</v>
      </c>
      <c r="HU152" s="32">
        <f t="shared" si="317"/>
        <v>0.3378131221968852</v>
      </c>
      <c r="HV152" s="32">
        <f t="shared" si="318"/>
        <v>0.3378131221968852</v>
      </c>
      <c r="HW152" s="32" t="e">
        <f t="shared" si="319"/>
        <v>#N/A</v>
      </c>
      <c r="HX152" s="45" t="str">
        <f t="shared" si="320"/>
        <v/>
      </c>
    </row>
    <row r="153" spans="78:232" x14ac:dyDescent="0.2">
      <c r="BZ153" s="32">
        <f t="shared" si="247"/>
        <v>143</v>
      </c>
      <c r="CA153" s="32">
        <f>Eu_tabel_g[[#This Row],[Indeks]]+1</f>
        <v>144</v>
      </c>
      <c r="CB153" s="32">
        <f t="shared" si="248"/>
        <v>0.33537404873139032</v>
      </c>
      <c r="CC153" s="32">
        <f t="shared" si="249"/>
        <v>0.37712581912279947</v>
      </c>
      <c r="CD153" s="32" t="e">
        <f t="shared" si="250"/>
        <v>#N/A</v>
      </c>
      <c r="CE153" s="32" t="e">
        <f t="shared" si="251"/>
        <v>#N/A</v>
      </c>
      <c r="CF153" s="32" t="e">
        <f t="shared" si="252"/>
        <v>#N/A</v>
      </c>
      <c r="CG153" s="32" t="b">
        <f t="shared" si="253"/>
        <v>0</v>
      </c>
      <c r="CH153" s="32" t="b">
        <f t="shared" si="254"/>
        <v>1</v>
      </c>
      <c r="CI153" s="32" t="b">
        <f t="shared" si="255"/>
        <v>0</v>
      </c>
      <c r="CJ153" s="32" t="b">
        <f t="shared" si="256"/>
        <v>1</v>
      </c>
      <c r="CK153" s="32">
        <f t="shared" si="223"/>
        <v>0.37712581912279947</v>
      </c>
      <c r="CL153" s="32" t="e">
        <f t="shared" si="257"/>
        <v>#N/A</v>
      </c>
      <c r="CM153" s="32">
        <f t="shared" si="258"/>
        <v>0.37712581912279947</v>
      </c>
      <c r="CN153" s="45" t="str">
        <f t="shared" si="259"/>
        <v/>
      </c>
      <c r="CO153" s="32">
        <f>_xlfn.NORM.DIST(_xlfn.NORM.INV(1-Eu_g_konfidensniveau,0,1)-Eu_tabel_g[[#This Row],[x base]],0,1,TRUE)</f>
        <v>2.383897568918579E-2</v>
      </c>
      <c r="CP153" s="32">
        <f>1-_xlfn.NORM.DIST(_xlfn.NORM.INV(Eu_g_konfidensniveau,0,1)-Eu_tabel_g[[#This Row],[x base]],0,1,TRUE)</f>
        <v>9.5185975462999006E-2</v>
      </c>
      <c r="CQ153" s="32">
        <f>_xlfn.NORM.DIST(_xlfn.NORM.INV((1-Eu_g_konfidensniveau)/2,0,1)-Eu_tabel_g[[#This Row],[x base]],0,1,TRUE)+1-_xlfn.NORM.DIST(_xlfn.NORM.INV(1-(1-Eu_g_konfidensniveau)/2,0,1)-Eu_tabel_g[[#This Row],[x base]],0,1,TRUE)</f>
        <v>6.2981861292597086E-2</v>
      </c>
      <c r="CR153" s="32" t="e" cm="1">
        <f t="array" ref="CR153">IF($CR$3,INDEX(Eu_tabel_g[[#This Row],[Styrke venstre]:[Styrke tosidet]],CR$7),NA())</f>
        <v>#N/A</v>
      </c>
      <c r="CS153" s="52" t="e">
        <f>Eu_tabel_g[[#This Row],[Falsk positiv
Nulhypotese accepteres
Fejltype 1]]</f>
        <v>#N/A</v>
      </c>
      <c r="CT153" s="52" t="e">
        <f>IF(CHOOSE(CR$7,Eu_tabel_g[[#This Row],[x base]]&gt;0,Eu_tabel_g[[#This Row],[x base]]&lt;0,Eu_tabel_g[[#This Row],[x base]]=0),Eu_tabel_g[[#This Row],[Styrke, aktiv]],NA())</f>
        <v>#N/A</v>
      </c>
      <c r="CU153" s="52" t="e">
        <f>IFERROR(IF($CR$3,Eu_tabel_g[[#This Row],[Styrke, aktiv]],NA()),NA())</f>
        <v>#N/A</v>
      </c>
      <c r="CV153" s="52" t="e">
        <f>IF(ISNA(Eu_tabel_g[[#This Row],[Sand negativ
Nulhypotese afvises
Korrekt]]),NA(),IF($CR$3,1,NA()))</f>
        <v>#N/A</v>
      </c>
      <c r="CW153" s="34" t="str" cm="1">
        <f t="array" ref="CW153">_xlfn.SWITCH(BZ153,_xlfn.IFNA(CU$2,-99),CU$5,_xlfn.IFNA(CU$3,-99),CU$6,_xlfn.IFNA(CU$4,-99),CU$7,"")</f>
        <v/>
      </c>
      <c r="DA153" s="7">
        <f t="shared" si="260"/>
        <v>0.8</v>
      </c>
      <c r="DB153">
        <f>IF(ROW(Styrkeberegning_G[[#This Row],[X base venstre]])=ROW(Styrkeberegning_G[[#Headers],[X base venstre]])+1,DB$7/(DA$7/$B$67),DB152/(DA152/$B$67))</f>
        <v>-2.8015817870135784</v>
      </c>
      <c r="DC153">
        <f>Styrkeberegning_G[[#This Row],[X base venstre]]*-1</f>
        <v>2.8015817870135784</v>
      </c>
      <c r="DN153" s="32">
        <f t="shared" si="261"/>
        <v>143</v>
      </c>
      <c r="DO153" s="32">
        <f t="shared" si="262"/>
        <v>144</v>
      </c>
      <c r="DP153" s="32">
        <f t="shared" si="263"/>
        <v>18.145985132284835</v>
      </c>
      <c r="DQ153" s="32" t="e">
        <f t="shared" si="264"/>
        <v>#N/A</v>
      </c>
      <c r="DR153" s="32" t="e">
        <f t="shared" si="265"/>
        <v>#N/A</v>
      </c>
      <c r="DS153" s="32">
        <f t="shared" si="266"/>
        <v>2.2368668308313761E-2</v>
      </c>
      <c r="DT153" s="32" t="e">
        <f t="shared" si="267"/>
        <v>#N/A</v>
      </c>
      <c r="DU153" s="32" t="b">
        <f t="shared" si="268"/>
        <v>0</v>
      </c>
      <c r="DV153" s="32" t="b">
        <f t="shared" si="269"/>
        <v>1</v>
      </c>
      <c r="DW153" s="32" t="b">
        <f t="shared" si="270"/>
        <v>0</v>
      </c>
      <c r="DX153" s="32" t="b">
        <f t="shared" si="271"/>
        <v>1</v>
      </c>
      <c r="DY153" s="32">
        <f t="shared" si="272"/>
        <v>2.2368668308313761E-2</v>
      </c>
      <c r="DZ153" s="32" t="e">
        <f t="shared" si="273"/>
        <v>#N/A</v>
      </c>
      <c r="EA153" s="32">
        <f t="shared" si="274"/>
        <v>2.2368668308313761E-2</v>
      </c>
      <c r="EB153" s="45" t="str">
        <f t="shared" si="275"/>
        <v/>
      </c>
      <c r="EG153" s="32">
        <f t="shared" si="276"/>
        <v>143</v>
      </c>
      <c r="EH153" s="32">
        <f t="shared" si="277"/>
        <v>144</v>
      </c>
      <c r="EI153" s="32">
        <f t="shared" si="278"/>
        <v>0.33537404873139032</v>
      </c>
      <c r="EJ153" s="32">
        <f t="shared" si="279"/>
        <v>0.37712581912279947</v>
      </c>
      <c r="EK153" s="32" t="e">
        <f t="shared" si="280"/>
        <v>#N/A</v>
      </c>
      <c r="EL153" s="32" t="e">
        <f t="shared" si="281"/>
        <v>#N/A</v>
      </c>
      <c r="EM153" s="32" t="e">
        <f t="shared" si="282"/>
        <v>#N/A</v>
      </c>
      <c r="EN153" s="32" t="b">
        <f t="shared" si="283"/>
        <v>0</v>
      </c>
      <c r="EO153" s="32" t="b">
        <f t="shared" si="284"/>
        <v>1</v>
      </c>
      <c r="EP153" s="32" t="b">
        <f t="shared" si="285"/>
        <v>0</v>
      </c>
      <c r="EQ153" s="32" t="b">
        <f t="shared" si="286"/>
        <v>1</v>
      </c>
      <c r="ER153" s="32">
        <f t="shared" si="287"/>
        <v>0.37712581912279947</v>
      </c>
      <c r="ES153" s="32" t="e">
        <f t="shared" si="288"/>
        <v>#N/A</v>
      </c>
      <c r="ET153" s="32">
        <f t="shared" si="289"/>
        <v>0.37712581912279947</v>
      </c>
      <c r="EU153" s="45" t="str">
        <f t="shared" si="290"/>
        <v/>
      </c>
      <c r="EV15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3" s="32" t="e" cm="1">
        <f t="array" ref="EY153">IF($CR$3,INDEX(Eu_tabel_a[[#This Row],[Styrke venstre]:[Styrke tosidet]],EY$7),NA())</f>
        <v>#N/A</v>
      </c>
      <c r="EZ153" s="32" t="e">
        <f>IF(EY$3,IF(CHOOSE(EY$7,Eu_tabel_a[[#This Row],[x base]]&gt;0,Eu_tabel_a[[#This Row],[x base]]&lt;0,Eu_tabel_a[[#This Row],[x base]]=0),1,NA()),NA())</f>
        <v>#N/A</v>
      </c>
      <c r="FA153" s="32" t="e">
        <f>IF(CHOOSE(EY$7,Eu_tabel_a[[#This Row],[x base]]&gt;0,Eu_tabel_a[[#This Row],[x base]]&lt;0,Eu_tabel_a[[#This Row],[x base]]=0),Eu_tabel_a[[#This Row],[Styrke, aktiv]],NA())</f>
        <v>#N/A</v>
      </c>
      <c r="FB153" s="32" t="e">
        <f>IFERROR(IF($EY$3,Eu_tabel_a[[#This Row],[Styrke, aktiv]],NA()),NA())</f>
        <v>#N/A</v>
      </c>
      <c r="FC153" s="32" t="e">
        <f>IF(ISNA(Eu_tabel_a[[#This Row],[Sand negativ
Nulhypotese afvises
Korrekt]]),NA(),IF(EY$3,1,NA()))</f>
        <v>#N/A</v>
      </c>
      <c r="FD153" s="33" t="str" cm="1">
        <f t="array" ref="FD153">IFERROR(_xlfn.SWITCH(Eu_tabel_a[[#This Row],[Indeks]],_xlfn.IFNA(FB$2,-99),FB$5,_xlfn.IFNA(FB$3,-99),FB$6,_xlfn.IFNA(FB$4,-99),FB$7,""),"")</f>
        <v/>
      </c>
      <c r="FE153" s="32">
        <f>Eu_tabel_a[[#This Row],[x base]]*SQRT(Eu_a_h0_x*(1-Eu_a_h0_x)/Eu_a_n_x)+Eu_a_h0_x</f>
        <v>0</v>
      </c>
      <c r="FJ153" s="74" t="e">
        <f t="shared" si="234"/>
        <v>#N/A</v>
      </c>
      <c r="FK153" s="82" t="e">
        <f t="shared" si="218"/>
        <v>#DIV/0!</v>
      </c>
      <c r="FL153" s="7" t="e">
        <f t="shared" si="228"/>
        <v>#DIV/0!</v>
      </c>
      <c r="FM153" t="e">
        <f t="shared" si="219"/>
        <v>#DIV/0!</v>
      </c>
      <c r="FN153" s="8" t="e">
        <f t="shared" si="220"/>
        <v>#DIV/0!</v>
      </c>
      <c r="FO153" s="8" t="e">
        <f t="shared" si="221"/>
        <v>#DIV/0!</v>
      </c>
      <c r="FP153" s="81" t="e">
        <f t="shared" si="222"/>
        <v>#DIV/0!</v>
      </c>
      <c r="FQ153" s="74" t="e">
        <f t="shared" ca="1" si="229"/>
        <v>#N/A</v>
      </c>
      <c r="FR153" s="82" t="e" vm="3">
        <f t="shared" ca="1" si="235"/>
        <v>#VALUE!</v>
      </c>
      <c r="FS153" s="7" t="e" vm="3">
        <f t="shared" ca="1" si="230"/>
        <v>#VALUE!</v>
      </c>
      <c r="FT153" t="e" vm="3">
        <f t="shared" ca="1" si="224"/>
        <v>#VALUE!</v>
      </c>
      <c r="FU153" s="8" t="e" vm="3">
        <f t="shared" ca="1" si="225"/>
        <v>#VALUE!</v>
      </c>
      <c r="FV153" s="8" t="e" vm="3">
        <f t="shared" ca="1" si="226"/>
        <v>#VALUE!</v>
      </c>
      <c r="FW153" s="81" t="e" vm="3">
        <f t="shared" ca="1" si="227"/>
        <v>#VALUE!</v>
      </c>
      <c r="FX153" s="74" t="e">
        <f t="shared" si="231"/>
        <v>#N/A</v>
      </c>
      <c r="FY153" s="82" t="e">
        <f t="shared" si="236"/>
        <v>#N/A</v>
      </c>
      <c r="FZ153" s="7" t="e">
        <f t="shared" si="232"/>
        <v>#N/A</v>
      </c>
      <c r="GA153" t="e">
        <f t="shared" si="237"/>
        <v>#N/A</v>
      </c>
      <c r="GB153" s="8" t="e">
        <f t="shared" si="238"/>
        <v>#N/A</v>
      </c>
      <c r="GC153" s="8" t="e">
        <f t="shared" si="239"/>
        <v>#N/A</v>
      </c>
      <c r="GD153" s="81" t="e">
        <f t="shared" si="240"/>
        <v>#N/A</v>
      </c>
      <c r="GE153" s="74" t="e">
        <f t="shared" si="241"/>
        <v>#N/A</v>
      </c>
      <c r="GF153" s="82" t="e">
        <f t="shared" si="242"/>
        <v>#N/A</v>
      </c>
      <c r="GG153" s="7" t="e">
        <f t="shared" si="233"/>
        <v>#N/A</v>
      </c>
      <c r="GH153" t="e">
        <f t="shared" si="243"/>
        <v>#N/A</v>
      </c>
      <c r="GI153" s="8" t="e">
        <f t="shared" si="244"/>
        <v>#N/A</v>
      </c>
      <c r="GJ153" s="8" t="e">
        <f t="shared" si="245"/>
        <v>#N/A</v>
      </c>
      <c r="GK153" s="81" t="e">
        <f t="shared" si="246"/>
        <v>#N/A</v>
      </c>
      <c r="GL153" s="81"/>
      <c r="GM153" s="81"/>
      <c r="GP153" s="32">
        <f t="shared" si="291"/>
        <v>143</v>
      </c>
      <c r="GQ153" s="32">
        <f t="shared" si="292"/>
        <v>144</v>
      </c>
      <c r="GR153" s="32">
        <f t="shared" si="293"/>
        <v>0.33537404873139032</v>
      </c>
      <c r="GS153" s="32">
        <f t="shared" si="294"/>
        <v>0.37712581912279947</v>
      </c>
      <c r="GT153" s="32" t="e">
        <f t="shared" si="295"/>
        <v>#N/A</v>
      </c>
      <c r="GU153" s="32" t="e">
        <f t="shared" si="296"/>
        <v>#N/A</v>
      </c>
      <c r="GV153" s="32" t="e">
        <f t="shared" si="297"/>
        <v>#N/A</v>
      </c>
      <c r="GW153" s="32" t="b">
        <f t="shared" si="298"/>
        <v>0</v>
      </c>
      <c r="GX153" s="32" t="b">
        <f t="shared" si="299"/>
        <v>1</v>
      </c>
      <c r="GY153" s="32" t="b">
        <f t="shared" si="300"/>
        <v>0</v>
      </c>
      <c r="GZ153" s="32" t="b">
        <f t="shared" si="301"/>
        <v>1</v>
      </c>
      <c r="HA153" s="32">
        <f t="shared" si="302"/>
        <v>0.37712581912279947</v>
      </c>
      <c r="HB153" s="32" t="e">
        <f t="shared" si="303"/>
        <v>#N/A</v>
      </c>
      <c r="HC153" s="32">
        <f t="shared" si="304"/>
        <v>0.37712581912279947</v>
      </c>
      <c r="HD153" s="45" t="str">
        <f t="shared" si="305"/>
        <v/>
      </c>
      <c r="HJ153" s="32">
        <f t="shared" si="306"/>
        <v>143</v>
      </c>
      <c r="HK153" s="32">
        <f t="shared" si="307"/>
        <v>144</v>
      </c>
      <c r="HL153" s="32">
        <f t="shared" si="308"/>
        <v>0.5193337581467965</v>
      </c>
      <c r="HM153" s="32" t="e">
        <f t="shared" si="309"/>
        <v>#N/A</v>
      </c>
      <c r="HN153" s="32">
        <f t="shared" si="310"/>
        <v>0.33095998215482636</v>
      </c>
      <c r="HO153" s="32" t="e">
        <f t="shared" si="311"/>
        <v>#N/A</v>
      </c>
      <c r="HP153" s="32" t="e">
        <f t="shared" si="312"/>
        <v>#N/A</v>
      </c>
      <c r="HQ153" s="32" t="b">
        <f t="shared" si="313"/>
        <v>1</v>
      </c>
      <c r="HR153" s="32" t="b">
        <f t="shared" si="314"/>
        <v>0</v>
      </c>
      <c r="HS153" s="32" t="b">
        <f t="shared" si="315"/>
        <v>0</v>
      </c>
      <c r="HT153" s="32" t="b">
        <f t="shared" si="316"/>
        <v>1</v>
      </c>
      <c r="HU153" s="32">
        <f t="shared" si="317"/>
        <v>0.33095998215482636</v>
      </c>
      <c r="HV153" s="32">
        <f t="shared" si="318"/>
        <v>0.33095998215482636</v>
      </c>
      <c r="HW153" s="32" t="e">
        <f t="shared" si="319"/>
        <v>#N/A</v>
      </c>
      <c r="HX153" s="45" t="str">
        <f t="shared" si="320"/>
        <v/>
      </c>
    </row>
    <row r="154" spans="78:232" x14ac:dyDescent="0.2">
      <c r="BZ154" s="32">
        <f t="shared" si="247"/>
        <v>144</v>
      </c>
      <c r="CA154" s="32">
        <f>Eu_tabel_g[[#This Row],[Indeks]]+1</f>
        <v>145</v>
      </c>
      <c r="CB154" s="32">
        <f t="shared" si="248"/>
        <v>0.35932933792648969</v>
      </c>
      <c r="CC154" s="32">
        <f t="shared" si="249"/>
        <v>0.37400080851990375</v>
      </c>
      <c r="CD154" s="32" t="e">
        <f t="shared" si="250"/>
        <v>#N/A</v>
      </c>
      <c r="CE154" s="32" t="e">
        <f t="shared" si="251"/>
        <v>#N/A</v>
      </c>
      <c r="CF154" s="32" t="e">
        <f t="shared" si="252"/>
        <v>#N/A</v>
      </c>
      <c r="CG154" s="32" t="b">
        <f t="shared" si="253"/>
        <v>0</v>
      </c>
      <c r="CH154" s="32" t="b">
        <f t="shared" si="254"/>
        <v>1</v>
      </c>
      <c r="CI154" s="32" t="b">
        <f t="shared" si="255"/>
        <v>0</v>
      </c>
      <c r="CJ154" s="32" t="b">
        <f t="shared" si="256"/>
        <v>1</v>
      </c>
      <c r="CK154" s="32">
        <f t="shared" si="223"/>
        <v>0.37400080851990375</v>
      </c>
      <c r="CL154" s="32" t="e">
        <f t="shared" si="257"/>
        <v>#N/A</v>
      </c>
      <c r="CM154" s="32">
        <f t="shared" si="258"/>
        <v>0.37400080851990375</v>
      </c>
      <c r="CN154" s="45" t="str">
        <f t="shared" si="259"/>
        <v/>
      </c>
      <c r="CO154" s="32">
        <f>_xlfn.NORM.DIST(_xlfn.NORM.INV(1-Eu_g_konfidensniveau,0,1)-Eu_tabel_g[[#This Row],[x base]],0,1,TRUE)</f>
        <v>2.2525232347582649E-2</v>
      </c>
      <c r="CP154" s="32">
        <f>1-_xlfn.NORM.DIST(_xlfn.NORM.INV(Eu_g_konfidensniveau,0,1)-Eu_tabel_g[[#This Row],[x base]],0,1,TRUE)</f>
        <v>9.9304567300618429E-2</v>
      </c>
      <c r="CQ154" s="32">
        <f>_xlfn.NORM.DIST(_xlfn.NORM.INV((1-Eu_g_konfidensniveau)/2,0,1)-Eu_tabel_g[[#This Row],[x base]],0,1,TRUE)+1-_xlfn.NORM.DIST(_xlfn.NORM.INV(1-(1-Eu_g_konfidensniveau)/2,0,1)-Eu_tabel_g[[#This Row],[x base]],0,1,TRUE)</f>
        <v>6.4918500529934087E-2</v>
      </c>
      <c r="CR154" s="32" t="e" cm="1">
        <f t="array" ref="CR154">IF($CR$3,INDEX(Eu_tabel_g[[#This Row],[Styrke venstre]:[Styrke tosidet]],CR$7),NA())</f>
        <v>#N/A</v>
      </c>
      <c r="CS154" s="52" t="e">
        <f>Eu_tabel_g[[#This Row],[Falsk positiv
Nulhypotese accepteres
Fejltype 1]]</f>
        <v>#N/A</v>
      </c>
      <c r="CT154" s="52" t="e">
        <f>IF(CHOOSE(CR$7,Eu_tabel_g[[#This Row],[x base]]&gt;0,Eu_tabel_g[[#This Row],[x base]]&lt;0,Eu_tabel_g[[#This Row],[x base]]=0),Eu_tabel_g[[#This Row],[Styrke, aktiv]],NA())</f>
        <v>#N/A</v>
      </c>
      <c r="CU154" s="52" t="e">
        <f>IFERROR(IF($CR$3,Eu_tabel_g[[#This Row],[Styrke, aktiv]],NA()),NA())</f>
        <v>#N/A</v>
      </c>
      <c r="CV154" s="52" t="e">
        <f>IF(ISNA(Eu_tabel_g[[#This Row],[Sand negativ
Nulhypotese afvises
Korrekt]]),NA(),IF($CR$3,1,NA()))</f>
        <v>#N/A</v>
      </c>
      <c r="CW154" s="34" t="str" cm="1">
        <f t="array" ref="CW154">_xlfn.SWITCH(BZ154,_xlfn.IFNA(CU$2,-99),CU$5,_xlfn.IFNA(CU$3,-99),CU$6,_xlfn.IFNA(CU$4,-99),CU$7,"")</f>
        <v/>
      </c>
      <c r="DA154" s="7">
        <f t="shared" si="260"/>
        <v>0.8</v>
      </c>
      <c r="DB154">
        <f>IF(ROW(Styrkeberegning_G[[#This Row],[X base venstre]])=ROW(Styrkeberegning_G[[#Headers],[X base venstre]])+1,DB$7/(DA$7/$B$67),DB153/(DA153/$B$67))</f>
        <v>-2.8015817870135784</v>
      </c>
      <c r="DC154">
        <f>Styrkeberegning_G[[#This Row],[X base venstre]]*-1</f>
        <v>2.8015817870135784</v>
      </c>
      <c r="DN154" s="32">
        <f t="shared" si="261"/>
        <v>144</v>
      </c>
      <c r="DO154" s="32">
        <f t="shared" si="262"/>
        <v>145</v>
      </c>
      <c r="DP154" s="32">
        <f t="shared" si="263"/>
        <v>18.260055988701836</v>
      </c>
      <c r="DQ154" s="32" t="e">
        <f t="shared" si="264"/>
        <v>#N/A</v>
      </c>
      <c r="DR154" s="32" t="e">
        <f t="shared" si="265"/>
        <v>#N/A</v>
      </c>
      <c r="DS154" s="32">
        <f t="shared" si="266"/>
        <v>2.1732863458762738E-2</v>
      </c>
      <c r="DT154" s="32" t="e">
        <f t="shared" si="267"/>
        <v>#N/A</v>
      </c>
      <c r="DU154" s="32" t="b">
        <f t="shared" si="268"/>
        <v>0</v>
      </c>
      <c r="DV154" s="32" t="b">
        <f t="shared" si="269"/>
        <v>1</v>
      </c>
      <c r="DW154" s="32" t="b">
        <f t="shared" si="270"/>
        <v>0</v>
      </c>
      <c r="DX154" s="32" t="b">
        <f t="shared" si="271"/>
        <v>1</v>
      </c>
      <c r="DY154" s="32">
        <f t="shared" si="272"/>
        <v>2.1732863458762738E-2</v>
      </c>
      <c r="DZ154" s="32" t="e">
        <f t="shared" si="273"/>
        <v>#N/A</v>
      </c>
      <c r="EA154" s="32">
        <f t="shared" si="274"/>
        <v>2.1732863458762738E-2</v>
      </c>
      <c r="EB154" s="45" t="str">
        <f t="shared" si="275"/>
        <v/>
      </c>
      <c r="EG154" s="32">
        <f t="shared" si="276"/>
        <v>144</v>
      </c>
      <c r="EH154" s="32">
        <f t="shared" si="277"/>
        <v>145</v>
      </c>
      <c r="EI154" s="32">
        <f t="shared" si="278"/>
        <v>0.35932933792648969</v>
      </c>
      <c r="EJ154" s="32">
        <f t="shared" si="279"/>
        <v>0.37400080851990375</v>
      </c>
      <c r="EK154" s="32" t="e">
        <f t="shared" si="280"/>
        <v>#N/A</v>
      </c>
      <c r="EL154" s="32" t="e">
        <f t="shared" si="281"/>
        <v>#N/A</v>
      </c>
      <c r="EM154" s="32" t="e">
        <f t="shared" si="282"/>
        <v>#N/A</v>
      </c>
      <c r="EN154" s="32" t="b">
        <f t="shared" si="283"/>
        <v>0</v>
      </c>
      <c r="EO154" s="32" t="b">
        <f t="shared" si="284"/>
        <v>1</v>
      </c>
      <c r="EP154" s="32" t="b">
        <f t="shared" si="285"/>
        <v>0</v>
      </c>
      <c r="EQ154" s="32" t="b">
        <f t="shared" si="286"/>
        <v>1</v>
      </c>
      <c r="ER154" s="32">
        <f t="shared" si="287"/>
        <v>0.37400080851990375</v>
      </c>
      <c r="ES154" s="32" t="e">
        <f t="shared" si="288"/>
        <v>#N/A</v>
      </c>
      <c r="ET154" s="32">
        <f t="shared" si="289"/>
        <v>0.37400080851990375</v>
      </c>
      <c r="EU154" s="45" t="str">
        <f t="shared" si="290"/>
        <v/>
      </c>
      <c r="EV15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4" s="32" t="e" cm="1">
        <f t="array" ref="EY154">IF($CR$3,INDEX(Eu_tabel_a[[#This Row],[Styrke venstre]:[Styrke tosidet]],EY$7),NA())</f>
        <v>#N/A</v>
      </c>
      <c r="EZ154" s="32" t="e">
        <f>IF(EY$3,IF(CHOOSE(EY$7,Eu_tabel_a[[#This Row],[x base]]&gt;0,Eu_tabel_a[[#This Row],[x base]]&lt;0,Eu_tabel_a[[#This Row],[x base]]=0),1,NA()),NA())</f>
        <v>#N/A</v>
      </c>
      <c r="FA154" s="32" t="e">
        <f>IF(CHOOSE(EY$7,Eu_tabel_a[[#This Row],[x base]]&gt;0,Eu_tabel_a[[#This Row],[x base]]&lt;0,Eu_tabel_a[[#This Row],[x base]]=0),Eu_tabel_a[[#This Row],[Styrke, aktiv]],NA())</f>
        <v>#N/A</v>
      </c>
      <c r="FB154" s="32" t="e">
        <f>IFERROR(IF($EY$3,Eu_tabel_a[[#This Row],[Styrke, aktiv]],NA()),NA())</f>
        <v>#N/A</v>
      </c>
      <c r="FC154" s="32" t="e">
        <f>IF(ISNA(Eu_tabel_a[[#This Row],[Sand negativ
Nulhypotese afvises
Korrekt]]),NA(),IF(EY$3,1,NA()))</f>
        <v>#N/A</v>
      </c>
      <c r="FD154" s="33" t="str" cm="1">
        <f t="array" ref="FD154">IFERROR(_xlfn.SWITCH(Eu_tabel_a[[#This Row],[Indeks]],_xlfn.IFNA(FB$2,-99),FB$5,_xlfn.IFNA(FB$3,-99),FB$6,_xlfn.IFNA(FB$4,-99),FB$7,""),"")</f>
        <v/>
      </c>
      <c r="FE154" s="32">
        <f>Eu_tabel_a[[#This Row],[x base]]*SQRT(Eu_a_h0_x*(1-Eu_a_h0_x)/Eu_a_n_x)+Eu_a_h0_x</f>
        <v>0</v>
      </c>
      <c r="FJ154" s="74" t="e">
        <f t="shared" si="234"/>
        <v>#N/A</v>
      </c>
      <c r="FK154" s="82" t="e">
        <f t="shared" si="218"/>
        <v>#DIV/0!</v>
      </c>
      <c r="FL154" s="7" t="e">
        <f t="shared" si="228"/>
        <v>#DIV/0!</v>
      </c>
      <c r="FM154" t="e">
        <f t="shared" si="219"/>
        <v>#DIV/0!</v>
      </c>
      <c r="FN154" s="8" t="e">
        <f t="shared" si="220"/>
        <v>#DIV/0!</v>
      </c>
      <c r="FO154" s="8" t="e">
        <f t="shared" si="221"/>
        <v>#DIV/0!</v>
      </c>
      <c r="FP154" s="81" t="e">
        <f t="shared" si="222"/>
        <v>#DIV/0!</v>
      </c>
      <c r="FQ154" s="74" t="e">
        <f t="shared" ca="1" si="229"/>
        <v>#N/A</v>
      </c>
      <c r="FR154" s="82" t="e" vm="3">
        <f t="shared" ca="1" si="235"/>
        <v>#VALUE!</v>
      </c>
      <c r="FS154" s="7" t="e" vm="3">
        <f t="shared" ca="1" si="230"/>
        <v>#VALUE!</v>
      </c>
      <c r="FT154" t="e" vm="3">
        <f t="shared" ca="1" si="224"/>
        <v>#VALUE!</v>
      </c>
      <c r="FU154" s="8" t="e" vm="3">
        <f t="shared" ca="1" si="225"/>
        <v>#VALUE!</v>
      </c>
      <c r="FV154" s="8" t="e" vm="3">
        <f t="shared" ca="1" si="226"/>
        <v>#VALUE!</v>
      </c>
      <c r="FW154" s="81" t="e" vm="3">
        <f t="shared" ca="1" si="227"/>
        <v>#VALUE!</v>
      </c>
      <c r="FX154" s="74" t="e">
        <f t="shared" si="231"/>
        <v>#N/A</v>
      </c>
      <c r="FY154" s="82" t="e">
        <f t="shared" si="236"/>
        <v>#N/A</v>
      </c>
      <c r="FZ154" s="7" t="e">
        <f t="shared" si="232"/>
        <v>#N/A</v>
      </c>
      <c r="GA154" t="e">
        <f t="shared" si="237"/>
        <v>#N/A</v>
      </c>
      <c r="GB154" s="8" t="e">
        <f t="shared" si="238"/>
        <v>#N/A</v>
      </c>
      <c r="GC154" s="8" t="e">
        <f t="shared" si="239"/>
        <v>#N/A</v>
      </c>
      <c r="GD154" s="81" t="e">
        <f t="shared" si="240"/>
        <v>#N/A</v>
      </c>
      <c r="GE154" s="74" t="e">
        <f t="shared" si="241"/>
        <v>#N/A</v>
      </c>
      <c r="GF154" s="82" t="e">
        <f t="shared" si="242"/>
        <v>#N/A</v>
      </c>
      <c r="GG154" s="7" t="e">
        <f t="shared" si="233"/>
        <v>#N/A</v>
      </c>
      <c r="GH154" t="e">
        <f t="shared" si="243"/>
        <v>#N/A</v>
      </c>
      <c r="GI154" s="8" t="e">
        <f t="shared" si="244"/>
        <v>#N/A</v>
      </c>
      <c r="GJ154" s="8" t="e">
        <f t="shared" si="245"/>
        <v>#N/A</v>
      </c>
      <c r="GK154" s="81" t="e">
        <f t="shared" si="246"/>
        <v>#N/A</v>
      </c>
      <c r="GL154" s="81"/>
      <c r="GM154" s="81"/>
      <c r="GP154" s="32">
        <f t="shared" si="291"/>
        <v>144</v>
      </c>
      <c r="GQ154" s="32">
        <f t="shared" si="292"/>
        <v>145</v>
      </c>
      <c r="GR154" s="32">
        <f t="shared" si="293"/>
        <v>0.35932933792648969</v>
      </c>
      <c r="GS154" s="32">
        <f t="shared" si="294"/>
        <v>0.37400080851990375</v>
      </c>
      <c r="GT154" s="32" t="e">
        <f t="shared" si="295"/>
        <v>#N/A</v>
      </c>
      <c r="GU154" s="32" t="e">
        <f t="shared" si="296"/>
        <v>#N/A</v>
      </c>
      <c r="GV154" s="32" t="e">
        <f t="shared" si="297"/>
        <v>#N/A</v>
      </c>
      <c r="GW154" s="32" t="b">
        <f t="shared" si="298"/>
        <v>0</v>
      </c>
      <c r="GX154" s="32" t="b">
        <f t="shared" si="299"/>
        <v>1</v>
      </c>
      <c r="GY154" s="32" t="b">
        <f t="shared" si="300"/>
        <v>0</v>
      </c>
      <c r="GZ154" s="32" t="b">
        <f t="shared" si="301"/>
        <v>1</v>
      </c>
      <c r="HA154" s="32">
        <f t="shared" si="302"/>
        <v>0.37400080851990375</v>
      </c>
      <c r="HB154" s="32" t="e">
        <f t="shared" si="303"/>
        <v>#N/A</v>
      </c>
      <c r="HC154" s="32">
        <f t="shared" si="304"/>
        <v>0.37400080851990375</v>
      </c>
      <c r="HD154" s="45" t="str">
        <f t="shared" si="305"/>
        <v/>
      </c>
      <c r="HJ154" s="32">
        <f t="shared" si="306"/>
        <v>144</v>
      </c>
      <c r="HK154" s="32">
        <f t="shared" si="307"/>
        <v>145</v>
      </c>
      <c r="HL154" s="32">
        <f t="shared" si="308"/>
        <v>0.55642902658585314</v>
      </c>
      <c r="HM154" s="32" t="e">
        <f t="shared" si="309"/>
        <v>#N/A</v>
      </c>
      <c r="HN154" s="32">
        <f t="shared" si="310"/>
        <v>0.3237916510815077</v>
      </c>
      <c r="HO154" s="32" t="e">
        <f t="shared" si="311"/>
        <v>#N/A</v>
      </c>
      <c r="HP154" s="32" t="e">
        <f t="shared" si="312"/>
        <v>#N/A</v>
      </c>
      <c r="HQ154" s="32" t="b">
        <f t="shared" si="313"/>
        <v>1</v>
      </c>
      <c r="HR154" s="32" t="b">
        <f t="shared" si="314"/>
        <v>0</v>
      </c>
      <c r="HS154" s="32" t="b">
        <f t="shared" si="315"/>
        <v>0</v>
      </c>
      <c r="HT154" s="32" t="b">
        <f t="shared" si="316"/>
        <v>1</v>
      </c>
      <c r="HU154" s="32">
        <f t="shared" si="317"/>
        <v>0.3237916510815077</v>
      </c>
      <c r="HV154" s="32">
        <f t="shared" si="318"/>
        <v>0.3237916510815077</v>
      </c>
      <c r="HW154" s="32" t="e">
        <f t="shared" si="319"/>
        <v>#N/A</v>
      </c>
      <c r="HX154" s="45" t="str">
        <f t="shared" si="320"/>
        <v/>
      </c>
    </row>
    <row r="155" spans="78:232" x14ac:dyDescent="0.2">
      <c r="BZ155" s="32">
        <f t="shared" si="247"/>
        <v>145</v>
      </c>
      <c r="CA155" s="32">
        <f>Eu_tabel_g[[#This Row],[Indeks]]+1</f>
        <v>146</v>
      </c>
      <c r="CB155" s="32">
        <f t="shared" si="248"/>
        <v>0.38328462712158906</v>
      </c>
      <c r="CC155" s="32">
        <f t="shared" si="249"/>
        <v>0.37068890990689796</v>
      </c>
      <c r="CD155" s="32" t="e">
        <f t="shared" si="250"/>
        <v>#N/A</v>
      </c>
      <c r="CE155" s="32" t="e">
        <f t="shared" si="251"/>
        <v>#N/A</v>
      </c>
      <c r="CF155" s="32" t="e">
        <f t="shared" si="252"/>
        <v>#N/A</v>
      </c>
      <c r="CG155" s="32" t="b">
        <f t="shared" si="253"/>
        <v>0</v>
      </c>
      <c r="CH155" s="32" t="b">
        <f t="shared" si="254"/>
        <v>1</v>
      </c>
      <c r="CI155" s="32" t="b">
        <f t="shared" si="255"/>
        <v>0</v>
      </c>
      <c r="CJ155" s="32" t="b">
        <f t="shared" si="256"/>
        <v>1</v>
      </c>
      <c r="CK155" s="32">
        <f t="shared" si="223"/>
        <v>0.37068890990689796</v>
      </c>
      <c r="CL155" s="32" t="e">
        <f t="shared" si="257"/>
        <v>#N/A</v>
      </c>
      <c r="CM155" s="32">
        <f t="shared" si="258"/>
        <v>0.37068890990689796</v>
      </c>
      <c r="CN155" s="45" t="str">
        <f t="shared" si="259"/>
        <v/>
      </c>
      <c r="CO155" s="32">
        <f>_xlfn.NORM.DIST(_xlfn.NORM.INV(1-Eu_g_konfidensniveau,0,1)-Eu_tabel_g[[#This Row],[x base]],0,1,TRUE)</f>
        <v>2.127306980794616E-2</v>
      </c>
      <c r="CP155" s="32">
        <f>1-_xlfn.NORM.DIST(_xlfn.NORM.INV(Eu_g_konfidensniveau,0,1)-Eu_tabel_g[[#This Row],[x base]],0,1,TRUE)</f>
        <v>0.10355195846784904</v>
      </c>
      <c r="CQ155" s="32">
        <f>_xlfn.NORM.DIST(_xlfn.NORM.INV((1-Eu_g_konfidensniveau)/2,0,1)-Eu_tabel_g[[#This Row],[x base]],0,1,TRUE)+1-_xlfn.NORM.DIST(_xlfn.NORM.INV(1-(1-Eu_g_konfidensniveau)/2,0,1)-Eu_tabel_g[[#This Row],[x base]],0,1,TRUE)</f>
        <v>6.6992981287097075E-2</v>
      </c>
      <c r="CR155" s="32" t="e" cm="1">
        <f t="array" ref="CR155">IF($CR$3,INDEX(Eu_tabel_g[[#This Row],[Styrke venstre]:[Styrke tosidet]],CR$7),NA())</f>
        <v>#N/A</v>
      </c>
      <c r="CS155" s="52" t="e">
        <f>Eu_tabel_g[[#This Row],[Falsk positiv
Nulhypotese accepteres
Fejltype 1]]</f>
        <v>#N/A</v>
      </c>
      <c r="CT155" s="52" t="e">
        <f>IF(CHOOSE(CR$7,Eu_tabel_g[[#This Row],[x base]]&gt;0,Eu_tabel_g[[#This Row],[x base]]&lt;0,Eu_tabel_g[[#This Row],[x base]]=0),Eu_tabel_g[[#This Row],[Styrke, aktiv]],NA())</f>
        <v>#N/A</v>
      </c>
      <c r="CU155" s="52" t="e">
        <f>IFERROR(IF($CR$3,Eu_tabel_g[[#This Row],[Styrke, aktiv]],NA()),NA())</f>
        <v>#N/A</v>
      </c>
      <c r="CV155" s="52" t="e">
        <f>IF(ISNA(Eu_tabel_g[[#This Row],[Sand negativ
Nulhypotese afvises
Korrekt]]),NA(),IF($CR$3,1,NA()))</f>
        <v>#N/A</v>
      </c>
      <c r="CW155" s="34" t="str" cm="1">
        <f t="array" ref="CW155">_xlfn.SWITCH(BZ155,_xlfn.IFNA(CU$2,-99),CU$5,_xlfn.IFNA(CU$3,-99),CU$6,_xlfn.IFNA(CU$4,-99),CU$7,"")</f>
        <v/>
      </c>
      <c r="DA155" s="7">
        <f t="shared" si="260"/>
        <v>0.8</v>
      </c>
      <c r="DB155">
        <f>IF(ROW(Styrkeberegning_G[[#This Row],[X base venstre]])=ROW(Styrkeberegning_G[[#Headers],[X base venstre]])+1,DB$7/(DA$7/$B$67),DB154/(DA154/$B$67))</f>
        <v>-2.8015817870135784</v>
      </c>
      <c r="DC155">
        <f>Styrkeberegning_G[[#This Row],[X base venstre]]*-1</f>
        <v>2.8015817870135784</v>
      </c>
      <c r="DN155" s="32">
        <f t="shared" si="261"/>
        <v>145</v>
      </c>
      <c r="DO155" s="32">
        <f t="shared" si="262"/>
        <v>146</v>
      </c>
      <c r="DP155" s="32">
        <f t="shared" si="263"/>
        <v>18.374126845118838</v>
      </c>
      <c r="DQ155" s="32" t="e">
        <f t="shared" si="264"/>
        <v>#N/A</v>
      </c>
      <c r="DR155" s="32" t="e">
        <f t="shared" si="265"/>
        <v>#N/A</v>
      </c>
      <c r="DS155" s="32">
        <f t="shared" si="266"/>
        <v>2.1111422817193068E-2</v>
      </c>
      <c r="DT155" s="32" t="e">
        <f t="shared" si="267"/>
        <v>#N/A</v>
      </c>
      <c r="DU155" s="32" t="b">
        <f t="shared" si="268"/>
        <v>0</v>
      </c>
      <c r="DV155" s="32" t="b">
        <f t="shared" si="269"/>
        <v>1</v>
      </c>
      <c r="DW155" s="32" t="b">
        <f t="shared" si="270"/>
        <v>0</v>
      </c>
      <c r="DX155" s="32" t="b">
        <f t="shared" si="271"/>
        <v>1</v>
      </c>
      <c r="DY155" s="32">
        <f t="shared" si="272"/>
        <v>2.1111422817193068E-2</v>
      </c>
      <c r="DZ155" s="32" t="e">
        <f t="shared" si="273"/>
        <v>#N/A</v>
      </c>
      <c r="EA155" s="32">
        <f t="shared" si="274"/>
        <v>2.1111422817193068E-2</v>
      </c>
      <c r="EB155" s="45" t="str">
        <f t="shared" si="275"/>
        <v/>
      </c>
      <c r="EG155" s="32">
        <f t="shared" si="276"/>
        <v>145</v>
      </c>
      <c r="EH155" s="32">
        <f t="shared" si="277"/>
        <v>146</v>
      </c>
      <c r="EI155" s="32">
        <f t="shared" si="278"/>
        <v>0.38328462712158906</v>
      </c>
      <c r="EJ155" s="32">
        <f t="shared" si="279"/>
        <v>0.37068890990689796</v>
      </c>
      <c r="EK155" s="32" t="e">
        <f t="shared" si="280"/>
        <v>#N/A</v>
      </c>
      <c r="EL155" s="32" t="e">
        <f t="shared" si="281"/>
        <v>#N/A</v>
      </c>
      <c r="EM155" s="32" t="e">
        <f t="shared" si="282"/>
        <v>#N/A</v>
      </c>
      <c r="EN155" s="32" t="b">
        <f t="shared" si="283"/>
        <v>0</v>
      </c>
      <c r="EO155" s="32" t="b">
        <f t="shared" si="284"/>
        <v>1</v>
      </c>
      <c r="EP155" s="32" t="b">
        <f t="shared" si="285"/>
        <v>0</v>
      </c>
      <c r="EQ155" s="32" t="b">
        <f t="shared" si="286"/>
        <v>1</v>
      </c>
      <c r="ER155" s="32">
        <f t="shared" si="287"/>
        <v>0.37068890990689796</v>
      </c>
      <c r="ES155" s="32" t="e">
        <f t="shared" si="288"/>
        <v>#N/A</v>
      </c>
      <c r="ET155" s="32">
        <f t="shared" si="289"/>
        <v>0.37068890990689796</v>
      </c>
      <c r="EU155" s="45" t="str">
        <f t="shared" si="290"/>
        <v/>
      </c>
      <c r="EV15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5" s="32" t="e" cm="1">
        <f t="array" ref="EY155">IF($CR$3,INDEX(Eu_tabel_a[[#This Row],[Styrke venstre]:[Styrke tosidet]],EY$7),NA())</f>
        <v>#N/A</v>
      </c>
      <c r="EZ155" s="32" t="e">
        <f>IF(EY$3,IF(CHOOSE(EY$7,Eu_tabel_a[[#This Row],[x base]]&gt;0,Eu_tabel_a[[#This Row],[x base]]&lt;0,Eu_tabel_a[[#This Row],[x base]]=0),1,NA()),NA())</f>
        <v>#N/A</v>
      </c>
      <c r="FA155" s="32" t="e">
        <f>IF(CHOOSE(EY$7,Eu_tabel_a[[#This Row],[x base]]&gt;0,Eu_tabel_a[[#This Row],[x base]]&lt;0,Eu_tabel_a[[#This Row],[x base]]=0),Eu_tabel_a[[#This Row],[Styrke, aktiv]],NA())</f>
        <v>#N/A</v>
      </c>
      <c r="FB155" s="32" t="e">
        <f>IFERROR(IF($EY$3,Eu_tabel_a[[#This Row],[Styrke, aktiv]],NA()),NA())</f>
        <v>#N/A</v>
      </c>
      <c r="FC155" s="32" t="e">
        <f>IF(ISNA(Eu_tabel_a[[#This Row],[Sand negativ
Nulhypotese afvises
Korrekt]]),NA(),IF(EY$3,1,NA()))</f>
        <v>#N/A</v>
      </c>
      <c r="FD155" s="33" t="str" cm="1">
        <f t="array" ref="FD155">IFERROR(_xlfn.SWITCH(Eu_tabel_a[[#This Row],[Indeks]],_xlfn.IFNA(FB$2,-99),FB$5,_xlfn.IFNA(FB$3,-99),FB$6,_xlfn.IFNA(FB$4,-99),FB$7,""),"")</f>
        <v/>
      </c>
      <c r="FE155" s="32">
        <f>Eu_tabel_a[[#This Row],[x base]]*SQRT(Eu_a_h0_x*(1-Eu_a_h0_x)/Eu_a_n_x)+Eu_a_h0_x</f>
        <v>0</v>
      </c>
      <c r="FJ155" s="74" t="e">
        <f t="shared" si="234"/>
        <v>#N/A</v>
      </c>
      <c r="FK155" s="82" t="e">
        <f t="shared" si="218"/>
        <v>#DIV/0!</v>
      </c>
      <c r="FL155" s="7" t="e">
        <f t="shared" si="228"/>
        <v>#DIV/0!</v>
      </c>
      <c r="FM155" t="e">
        <f t="shared" si="219"/>
        <v>#DIV/0!</v>
      </c>
      <c r="FN155" s="8" t="e">
        <f t="shared" si="220"/>
        <v>#DIV/0!</v>
      </c>
      <c r="FO155" s="8" t="e">
        <f t="shared" si="221"/>
        <v>#DIV/0!</v>
      </c>
      <c r="FP155" s="81" t="e">
        <f t="shared" si="222"/>
        <v>#DIV/0!</v>
      </c>
      <c r="FQ155" s="74" t="e">
        <f t="shared" ca="1" si="229"/>
        <v>#N/A</v>
      </c>
      <c r="FR155" s="82" t="e" vm="3">
        <f t="shared" ca="1" si="235"/>
        <v>#VALUE!</v>
      </c>
      <c r="FS155" s="7" t="e" vm="3">
        <f t="shared" ca="1" si="230"/>
        <v>#VALUE!</v>
      </c>
      <c r="FT155" t="e" vm="3">
        <f t="shared" ca="1" si="224"/>
        <v>#VALUE!</v>
      </c>
      <c r="FU155" s="8" t="e" vm="3">
        <f t="shared" ca="1" si="225"/>
        <v>#VALUE!</v>
      </c>
      <c r="FV155" s="8" t="e" vm="3">
        <f t="shared" ca="1" si="226"/>
        <v>#VALUE!</v>
      </c>
      <c r="FW155" s="81" t="e" vm="3">
        <f t="shared" ca="1" si="227"/>
        <v>#VALUE!</v>
      </c>
      <c r="FX155" s="74" t="e">
        <f t="shared" si="231"/>
        <v>#N/A</v>
      </c>
      <c r="FY155" s="82" t="e">
        <f t="shared" si="236"/>
        <v>#N/A</v>
      </c>
      <c r="FZ155" s="7" t="e">
        <f t="shared" si="232"/>
        <v>#N/A</v>
      </c>
      <c r="GA155" t="e">
        <f t="shared" si="237"/>
        <v>#N/A</v>
      </c>
      <c r="GB155" s="8" t="e">
        <f t="shared" si="238"/>
        <v>#N/A</v>
      </c>
      <c r="GC155" s="8" t="e">
        <f t="shared" si="239"/>
        <v>#N/A</v>
      </c>
      <c r="GD155" s="81" t="e">
        <f t="shared" si="240"/>
        <v>#N/A</v>
      </c>
      <c r="GE155" s="74" t="e">
        <f t="shared" si="241"/>
        <v>#N/A</v>
      </c>
      <c r="GF155" s="82" t="e">
        <f t="shared" si="242"/>
        <v>#N/A</v>
      </c>
      <c r="GG155" s="7" t="e">
        <f t="shared" si="233"/>
        <v>#N/A</v>
      </c>
      <c r="GH155" t="e">
        <f t="shared" si="243"/>
        <v>#N/A</v>
      </c>
      <c r="GI155" s="8" t="e">
        <f t="shared" si="244"/>
        <v>#N/A</v>
      </c>
      <c r="GJ155" s="8" t="e">
        <f t="shared" si="245"/>
        <v>#N/A</v>
      </c>
      <c r="GK155" s="81" t="e">
        <f t="shared" si="246"/>
        <v>#N/A</v>
      </c>
      <c r="GL155" s="81"/>
      <c r="GM155" s="81"/>
      <c r="GP155" s="32">
        <f t="shared" si="291"/>
        <v>145</v>
      </c>
      <c r="GQ155" s="32">
        <f t="shared" si="292"/>
        <v>146</v>
      </c>
      <c r="GR155" s="32">
        <f t="shared" si="293"/>
        <v>0.38328462712158906</v>
      </c>
      <c r="GS155" s="32">
        <f t="shared" si="294"/>
        <v>0.37068890990689796</v>
      </c>
      <c r="GT155" s="32" t="e">
        <f t="shared" si="295"/>
        <v>#N/A</v>
      </c>
      <c r="GU155" s="32" t="e">
        <f t="shared" si="296"/>
        <v>#N/A</v>
      </c>
      <c r="GV155" s="32" t="e">
        <f t="shared" si="297"/>
        <v>#N/A</v>
      </c>
      <c r="GW155" s="32" t="b">
        <f t="shared" si="298"/>
        <v>0</v>
      </c>
      <c r="GX155" s="32" t="b">
        <f t="shared" si="299"/>
        <v>1</v>
      </c>
      <c r="GY155" s="32" t="b">
        <f t="shared" si="300"/>
        <v>0</v>
      </c>
      <c r="GZ155" s="32" t="b">
        <f t="shared" si="301"/>
        <v>1</v>
      </c>
      <c r="HA155" s="32">
        <f t="shared" si="302"/>
        <v>0.37068890990689796</v>
      </c>
      <c r="HB155" s="32" t="e">
        <f t="shared" si="303"/>
        <v>#N/A</v>
      </c>
      <c r="HC155" s="32">
        <f t="shared" si="304"/>
        <v>0.37068890990689796</v>
      </c>
      <c r="HD155" s="45" t="str">
        <f t="shared" si="305"/>
        <v/>
      </c>
      <c r="HJ155" s="32">
        <f t="shared" si="306"/>
        <v>145</v>
      </c>
      <c r="HK155" s="32">
        <f t="shared" si="307"/>
        <v>146</v>
      </c>
      <c r="HL155" s="32">
        <f t="shared" si="308"/>
        <v>0.59352429502490978</v>
      </c>
      <c r="HM155" s="32" t="e">
        <f t="shared" si="309"/>
        <v>#N/A</v>
      </c>
      <c r="HN155" s="32">
        <f t="shared" si="310"/>
        <v>0.3163422496360116</v>
      </c>
      <c r="HO155" s="32" t="e">
        <f t="shared" si="311"/>
        <v>#N/A</v>
      </c>
      <c r="HP155" s="32" t="e">
        <f t="shared" si="312"/>
        <v>#N/A</v>
      </c>
      <c r="HQ155" s="32" t="b">
        <f t="shared" si="313"/>
        <v>1</v>
      </c>
      <c r="HR155" s="32" t="b">
        <f t="shared" si="314"/>
        <v>0</v>
      </c>
      <c r="HS155" s="32" t="b">
        <f t="shared" si="315"/>
        <v>0</v>
      </c>
      <c r="HT155" s="32" t="b">
        <f t="shared" si="316"/>
        <v>1</v>
      </c>
      <c r="HU155" s="32">
        <f t="shared" si="317"/>
        <v>0.3163422496360116</v>
      </c>
      <c r="HV155" s="32">
        <f t="shared" si="318"/>
        <v>0.3163422496360116</v>
      </c>
      <c r="HW155" s="32" t="e">
        <f t="shared" si="319"/>
        <v>#N/A</v>
      </c>
      <c r="HX155" s="45" t="str">
        <f t="shared" si="320"/>
        <v/>
      </c>
    </row>
    <row r="156" spans="78:232" x14ac:dyDescent="0.2">
      <c r="BZ156" s="32">
        <f t="shared" si="247"/>
        <v>146</v>
      </c>
      <c r="CA156" s="32">
        <f>Eu_tabel_g[[#This Row],[Indeks]]+1</f>
        <v>147</v>
      </c>
      <c r="CB156" s="32">
        <f t="shared" si="248"/>
        <v>0.40723991631668843</v>
      </c>
      <c r="CC156" s="32">
        <f t="shared" si="249"/>
        <v>0.36719556142717458</v>
      </c>
      <c r="CD156" s="32" t="e">
        <f t="shared" si="250"/>
        <v>#N/A</v>
      </c>
      <c r="CE156" s="32" t="e">
        <f t="shared" si="251"/>
        <v>#N/A</v>
      </c>
      <c r="CF156" s="32" t="e">
        <f t="shared" si="252"/>
        <v>#N/A</v>
      </c>
      <c r="CG156" s="32" t="b">
        <f t="shared" si="253"/>
        <v>0</v>
      </c>
      <c r="CH156" s="32" t="b">
        <f t="shared" si="254"/>
        <v>1</v>
      </c>
      <c r="CI156" s="32" t="b">
        <f t="shared" si="255"/>
        <v>0</v>
      </c>
      <c r="CJ156" s="32" t="b">
        <f t="shared" si="256"/>
        <v>1</v>
      </c>
      <c r="CK156" s="32">
        <f t="shared" si="223"/>
        <v>0.36719556142717458</v>
      </c>
      <c r="CL156" s="32" t="e">
        <f t="shared" si="257"/>
        <v>#N/A</v>
      </c>
      <c r="CM156" s="32">
        <f t="shared" si="258"/>
        <v>0.36719556142717458</v>
      </c>
      <c r="CN156" s="45" t="str">
        <f t="shared" si="259"/>
        <v/>
      </c>
      <c r="CO156" s="32">
        <f>_xlfn.NORM.DIST(_xlfn.NORM.INV(1-Eu_g_konfidensniveau,0,1)-Eu_tabel_g[[#This Row],[x base]],0,1,TRUE)</f>
        <v>2.0080286162773093E-2</v>
      </c>
      <c r="CP156" s="32">
        <f>1-_xlfn.NORM.DIST(_xlfn.NORM.INV(Eu_g_konfidensniveau,0,1)-Eu_tabel_g[[#This Row],[x base]],0,1,TRUE)</f>
        <v>0.10792966408969762</v>
      </c>
      <c r="CQ156" s="32">
        <f>_xlfn.NORM.DIST(_xlfn.NORM.INV((1-Eu_g_konfidensniveau)/2,0,1)-Eu_tabel_g[[#This Row],[x base]],0,1,TRUE)+1-_xlfn.NORM.DIST(_xlfn.NORM.INV(1-(1-Eu_g_konfidensniveau)/2,0,1)-Eu_tabel_g[[#This Row],[x base]],0,1,TRUE)</f>
        <v>6.9206062561586568E-2</v>
      </c>
      <c r="CR156" s="32" t="e" cm="1">
        <f t="array" ref="CR156">IF($CR$3,INDEX(Eu_tabel_g[[#This Row],[Styrke venstre]:[Styrke tosidet]],CR$7),NA())</f>
        <v>#N/A</v>
      </c>
      <c r="CS156" s="52" t="e">
        <f>Eu_tabel_g[[#This Row],[Falsk positiv
Nulhypotese accepteres
Fejltype 1]]</f>
        <v>#N/A</v>
      </c>
      <c r="CT156" s="52" t="e">
        <f>IF(CHOOSE(CR$7,Eu_tabel_g[[#This Row],[x base]]&gt;0,Eu_tabel_g[[#This Row],[x base]]&lt;0,Eu_tabel_g[[#This Row],[x base]]=0),Eu_tabel_g[[#This Row],[Styrke, aktiv]],NA())</f>
        <v>#N/A</v>
      </c>
      <c r="CU156" s="52" t="e">
        <f>IFERROR(IF($CR$3,Eu_tabel_g[[#This Row],[Styrke, aktiv]],NA()),NA())</f>
        <v>#N/A</v>
      </c>
      <c r="CV156" s="52" t="e">
        <f>IF(ISNA(Eu_tabel_g[[#This Row],[Sand negativ
Nulhypotese afvises
Korrekt]]),NA(),IF($CR$3,1,NA()))</f>
        <v>#N/A</v>
      </c>
      <c r="CW156" s="34" t="str" cm="1">
        <f t="array" ref="CW156">_xlfn.SWITCH(BZ156,_xlfn.IFNA(CU$2,-99),CU$5,_xlfn.IFNA(CU$3,-99),CU$6,_xlfn.IFNA(CU$4,-99),CU$7,"")</f>
        <v/>
      </c>
      <c r="DA156" s="7">
        <f t="shared" si="260"/>
        <v>0.8</v>
      </c>
      <c r="DB156">
        <f>IF(ROW(Styrkeberegning_G[[#This Row],[X base venstre]])=ROW(Styrkeberegning_G[[#Headers],[X base venstre]])+1,DB$7/(DA$7/$B$67),DB155/(DA155/$B$67))</f>
        <v>-2.8015817870135784</v>
      </c>
      <c r="DC156">
        <f>Styrkeberegning_G[[#This Row],[X base venstre]]*-1</f>
        <v>2.8015817870135784</v>
      </c>
      <c r="DN156" s="32">
        <f t="shared" si="261"/>
        <v>146</v>
      </c>
      <c r="DO156" s="32">
        <f t="shared" si="262"/>
        <v>147</v>
      </c>
      <c r="DP156" s="32">
        <f t="shared" si="263"/>
        <v>18.488197701535835</v>
      </c>
      <c r="DQ156" s="32" t="e">
        <f t="shared" si="264"/>
        <v>#N/A</v>
      </c>
      <c r="DR156" s="32" t="e">
        <f t="shared" si="265"/>
        <v>#N/A</v>
      </c>
      <c r="DS156" s="32">
        <f t="shared" si="266"/>
        <v>2.0504195349660678E-2</v>
      </c>
      <c r="DT156" s="32" t="e">
        <f t="shared" si="267"/>
        <v>#N/A</v>
      </c>
      <c r="DU156" s="32" t="b">
        <f t="shared" si="268"/>
        <v>0</v>
      </c>
      <c r="DV156" s="32" t="b">
        <f t="shared" si="269"/>
        <v>1</v>
      </c>
      <c r="DW156" s="32" t="b">
        <f t="shared" si="270"/>
        <v>0</v>
      </c>
      <c r="DX156" s="32" t="b">
        <f t="shared" si="271"/>
        <v>1</v>
      </c>
      <c r="DY156" s="32">
        <f t="shared" si="272"/>
        <v>2.0504195349660678E-2</v>
      </c>
      <c r="DZ156" s="32" t="e">
        <f t="shared" si="273"/>
        <v>#N/A</v>
      </c>
      <c r="EA156" s="32">
        <f t="shared" si="274"/>
        <v>2.0504195349660678E-2</v>
      </c>
      <c r="EB156" s="45" t="str">
        <f t="shared" si="275"/>
        <v/>
      </c>
      <c r="EG156" s="32">
        <f t="shared" si="276"/>
        <v>146</v>
      </c>
      <c r="EH156" s="32">
        <f t="shared" si="277"/>
        <v>147</v>
      </c>
      <c r="EI156" s="32">
        <f t="shared" si="278"/>
        <v>0.40723991631668843</v>
      </c>
      <c r="EJ156" s="32">
        <f t="shared" si="279"/>
        <v>0.36719556142717458</v>
      </c>
      <c r="EK156" s="32" t="e">
        <f t="shared" si="280"/>
        <v>#N/A</v>
      </c>
      <c r="EL156" s="32" t="e">
        <f t="shared" si="281"/>
        <v>#N/A</v>
      </c>
      <c r="EM156" s="32" t="e">
        <f t="shared" si="282"/>
        <v>#N/A</v>
      </c>
      <c r="EN156" s="32" t="b">
        <f t="shared" si="283"/>
        <v>0</v>
      </c>
      <c r="EO156" s="32" t="b">
        <f t="shared" si="284"/>
        <v>1</v>
      </c>
      <c r="EP156" s="32" t="b">
        <f t="shared" si="285"/>
        <v>0</v>
      </c>
      <c r="EQ156" s="32" t="b">
        <f t="shared" si="286"/>
        <v>1</v>
      </c>
      <c r="ER156" s="32">
        <f t="shared" si="287"/>
        <v>0.36719556142717458</v>
      </c>
      <c r="ES156" s="32" t="e">
        <f t="shared" si="288"/>
        <v>#N/A</v>
      </c>
      <c r="ET156" s="32">
        <f t="shared" si="289"/>
        <v>0.36719556142717458</v>
      </c>
      <c r="EU156" s="45" t="str">
        <f t="shared" si="290"/>
        <v/>
      </c>
      <c r="EV15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6" s="32" t="e" cm="1">
        <f t="array" ref="EY156">IF($CR$3,INDEX(Eu_tabel_a[[#This Row],[Styrke venstre]:[Styrke tosidet]],EY$7),NA())</f>
        <v>#N/A</v>
      </c>
      <c r="EZ156" s="32" t="e">
        <f>IF(EY$3,IF(CHOOSE(EY$7,Eu_tabel_a[[#This Row],[x base]]&gt;0,Eu_tabel_a[[#This Row],[x base]]&lt;0,Eu_tabel_a[[#This Row],[x base]]=0),1,NA()),NA())</f>
        <v>#N/A</v>
      </c>
      <c r="FA156" s="32" t="e">
        <f>IF(CHOOSE(EY$7,Eu_tabel_a[[#This Row],[x base]]&gt;0,Eu_tabel_a[[#This Row],[x base]]&lt;0,Eu_tabel_a[[#This Row],[x base]]=0),Eu_tabel_a[[#This Row],[Styrke, aktiv]],NA())</f>
        <v>#N/A</v>
      </c>
      <c r="FB156" s="32" t="e">
        <f>IFERROR(IF($EY$3,Eu_tabel_a[[#This Row],[Styrke, aktiv]],NA()),NA())</f>
        <v>#N/A</v>
      </c>
      <c r="FC156" s="32" t="e">
        <f>IF(ISNA(Eu_tabel_a[[#This Row],[Sand negativ
Nulhypotese afvises
Korrekt]]),NA(),IF(EY$3,1,NA()))</f>
        <v>#N/A</v>
      </c>
      <c r="FD156" s="33" t="str" cm="1">
        <f t="array" ref="FD156">IFERROR(_xlfn.SWITCH(Eu_tabel_a[[#This Row],[Indeks]],_xlfn.IFNA(FB$2,-99),FB$5,_xlfn.IFNA(FB$3,-99),FB$6,_xlfn.IFNA(FB$4,-99),FB$7,""),"")</f>
        <v/>
      </c>
      <c r="FE156" s="32">
        <f>Eu_tabel_a[[#This Row],[x base]]*SQRT(Eu_a_h0_x*(1-Eu_a_h0_x)/Eu_a_n_x)+Eu_a_h0_x</f>
        <v>0</v>
      </c>
      <c r="FJ156" s="74" t="e">
        <f t="shared" si="234"/>
        <v>#N/A</v>
      </c>
      <c r="FK156" s="82" t="e">
        <f t="shared" si="218"/>
        <v>#DIV/0!</v>
      </c>
      <c r="FL156" s="7" t="e">
        <f t="shared" si="228"/>
        <v>#DIV/0!</v>
      </c>
      <c r="FM156" t="e">
        <f t="shared" si="219"/>
        <v>#DIV/0!</v>
      </c>
      <c r="FN156" s="8" t="e">
        <f t="shared" si="220"/>
        <v>#DIV/0!</v>
      </c>
      <c r="FO156" s="8" t="e">
        <f t="shared" si="221"/>
        <v>#DIV/0!</v>
      </c>
      <c r="FP156" s="81" t="e">
        <f t="shared" si="222"/>
        <v>#DIV/0!</v>
      </c>
      <c r="FQ156" s="74" t="e">
        <f t="shared" ca="1" si="229"/>
        <v>#N/A</v>
      </c>
      <c r="FR156" s="82" t="e" vm="3">
        <f t="shared" ca="1" si="235"/>
        <v>#VALUE!</v>
      </c>
      <c r="FS156" s="7" t="e" vm="3">
        <f t="shared" ca="1" si="230"/>
        <v>#VALUE!</v>
      </c>
      <c r="FT156" t="e" vm="3">
        <f t="shared" ca="1" si="224"/>
        <v>#VALUE!</v>
      </c>
      <c r="FU156" s="8" t="e" vm="3">
        <f t="shared" ca="1" si="225"/>
        <v>#VALUE!</v>
      </c>
      <c r="FV156" s="8" t="e" vm="3">
        <f t="shared" ca="1" si="226"/>
        <v>#VALUE!</v>
      </c>
      <c r="FW156" s="81" t="e" vm="3">
        <f t="shared" ca="1" si="227"/>
        <v>#VALUE!</v>
      </c>
      <c r="FX156" s="74" t="e">
        <f t="shared" si="231"/>
        <v>#N/A</v>
      </c>
      <c r="FY156" s="82" t="e">
        <f t="shared" si="236"/>
        <v>#N/A</v>
      </c>
      <c r="FZ156" s="7" t="e">
        <f t="shared" si="232"/>
        <v>#N/A</v>
      </c>
      <c r="GA156" t="e">
        <f t="shared" si="237"/>
        <v>#N/A</v>
      </c>
      <c r="GB156" s="8" t="e">
        <f t="shared" si="238"/>
        <v>#N/A</v>
      </c>
      <c r="GC156" s="8" t="e">
        <f t="shared" si="239"/>
        <v>#N/A</v>
      </c>
      <c r="GD156" s="81" t="e">
        <f t="shared" si="240"/>
        <v>#N/A</v>
      </c>
      <c r="GE156" s="74" t="e">
        <f t="shared" si="241"/>
        <v>#N/A</v>
      </c>
      <c r="GF156" s="82" t="e">
        <f t="shared" si="242"/>
        <v>#N/A</v>
      </c>
      <c r="GG156" s="7" t="e">
        <f t="shared" si="233"/>
        <v>#N/A</v>
      </c>
      <c r="GH156" t="e">
        <f t="shared" si="243"/>
        <v>#N/A</v>
      </c>
      <c r="GI156" s="8" t="e">
        <f t="shared" si="244"/>
        <v>#N/A</v>
      </c>
      <c r="GJ156" s="8" t="e">
        <f t="shared" si="245"/>
        <v>#N/A</v>
      </c>
      <c r="GK156" s="81" t="e">
        <f t="shared" si="246"/>
        <v>#N/A</v>
      </c>
      <c r="GL156" s="81"/>
      <c r="GM156" s="81"/>
      <c r="GP156" s="32">
        <f t="shared" si="291"/>
        <v>146</v>
      </c>
      <c r="GQ156" s="32">
        <f t="shared" si="292"/>
        <v>147</v>
      </c>
      <c r="GR156" s="32">
        <f t="shared" si="293"/>
        <v>0.40723991631668843</v>
      </c>
      <c r="GS156" s="32">
        <f t="shared" si="294"/>
        <v>0.36719556142717458</v>
      </c>
      <c r="GT156" s="32" t="e">
        <f t="shared" si="295"/>
        <v>#N/A</v>
      </c>
      <c r="GU156" s="32" t="e">
        <f t="shared" si="296"/>
        <v>#N/A</v>
      </c>
      <c r="GV156" s="32" t="e">
        <f t="shared" si="297"/>
        <v>#N/A</v>
      </c>
      <c r="GW156" s="32" t="b">
        <f t="shared" si="298"/>
        <v>0</v>
      </c>
      <c r="GX156" s="32" t="b">
        <f t="shared" si="299"/>
        <v>1</v>
      </c>
      <c r="GY156" s="32" t="b">
        <f t="shared" si="300"/>
        <v>0</v>
      </c>
      <c r="GZ156" s="32" t="b">
        <f t="shared" si="301"/>
        <v>1</v>
      </c>
      <c r="HA156" s="32">
        <f t="shared" si="302"/>
        <v>0.36719556142717458</v>
      </c>
      <c r="HB156" s="32" t="e">
        <f t="shared" si="303"/>
        <v>#N/A</v>
      </c>
      <c r="HC156" s="32">
        <f t="shared" si="304"/>
        <v>0.36719556142717458</v>
      </c>
      <c r="HD156" s="45" t="str">
        <f t="shared" si="305"/>
        <v/>
      </c>
      <c r="HJ156" s="32">
        <f t="shared" si="306"/>
        <v>146</v>
      </c>
      <c r="HK156" s="32">
        <f t="shared" si="307"/>
        <v>147</v>
      </c>
      <c r="HL156" s="32">
        <f t="shared" si="308"/>
        <v>0.63061956346396641</v>
      </c>
      <c r="HM156" s="32" t="e">
        <f t="shared" si="309"/>
        <v>#N/A</v>
      </c>
      <c r="HN156" s="32">
        <f t="shared" si="310"/>
        <v>0.30864613159943455</v>
      </c>
      <c r="HO156" s="32" t="e">
        <f t="shared" si="311"/>
        <v>#N/A</v>
      </c>
      <c r="HP156" s="32" t="e">
        <f t="shared" si="312"/>
        <v>#N/A</v>
      </c>
      <c r="HQ156" s="32" t="b">
        <f t="shared" si="313"/>
        <v>1</v>
      </c>
      <c r="HR156" s="32" t="b">
        <f t="shared" si="314"/>
        <v>0</v>
      </c>
      <c r="HS156" s="32" t="b">
        <f t="shared" si="315"/>
        <v>0</v>
      </c>
      <c r="HT156" s="32" t="b">
        <f t="shared" si="316"/>
        <v>1</v>
      </c>
      <c r="HU156" s="32">
        <f t="shared" si="317"/>
        <v>0.30864613159943455</v>
      </c>
      <c r="HV156" s="32">
        <f t="shared" si="318"/>
        <v>0.30864613159943455</v>
      </c>
      <c r="HW156" s="32" t="e">
        <f t="shared" si="319"/>
        <v>#N/A</v>
      </c>
      <c r="HX156" s="45" t="str">
        <f t="shared" si="320"/>
        <v/>
      </c>
    </row>
    <row r="157" spans="78:232" x14ac:dyDescent="0.2">
      <c r="BZ157" s="32">
        <f t="shared" si="247"/>
        <v>147</v>
      </c>
      <c r="CA157" s="32">
        <f>Eu_tabel_g[[#This Row],[Indeks]]+1</f>
        <v>148</v>
      </c>
      <c r="CB157" s="32">
        <f t="shared" si="248"/>
        <v>0.4311952055117878</v>
      </c>
      <c r="CC157" s="32">
        <f t="shared" si="249"/>
        <v>0.36352646237304004</v>
      </c>
      <c r="CD157" s="32" t="e">
        <f t="shared" si="250"/>
        <v>#N/A</v>
      </c>
      <c r="CE157" s="32" t="e">
        <f t="shared" si="251"/>
        <v>#N/A</v>
      </c>
      <c r="CF157" s="32" t="e">
        <f t="shared" si="252"/>
        <v>#N/A</v>
      </c>
      <c r="CG157" s="32" t="b">
        <f t="shared" si="253"/>
        <v>0</v>
      </c>
      <c r="CH157" s="32" t="b">
        <f t="shared" si="254"/>
        <v>1</v>
      </c>
      <c r="CI157" s="32" t="b">
        <f t="shared" si="255"/>
        <v>0</v>
      </c>
      <c r="CJ157" s="32" t="b">
        <f t="shared" si="256"/>
        <v>1</v>
      </c>
      <c r="CK157" s="32">
        <f t="shared" si="223"/>
        <v>0.36352646237304004</v>
      </c>
      <c r="CL157" s="32" t="e">
        <f t="shared" si="257"/>
        <v>#N/A</v>
      </c>
      <c r="CM157" s="32">
        <f t="shared" si="258"/>
        <v>0.36352646237304004</v>
      </c>
      <c r="CN157" s="45" t="str">
        <f t="shared" si="259"/>
        <v/>
      </c>
      <c r="CO157" s="32">
        <f>_xlfn.NORM.DIST(_xlfn.NORM.INV(1-Eu_g_konfidensniveau,0,1)-Eu_tabel_g[[#This Row],[x base]],0,1,TRUE)</f>
        <v>1.894471740966298E-2</v>
      </c>
      <c r="CP157" s="32">
        <f>1-_xlfn.NORM.DIST(_xlfn.NORM.INV(Eu_g_konfidensniveau,0,1)-Eu_tabel_g[[#This Row],[x base]],0,1,TRUE)</f>
        <v>0.11243909396981622</v>
      </c>
      <c r="CQ157" s="32">
        <f>_xlfn.NORM.DIST(_xlfn.NORM.INV((1-Eu_g_konfidensniveau)/2,0,1)-Eu_tabel_g[[#This Row],[x base]],0,1,TRUE)+1-_xlfn.NORM.DIST(_xlfn.NORM.INV(1-(1-Eu_g_konfidensniveau)/2,0,1)-Eu_tabel_g[[#This Row],[x base]],0,1,TRUE)</f>
        <v>7.1558521831954547E-2</v>
      </c>
      <c r="CR157" s="32" t="e" cm="1">
        <f t="array" ref="CR157">IF($CR$3,INDEX(Eu_tabel_g[[#This Row],[Styrke venstre]:[Styrke tosidet]],CR$7),NA())</f>
        <v>#N/A</v>
      </c>
      <c r="CS157" s="52" t="e">
        <f>Eu_tabel_g[[#This Row],[Falsk positiv
Nulhypotese accepteres
Fejltype 1]]</f>
        <v>#N/A</v>
      </c>
      <c r="CT157" s="52" t="e">
        <f>IF(CHOOSE(CR$7,Eu_tabel_g[[#This Row],[x base]]&gt;0,Eu_tabel_g[[#This Row],[x base]]&lt;0,Eu_tabel_g[[#This Row],[x base]]=0),Eu_tabel_g[[#This Row],[Styrke, aktiv]],NA())</f>
        <v>#N/A</v>
      </c>
      <c r="CU157" s="52" t="e">
        <f>IFERROR(IF($CR$3,Eu_tabel_g[[#This Row],[Styrke, aktiv]],NA()),NA())</f>
        <v>#N/A</v>
      </c>
      <c r="CV157" s="52" t="e">
        <f>IF(ISNA(Eu_tabel_g[[#This Row],[Sand negativ
Nulhypotese afvises
Korrekt]]),NA(),IF($CR$3,1,NA()))</f>
        <v>#N/A</v>
      </c>
      <c r="CW157" s="34" t="str" cm="1">
        <f t="array" ref="CW157">_xlfn.SWITCH(BZ157,_xlfn.IFNA(CU$2,-99),CU$5,_xlfn.IFNA(CU$3,-99),CU$6,_xlfn.IFNA(CU$4,-99),CU$7,"")</f>
        <v/>
      </c>
      <c r="DA157" s="7">
        <f t="shared" si="260"/>
        <v>0.8</v>
      </c>
      <c r="DB157">
        <f>IF(ROW(Styrkeberegning_G[[#This Row],[X base venstre]])=ROW(Styrkeberegning_G[[#Headers],[X base venstre]])+1,DB$7/(DA$7/$B$67),DB156/(DA156/$B$67))</f>
        <v>-2.8015817870135784</v>
      </c>
      <c r="DC157">
        <f>Styrkeberegning_G[[#This Row],[X base venstre]]*-1</f>
        <v>2.8015817870135784</v>
      </c>
      <c r="DN157" s="32">
        <f t="shared" si="261"/>
        <v>147</v>
      </c>
      <c r="DO157" s="32">
        <f t="shared" si="262"/>
        <v>148</v>
      </c>
      <c r="DP157" s="32">
        <f t="shared" si="263"/>
        <v>18.602268557952836</v>
      </c>
      <c r="DQ157" s="32" t="e">
        <f t="shared" si="264"/>
        <v>#N/A</v>
      </c>
      <c r="DR157" s="32" t="e">
        <f t="shared" si="265"/>
        <v>#N/A</v>
      </c>
      <c r="DS157" s="32">
        <f t="shared" si="266"/>
        <v>1.9911022318457171E-2</v>
      </c>
      <c r="DT157" s="32" t="e">
        <f t="shared" si="267"/>
        <v>#N/A</v>
      </c>
      <c r="DU157" s="32" t="b">
        <f t="shared" si="268"/>
        <v>0</v>
      </c>
      <c r="DV157" s="32" t="b">
        <f t="shared" si="269"/>
        <v>1</v>
      </c>
      <c r="DW157" s="32" t="b">
        <f t="shared" si="270"/>
        <v>0</v>
      </c>
      <c r="DX157" s="32" t="b">
        <f t="shared" si="271"/>
        <v>1</v>
      </c>
      <c r="DY157" s="32">
        <f t="shared" si="272"/>
        <v>1.9911022318457171E-2</v>
      </c>
      <c r="DZ157" s="32" t="e">
        <f t="shared" si="273"/>
        <v>#N/A</v>
      </c>
      <c r="EA157" s="32">
        <f t="shared" si="274"/>
        <v>1.9911022318457171E-2</v>
      </c>
      <c r="EB157" s="45" t="str">
        <f t="shared" si="275"/>
        <v/>
      </c>
      <c r="EG157" s="32">
        <f t="shared" si="276"/>
        <v>147</v>
      </c>
      <c r="EH157" s="32">
        <f t="shared" si="277"/>
        <v>148</v>
      </c>
      <c r="EI157" s="32">
        <f t="shared" si="278"/>
        <v>0.4311952055117878</v>
      </c>
      <c r="EJ157" s="32">
        <f t="shared" si="279"/>
        <v>0.36352646237304004</v>
      </c>
      <c r="EK157" s="32" t="e">
        <f t="shared" si="280"/>
        <v>#N/A</v>
      </c>
      <c r="EL157" s="32" t="e">
        <f t="shared" si="281"/>
        <v>#N/A</v>
      </c>
      <c r="EM157" s="32" t="e">
        <f t="shared" si="282"/>
        <v>#N/A</v>
      </c>
      <c r="EN157" s="32" t="b">
        <f t="shared" si="283"/>
        <v>0</v>
      </c>
      <c r="EO157" s="32" t="b">
        <f t="shared" si="284"/>
        <v>1</v>
      </c>
      <c r="EP157" s="32" t="b">
        <f t="shared" si="285"/>
        <v>0</v>
      </c>
      <c r="EQ157" s="32" t="b">
        <f t="shared" si="286"/>
        <v>1</v>
      </c>
      <c r="ER157" s="32">
        <f t="shared" si="287"/>
        <v>0.36352646237304004</v>
      </c>
      <c r="ES157" s="32" t="e">
        <f t="shared" si="288"/>
        <v>#N/A</v>
      </c>
      <c r="ET157" s="32">
        <f t="shared" si="289"/>
        <v>0.36352646237304004</v>
      </c>
      <c r="EU157" s="45" t="str">
        <f t="shared" si="290"/>
        <v/>
      </c>
      <c r="EV15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7" s="32" t="e" cm="1">
        <f t="array" ref="EY157">IF($CR$3,INDEX(Eu_tabel_a[[#This Row],[Styrke venstre]:[Styrke tosidet]],EY$7),NA())</f>
        <v>#N/A</v>
      </c>
      <c r="EZ157" s="32" t="e">
        <f>IF(EY$3,IF(CHOOSE(EY$7,Eu_tabel_a[[#This Row],[x base]]&gt;0,Eu_tabel_a[[#This Row],[x base]]&lt;0,Eu_tabel_a[[#This Row],[x base]]=0),1,NA()),NA())</f>
        <v>#N/A</v>
      </c>
      <c r="FA157" s="32" t="e">
        <f>IF(CHOOSE(EY$7,Eu_tabel_a[[#This Row],[x base]]&gt;0,Eu_tabel_a[[#This Row],[x base]]&lt;0,Eu_tabel_a[[#This Row],[x base]]=0),Eu_tabel_a[[#This Row],[Styrke, aktiv]],NA())</f>
        <v>#N/A</v>
      </c>
      <c r="FB157" s="32" t="e">
        <f>IFERROR(IF($EY$3,Eu_tabel_a[[#This Row],[Styrke, aktiv]],NA()),NA())</f>
        <v>#N/A</v>
      </c>
      <c r="FC157" s="32" t="e">
        <f>IF(ISNA(Eu_tabel_a[[#This Row],[Sand negativ
Nulhypotese afvises
Korrekt]]),NA(),IF(EY$3,1,NA()))</f>
        <v>#N/A</v>
      </c>
      <c r="FD157" s="33" t="str" cm="1">
        <f t="array" ref="FD157">IFERROR(_xlfn.SWITCH(Eu_tabel_a[[#This Row],[Indeks]],_xlfn.IFNA(FB$2,-99),FB$5,_xlfn.IFNA(FB$3,-99),FB$6,_xlfn.IFNA(FB$4,-99),FB$7,""),"")</f>
        <v/>
      </c>
      <c r="FE157" s="32">
        <f>Eu_tabel_a[[#This Row],[x base]]*SQRT(Eu_a_h0_x*(1-Eu_a_h0_x)/Eu_a_n_x)+Eu_a_h0_x</f>
        <v>0</v>
      </c>
      <c r="FJ157" s="74" t="e">
        <f t="shared" si="234"/>
        <v>#N/A</v>
      </c>
      <c r="FK157" s="82" t="e">
        <f t="shared" si="218"/>
        <v>#DIV/0!</v>
      </c>
      <c r="FL157" s="7" t="e">
        <f t="shared" si="228"/>
        <v>#DIV/0!</v>
      </c>
      <c r="FM157" t="e">
        <f t="shared" si="219"/>
        <v>#DIV/0!</v>
      </c>
      <c r="FN157" s="8" t="e">
        <f t="shared" si="220"/>
        <v>#DIV/0!</v>
      </c>
      <c r="FO157" s="8" t="e">
        <f t="shared" si="221"/>
        <v>#DIV/0!</v>
      </c>
      <c r="FP157" s="81" t="e">
        <f t="shared" si="222"/>
        <v>#DIV/0!</v>
      </c>
      <c r="FQ157" s="74" t="e">
        <f t="shared" ca="1" si="229"/>
        <v>#N/A</v>
      </c>
      <c r="FR157" s="82" t="e" vm="3">
        <f t="shared" ca="1" si="235"/>
        <v>#VALUE!</v>
      </c>
      <c r="FS157" s="7" t="e" vm="3">
        <f t="shared" ca="1" si="230"/>
        <v>#VALUE!</v>
      </c>
      <c r="FT157" t="e" vm="3">
        <f t="shared" ca="1" si="224"/>
        <v>#VALUE!</v>
      </c>
      <c r="FU157" s="8" t="e" vm="3">
        <f t="shared" ca="1" si="225"/>
        <v>#VALUE!</v>
      </c>
      <c r="FV157" s="8" t="e" vm="3">
        <f t="shared" ca="1" si="226"/>
        <v>#VALUE!</v>
      </c>
      <c r="FW157" s="81" t="e" vm="3">
        <f t="shared" ca="1" si="227"/>
        <v>#VALUE!</v>
      </c>
      <c r="FX157" s="74" t="e">
        <f t="shared" si="231"/>
        <v>#N/A</v>
      </c>
      <c r="FY157" s="82" t="e">
        <f t="shared" si="236"/>
        <v>#N/A</v>
      </c>
      <c r="FZ157" s="7" t="e">
        <f t="shared" si="232"/>
        <v>#N/A</v>
      </c>
      <c r="GA157" t="e">
        <f t="shared" si="237"/>
        <v>#N/A</v>
      </c>
      <c r="GB157" s="8" t="e">
        <f t="shared" si="238"/>
        <v>#N/A</v>
      </c>
      <c r="GC157" s="8" t="e">
        <f t="shared" si="239"/>
        <v>#N/A</v>
      </c>
      <c r="GD157" s="81" t="e">
        <f t="shared" si="240"/>
        <v>#N/A</v>
      </c>
      <c r="GE157" s="74" t="e">
        <f t="shared" si="241"/>
        <v>#N/A</v>
      </c>
      <c r="GF157" s="82" t="e">
        <f t="shared" si="242"/>
        <v>#N/A</v>
      </c>
      <c r="GG157" s="7" t="e">
        <f t="shared" si="233"/>
        <v>#N/A</v>
      </c>
      <c r="GH157" t="e">
        <f t="shared" si="243"/>
        <v>#N/A</v>
      </c>
      <c r="GI157" s="8" t="e">
        <f t="shared" si="244"/>
        <v>#N/A</v>
      </c>
      <c r="GJ157" s="8" t="e">
        <f t="shared" si="245"/>
        <v>#N/A</v>
      </c>
      <c r="GK157" s="81" t="e">
        <f t="shared" si="246"/>
        <v>#N/A</v>
      </c>
      <c r="GL157" s="81"/>
      <c r="GM157" s="81"/>
      <c r="GP157" s="32">
        <f t="shared" si="291"/>
        <v>147</v>
      </c>
      <c r="GQ157" s="32">
        <f t="shared" si="292"/>
        <v>148</v>
      </c>
      <c r="GR157" s="32">
        <f t="shared" si="293"/>
        <v>0.4311952055117878</v>
      </c>
      <c r="GS157" s="32">
        <f t="shared" si="294"/>
        <v>0.36352646237304004</v>
      </c>
      <c r="GT157" s="32" t="e">
        <f t="shared" si="295"/>
        <v>#N/A</v>
      </c>
      <c r="GU157" s="32" t="e">
        <f t="shared" si="296"/>
        <v>#N/A</v>
      </c>
      <c r="GV157" s="32" t="e">
        <f t="shared" si="297"/>
        <v>#N/A</v>
      </c>
      <c r="GW157" s="32" t="b">
        <f t="shared" si="298"/>
        <v>0</v>
      </c>
      <c r="GX157" s="32" t="b">
        <f t="shared" si="299"/>
        <v>1</v>
      </c>
      <c r="GY157" s="32" t="b">
        <f t="shared" si="300"/>
        <v>0</v>
      </c>
      <c r="GZ157" s="32" t="b">
        <f t="shared" si="301"/>
        <v>1</v>
      </c>
      <c r="HA157" s="32">
        <f t="shared" si="302"/>
        <v>0.36352646237304004</v>
      </c>
      <c r="HB157" s="32" t="e">
        <f t="shared" si="303"/>
        <v>#N/A</v>
      </c>
      <c r="HC157" s="32">
        <f t="shared" si="304"/>
        <v>0.36352646237304004</v>
      </c>
      <c r="HD157" s="45" t="str">
        <f t="shared" si="305"/>
        <v/>
      </c>
      <c r="HJ157" s="32">
        <f t="shared" si="306"/>
        <v>147</v>
      </c>
      <c r="HK157" s="32">
        <f t="shared" si="307"/>
        <v>148</v>
      </c>
      <c r="HL157" s="32">
        <f t="shared" si="308"/>
        <v>0.66771483190302305</v>
      </c>
      <c r="HM157" s="32" t="e">
        <f t="shared" si="309"/>
        <v>#N/A</v>
      </c>
      <c r="HN157" s="32">
        <f t="shared" si="310"/>
        <v>0.30073759656733073</v>
      </c>
      <c r="HO157" s="32" t="e">
        <f t="shared" si="311"/>
        <v>#N/A</v>
      </c>
      <c r="HP157" s="32" t="e">
        <f t="shared" si="312"/>
        <v>#N/A</v>
      </c>
      <c r="HQ157" s="32" t="b">
        <f t="shared" si="313"/>
        <v>1</v>
      </c>
      <c r="HR157" s="32" t="b">
        <f t="shared" si="314"/>
        <v>0</v>
      </c>
      <c r="HS157" s="32" t="b">
        <f t="shared" si="315"/>
        <v>0</v>
      </c>
      <c r="HT157" s="32" t="b">
        <f t="shared" si="316"/>
        <v>1</v>
      </c>
      <c r="HU157" s="32">
        <f t="shared" si="317"/>
        <v>0.30073759656733073</v>
      </c>
      <c r="HV157" s="32">
        <f t="shared" si="318"/>
        <v>0.30073759656733073</v>
      </c>
      <c r="HW157" s="32" t="e">
        <f t="shared" si="319"/>
        <v>#N/A</v>
      </c>
      <c r="HX157" s="45" t="str">
        <f t="shared" si="320"/>
        <v/>
      </c>
    </row>
    <row r="158" spans="78:232" x14ac:dyDescent="0.2">
      <c r="BZ158" s="32">
        <f t="shared" si="247"/>
        <v>148</v>
      </c>
      <c r="CA158" s="32">
        <f>Eu_tabel_g[[#This Row],[Indeks]]+1</f>
        <v>149</v>
      </c>
      <c r="CB158" s="32">
        <f t="shared" si="248"/>
        <v>0.45515049470688718</v>
      </c>
      <c r="CC158" s="32">
        <f t="shared" si="249"/>
        <v>0.35968755771017369</v>
      </c>
      <c r="CD158" s="32" t="e">
        <f t="shared" si="250"/>
        <v>#N/A</v>
      </c>
      <c r="CE158" s="32" t="e">
        <f t="shared" si="251"/>
        <v>#N/A</v>
      </c>
      <c r="CF158" s="32" t="e">
        <f t="shared" si="252"/>
        <v>#N/A</v>
      </c>
      <c r="CG158" s="32" t="b">
        <f t="shared" si="253"/>
        <v>0</v>
      </c>
      <c r="CH158" s="32" t="b">
        <f t="shared" si="254"/>
        <v>1</v>
      </c>
      <c r="CI158" s="32" t="b">
        <f t="shared" si="255"/>
        <v>0</v>
      </c>
      <c r="CJ158" s="32" t="b">
        <f t="shared" si="256"/>
        <v>1</v>
      </c>
      <c r="CK158" s="32">
        <f t="shared" ref="CK158:CK189" si="321">_xlfn.AGGREGATE(9,6,CC158:CF158)</f>
        <v>0.35968755771017369</v>
      </c>
      <c r="CL158" s="32" t="e">
        <f t="shared" si="257"/>
        <v>#N/A</v>
      </c>
      <c r="CM158" s="32">
        <f t="shared" si="258"/>
        <v>0.35968755771017369</v>
      </c>
      <c r="CN158" s="45" t="str">
        <f t="shared" si="259"/>
        <v/>
      </c>
      <c r="CO158" s="32">
        <f>_xlfn.NORM.DIST(_xlfn.NORM.INV(1-Eu_g_konfidensniveau,0,1)-Eu_tabel_g[[#This Row],[x base]],0,1,TRUE)</f>
        <v>1.7864239278245084E-2</v>
      </c>
      <c r="CP158" s="32">
        <f>1-_xlfn.NORM.DIST(_xlfn.NORM.INV(Eu_g_konfidensniveau,0,1)-Eu_tabel_g[[#This Row],[x base]],0,1,TRUE)</f>
        <v>0.11708154692792394</v>
      </c>
      <c r="CQ158" s="32">
        <f>_xlfn.NORM.DIST(_xlfn.NORM.INV((1-Eu_g_konfidensniveau)/2,0,1)-Eu_tabel_g[[#This Row],[x base]],0,1,TRUE)+1-_xlfn.NORM.DIST(_xlfn.NORM.INV(1-(1-Eu_g_konfidensniveau)/2,0,1)-Eu_tabel_g[[#This Row],[x base]],0,1,TRUE)</f>
        <v>7.4051149695403939E-2</v>
      </c>
      <c r="CR158" s="32" t="e" cm="1">
        <f t="array" ref="CR158">IF($CR$3,INDEX(Eu_tabel_g[[#This Row],[Styrke venstre]:[Styrke tosidet]],CR$7),NA())</f>
        <v>#N/A</v>
      </c>
      <c r="CS158" s="52" t="e">
        <f>Eu_tabel_g[[#This Row],[Falsk positiv
Nulhypotese accepteres
Fejltype 1]]</f>
        <v>#N/A</v>
      </c>
      <c r="CT158" s="52" t="e">
        <f>IF(CHOOSE(CR$7,Eu_tabel_g[[#This Row],[x base]]&gt;0,Eu_tabel_g[[#This Row],[x base]]&lt;0,Eu_tabel_g[[#This Row],[x base]]=0),Eu_tabel_g[[#This Row],[Styrke, aktiv]],NA())</f>
        <v>#N/A</v>
      </c>
      <c r="CU158" s="52" t="e">
        <f>IFERROR(IF($CR$3,Eu_tabel_g[[#This Row],[Styrke, aktiv]],NA()),NA())</f>
        <v>#N/A</v>
      </c>
      <c r="CV158" s="52" t="e">
        <f>IF(ISNA(Eu_tabel_g[[#This Row],[Sand negativ
Nulhypotese afvises
Korrekt]]),NA(),IF($CR$3,1,NA()))</f>
        <v>#N/A</v>
      </c>
      <c r="CW158" s="34" t="str" cm="1">
        <f t="array" ref="CW158">_xlfn.SWITCH(BZ158,_xlfn.IFNA(CU$2,-99),CU$5,_xlfn.IFNA(CU$3,-99),CU$6,_xlfn.IFNA(CU$4,-99),CU$7,"")</f>
        <v/>
      </c>
      <c r="DA158" s="7">
        <f t="shared" si="260"/>
        <v>0.8</v>
      </c>
      <c r="DB158">
        <f>IF(ROW(Styrkeberegning_G[[#This Row],[X base venstre]])=ROW(Styrkeberegning_G[[#Headers],[X base venstre]])+1,DB$7/(DA$7/$B$67),DB157/(DA157/$B$67))</f>
        <v>-2.8015817870135784</v>
      </c>
      <c r="DC158">
        <f>Styrkeberegning_G[[#This Row],[X base venstre]]*-1</f>
        <v>2.8015817870135784</v>
      </c>
      <c r="DN158" s="32">
        <f t="shared" si="261"/>
        <v>148</v>
      </c>
      <c r="DO158" s="32">
        <f t="shared" si="262"/>
        <v>149</v>
      </c>
      <c r="DP158" s="32">
        <f t="shared" si="263"/>
        <v>18.716339414369838</v>
      </c>
      <c r="DQ158" s="32" t="e">
        <f t="shared" si="264"/>
        <v>#N/A</v>
      </c>
      <c r="DR158" s="32" t="e">
        <f t="shared" si="265"/>
        <v>#N/A</v>
      </c>
      <c r="DS158" s="32">
        <f t="shared" si="266"/>
        <v>1.9331737904786175E-2</v>
      </c>
      <c r="DT158" s="32" t="e">
        <f t="shared" si="267"/>
        <v>#N/A</v>
      </c>
      <c r="DU158" s="32" t="b">
        <f t="shared" si="268"/>
        <v>0</v>
      </c>
      <c r="DV158" s="32" t="b">
        <f t="shared" si="269"/>
        <v>1</v>
      </c>
      <c r="DW158" s="32" t="b">
        <f t="shared" si="270"/>
        <v>0</v>
      </c>
      <c r="DX158" s="32" t="b">
        <f t="shared" si="271"/>
        <v>1</v>
      </c>
      <c r="DY158" s="32">
        <f t="shared" si="272"/>
        <v>1.9331737904786175E-2</v>
      </c>
      <c r="DZ158" s="32" t="e">
        <f t="shared" si="273"/>
        <v>#N/A</v>
      </c>
      <c r="EA158" s="32">
        <f t="shared" si="274"/>
        <v>1.9331737904786175E-2</v>
      </c>
      <c r="EB158" s="45" t="str">
        <f t="shared" si="275"/>
        <v/>
      </c>
      <c r="EG158" s="32">
        <f t="shared" si="276"/>
        <v>148</v>
      </c>
      <c r="EH158" s="32">
        <f t="shared" si="277"/>
        <v>149</v>
      </c>
      <c r="EI158" s="32">
        <f t="shared" si="278"/>
        <v>0.45515049470688718</v>
      </c>
      <c r="EJ158" s="32">
        <f t="shared" si="279"/>
        <v>0.35968755771017369</v>
      </c>
      <c r="EK158" s="32" t="e">
        <f t="shared" si="280"/>
        <v>#N/A</v>
      </c>
      <c r="EL158" s="32" t="e">
        <f t="shared" si="281"/>
        <v>#N/A</v>
      </c>
      <c r="EM158" s="32" t="e">
        <f t="shared" si="282"/>
        <v>#N/A</v>
      </c>
      <c r="EN158" s="32" t="b">
        <f t="shared" si="283"/>
        <v>0</v>
      </c>
      <c r="EO158" s="32" t="b">
        <f t="shared" si="284"/>
        <v>1</v>
      </c>
      <c r="EP158" s="32" t="b">
        <f t="shared" si="285"/>
        <v>0</v>
      </c>
      <c r="EQ158" s="32" t="b">
        <f t="shared" si="286"/>
        <v>1</v>
      </c>
      <c r="ER158" s="32">
        <f t="shared" si="287"/>
        <v>0.35968755771017369</v>
      </c>
      <c r="ES158" s="32" t="e">
        <f t="shared" si="288"/>
        <v>#N/A</v>
      </c>
      <c r="ET158" s="32">
        <f t="shared" si="289"/>
        <v>0.35968755771017369</v>
      </c>
      <c r="EU158" s="45" t="str">
        <f t="shared" si="290"/>
        <v/>
      </c>
      <c r="EV15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8" s="32" t="e" cm="1">
        <f t="array" ref="EY158">IF($CR$3,INDEX(Eu_tabel_a[[#This Row],[Styrke venstre]:[Styrke tosidet]],EY$7),NA())</f>
        <v>#N/A</v>
      </c>
      <c r="EZ158" s="32" t="e">
        <f>IF(EY$3,IF(CHOOSE(EY$7,Eu_tabel_a[[#This Row],[x base]]&gt;0,Eu_tabel_a[[#This Row],[x base]]&lt;0,Eu_tabel_a[[#This Row],[x base]]=0),1,NA()),NA())</f>
        <v>#N/A</v>
      </c>
      <c r="FA158" s="32" t="e">
        <f>IF(CHOOSE(EY$7,Eu_tabel_a[[#This Row],[x base]]&gt;0,Eu_tabel_a[[#This Row],[x base]]&lt;0,Eu_tabel_a[[#This Row],[x base]]=0),Eu_tabel_a[[#This Row],[Styrke, aktiv]],NA())</f>
        <v>#N/A</v>
      </c>
      <c r="FB158" s="32" t="e">
        <f>IFERROR(IF($EY$3,Eu_tabel_a[[#This Row],[Styrke, aktiv]],NA()),NA())</f>
        <v>#N/A</v>
      </c>
      <c r="FC158" s="32" t="e">
        <f>IF(ISNA(Eu_tabel_a[[#This Row],[Sand negativ
Nulhypotese afvises
Korrekt]]),NA(),IF(EY$3,1,NA()))</f>
        <v>#N/A</v>
      </c>
      <c r="FD158" s="33" t="str" cm="1">
        <f t="array" ref="FD158">IFERROR(_xlfn.SWITCH(Eu_tabel_a[[#This Row],[Indeks]],_xlfn.IFNA(FB$2,-99),FB$5,_xlfn.IFNA(FB$3,-99),FB$6,_xlfn.IFNA(FB$4,-99),FB$7,""),"")</f>
        <v/>
      </c>
      <c r="FE158" s="32">
        <f>Eu_tabel_a[[#This Row],[x base]]*SQRT(Eu_a_h0_x*(1-Eu_a_h0_x)/Eu_a_n_x)+Eu_a_h0_x</f>
        <v>0</v>
      </c>
      <c r="FJ158" s="74" t="e">
        <f t="shared" si="234"/>
        <v>#N/A</v>
      </c>
      <c r="FK158" s="82" t="e">
        <f t="shared" si="218"/>
        <v>#DIV/0!</v>
      </c>
      <c r="FL158" s="7" t="e">
        <f t="shared" si="228"/>
        <v>#DIV/0!</v>
      </c>
      <c r="FM158" t="e">
        <f t="shared" si="219"/>
        <v>#DIV/0!</v>
      </c>
      <c r="FN158" s="8" t="e">
        <f t="shared" si="220"/>
        <v>#DIV/0!</v>
      </c>
      <c r="FO158" s="8" t="e">
        <f t="shared" si="221"/>
        <v>#DIV/0!</v>
      </c>
      <c r="FP158" s="81" t="e">
        <f t="shared" si="222"/>
        <v>#DIV/0!</v>
      </c>
      <c r="FQ158" s="74" t="e">
        <f t="shared" ca="1" si="229"/>
        <v>#N/A</v>
      </c>
      <c r="FR158" s="82" t="e" vm="3">
        <f t="shared" ca="1" si="235"/>
        <v>#VALUE!</v>
      </c>
      <c r="FS158" s="7" t="e" vm="3">
        <f t="shared" ca="1" si="230"/>
        <v>#VALUE!</v>
      </c>
      <c r="FT158" t="e" vm="3">
        <f t="shared" ca="1" si="224"/>
        <v>#VALUE!</v>
      </c>
      <c r="FU158" s="8" t="e" vm="3">
        <f t="shared" ca="1" si="225"/>
        <v>#VALUE!</v>
      </c>
      <c r="FV158" s="8" t="e" vm="3">
        <f t="shared" ca="1" si="226"/>
        <v>#VALUE!</v>
      </c>
      <c r="FW158" s="81" t="e" vm="3">
        <f t="shared" ca="1" si="227"/>
        <v>#VALUE!</v>
      </c>
      <c r="FX158" s="74" t="e">
        <f t="shared" si="231"/>
        <v>#N/A</v>
      </c>
      <c r="FY158" s="82" t="e">
        <f t="shared" si="236"/>
        <v>#N/A</v>
      </c>
      <c r="FZ158" s="7" t="e">
        <f t="shared" si="232"/>
        <v>#N/A</v>
      </c>
      <c r="GA158" t="e">
        <f t="shared" si="237"/>
        <v>#N/A</v>
      </c>
      <c r="GB158" s="8" t="e">
        <f t="shared" si="238"/>
        <v>#N/A</v>
      </c>
      <c r="GC158" s="8" t="e">
        <f t="shared" si="239"/>
        <v>#N/A</v>
      </c>
      <c r="GD158" s="81" t="e">
        <f t="shared" si="240"/>
        <v>#N/A</v>
      </c>
      <c r="GE158" s="74" t="e">
        <f t="shared" si="241"/>
        <v>#N/A</v>
      </c>
      <c r="GF158" s="82" t="e">
        <f t="shared" si="242"/>
        <v>#N/A</v>
      </c>
      <c r="GG158" s="7" t="e">
        <f t="shared" si="233"/>
        <v>#N/A</v>
      </c>
      <c r="GH158" t="e">
        <f t="shared" si="243"/>
        <v>#N/A</v>
      </c>
      <c r="GI158" s="8" t="e">
        <f t="shared" si="244"/>
        <v>#N/A</v>
      </c>
      <c r="GJ158" s="8" t="e">
        <f t="shared" si="245"/>
        <v>#N/A</v>
      </c>
      <c r="GK158" s="81" t="e">
        <f t="shared" si="246"/>
        <v>#N/A</v>
      </c>
      <c r="GL158" s="81"/>
      <c r="GM158" s="81"/>
      <c r="GP158" s="32">
        <f t="shared" si="291"/>
        <v>148</v>
      </c>
      <c r="GQ158" s="32">
        <f t="shared" si="292"/>
        <v>149</v>
      </c>
      <c r="GR158" s="32">
        <f t="shared" si="293"/>
        <v>0.45515049470688718</v>
      </c>
      <c r="GS158" s="32">
        <f t="shared" si="294"/>
        <v>0.35968755771017369</v>
      </c>
      <c r="GT158" s="32" t="e">
        <f t="shared" si="295"/>
        <v>#N/A</v>
      </c>
      <c r="GU158" s="32" t="e">
        <f t="shared" si="296"/>
        <v>#N/A</v>
      </c>
      <c r="GV158" s="32" t="e">
        <f t="shared" si="297"/>
        <v>#N/A</v>
      </c>
      <c r="GW158" s="32" t="b">
        <f t="shared" si="298"/>
        <v>0</v>
      </c>
      <c r="GX158" s="32" t="b">
        <f t="shared" si="299"/>
        <v>1</v>
      </c>
      <c r="GY158" s="32" t="b">
        <f t="shared" si="300"/>
        <v>0</v>
      </c>
      <c r="GZ158" s="32" t="b">
        <f t="shared" si="301"/>
        <v>1</v>
      </c>
      <c r="HA158" s="32">
        <f t="shared" si="302"/>
        <v>0.35968755771017369</v>
      </c>
      <c r="HB158" s="32" t="e">
        <f t="shared" si="303"/>
        <v>#N/A</v>
      </c>
      <c r="HC158" s="32">
        <f t="shared" si="304"/>
        <v>0.35968755771017369</v>
      </c>
      <c r="HD158" s="45" t="str">
        <f t="shared" si="305"/>
        <v/>
      </c>
      <c r="HJ158" s="32">
        <f t="shared" si="306"/>
        <v>148</v>
      </c>
      <c r="HK158" s="32">
        <f t="shared" si="307"/>
        <v>149</v>
      </c>
      <c r="HL158" s="32">
        <f t="shared" si="308"/>
        <v>0.70481010034208058</v>
      </c>
      <c r="HM158" s="32" t="e">
        <f t="shared" si="309"/>
        <v>#N/A</v>
      </c>
      <c r="HN158" s="32">
        <f t="shared" si="310"/>
        <v>0.29265061827805405</v>
      </c>
      <c r="HO158" s="32" t="e">
        <f t="shared" si="311"/>
        <v>#N/A</v>
      </c>
      <c r="HP158" s="32" t="e">
        <f t="shared" si="312"/>
        <v>#N/A</v>
      </c>
      <c r="HQ158" s="32" t="b">
        <f t="shared" si="313"/>
        <v>1</v>
      </c>
      <c r="HR158" s="32" t="b">
        <f t="shared" si="314"/>
        <v>0</v>
      </c>
      <c r="HS158" s="32" t="b">
        <f t="shared" si="315"/>
        <v>0</v>
      </c>
      <c r="HT158" s="32" t="b">
        <f t="shared" si="316"/>
        <v>1</v>
      </c>
      <c r="HU158" s="32">
        <f t="shared" si="317"/>
        <v>0.29265061827805405</v>
      </c>
      <c r="HV158" s="32">
        <f t="shared" si="318"/>
        <v>0.29265061827805405</v>
      </c>
      <c r="HW158" s="32" t="e">
        <f t="shared" si="319"/>
        <v>#N/A</v>
      </c>
      <c r="HX158" s="45" t="str">
        <f t="shared" si="320"/>
        <v/>
      </c>
    </row>
    <row r="159" spans="78:232" x14ac:dyDescent="0.2">
      <c r="BZ159" s="32">
        <f t="shared" si="247"/>
        <v>149</v>
      </c>
      <c r="CA159" s="32">
        <f>Eu_tabel_g[[#This Row],[Indeks]]+1</f>
        <v>150</v>
      </c>
      <c r="CB159" s="32">
        <f t="shared" si="248"/>
        <v>0.47910578390198655</v>
      </c>
      <c r="CC159" s="32">
        <f t="shared" si="249"/>
        <v>0.35568502205117924</v>
      </c>
      <c r="CD159" s="32" t="e">
        <f t="shared" si="250"/>
        <v>#N/A</v>
      </c>
      <c r="CE159" s="32" t="e">
        <f t="shared" si="251"/>
        <v>#N/A</v>
      </c>
      <c r="CF159" s="32" t="e">
        <f t="shared" si="252"/>
        <v>#N/A</v>
      </c>
      <c r="CG159" s="32" t="b">
        <f t="shared" si="253"/>
        <v>0</v>
      </c>
      <c r="CH159" s="32" t="b">
        <f t="shared" si="254"/>
        <v>1</v>
      </c>
      <c r="CI159" s="32" t="b">
        <f t="shared" si="255"/>
        <v>0</v>
      </c>
      <c r="CJ159" s="32" t="b">
        <f t="shared" si="256"/>
        <v>1</v>
      </c>
      <c r="CK159" s="32">
        <f t="shared" si="321"/>
        <v>0.35568502205117924</v>
      </c>
      <c r="CL159" s="32" t="e">
        <f t="shared" si="257"/>
        <v>#N/A</v>
      </c>
      <c r="CM159" s="32">
        <f t="shared" si="258"/>
        <v>0.35568502205117924</v>
      </c>
      <c r="CN159" s="45" t="str">
        <f t="shared" si="259"/>
        <v/>
      </c>
      <c r="CO159" s="32">
        <f>_xlfn.NORM.DIST(_xlfn.NORM.INV(1-Eu_g_konfidensniveau,0,1)-Eu_tabel_g[[#This Row],[x base]],0,1,TRUE)</f>
        <v>1.6836768880534154E-2</v>
      </c>
      <c r="CP159" s="32">
        <f>1-_xlfn.NORM.DIST(_xlfn.NORM.INV(Eu_g_konfidensniveau,0,1)-Eu_tabel_g[[#This Row],[x base]],0,1,TRUE)</f>
        <v>0.12185820522532054</v>
      </c>
      <c r="CQ159" s="32">
        <f>_xlfn.NORM.DIST(_xlfn.NORM.INV((1-Eu_g_konfidensniveau)/2,0,1)-Eu_tabel_g[[#This Row],[x base]],0,1,TRUE)+1-_xlfn.NORM.DIST(_xlfn.NORM.INV(1-(1-Eu_g_konfidensniveau)/2,0,1)-Eu_tabel_g[[#This Row],[x base]],0,1,TRUE)</f>
        <v>7.6684744285609896E-2</v>
      </c>
      <c r="CR159" s="32" t="e" cm="1">
        <f t="array" ref="CR159">IF($CR$3,INDEX(Eu_tabel_g[[#This Row],[Styrke venstre]:[Styrke tosidet]],CR$7),NA())</f>
        <v>#N/A</v>
      </c>
      <c r="CS159" s="52" t="e">
        <f>Eu_tabel_g[[#This Row],[Falsk positiv
Nulhypotese accepteres
Fejltype 1]]</f>
        <v>#N/A</v>
      </c>
      <c r="CT159" s="52" t="e">
        <f>IF(CHOOSE(CR$7,Eu_tabel_g[[#This Row],[x base]]&gt;0,Eu_tabel_g[[#This Row],[x base]]&lt;0,Eu_tabel_g[[#This Row],[x base]]=0),Eu_tabel_g[[#This Row],[Styrke, aktiv]],NA())</f>
        <v>#N/A</v>
      </c>
      <c r="CU159" s="52" t="e">
        <f>IFERROR(IF($CR$3,Eu_tabel_g[[#This Row],[Styrke, aktiv]],NA()),NA())</f>
        <v>#N/A</v>
      </c>
      <c r="CV159" s="52" t="e">
        <f>IF(ISNA(Eu_tabel_g[[#This Row],[Sand negativ
Nulhypotese afvises
Korrekt]]),NA(),IF($CR$3,1,NA()))</f>
        <v>#N/A</v>
      </c>
      <c r="CW159" s="34" t="str" cm="1">
        <f t="array" ref="CW159">_xlfn.SWITCH(BZ159,_xlfn.IFNA(CU$2,-99),CU$5,_xlfn.IFNA(CU$3,-99),CU$6,_xlfn.IFNA(CU$4,-99),CU$7,"")</f>
        <v/>
      </c>
      <c r="DA159" s="7">
        <f t="shared" si="260"/>
        <v>0.8</v>
      </c>
      <c r="DB159">
        <f>IF(ROW(Styrkeberegning_G[[#This Row],[X base venstre]])=ROW(Styrkeberegning_G[[#Headers],[X base venstre]])+1,DB$7/(DA$7/$B$67),DB158/(DA158/$B$67))</f>
        <v>-2.8015817870135784</v>
      </c>
      <c r="DC159">
        <f>Styrkeberegning_G[[#This Row],[X base venstre]]*-1</f>
        <v>2.8015817870135784</v>
      </c>
      <c r="DN159" s="32">
        <f t="shared" si="261"/>
        <v>149</v>
      </c>
      <c r="DO159" s="32">
        <f t="shared" si="262"/>
        <v>150</v>
      </c>
      <c r="DP159" s="32">
        <f t="shared" si="263"/>
        <v>18.830410270786839</v>
      </c>
      <c r="DQ159" s="32" t="e">
        <f t="shared" si="264"/>
        <v>#N/A</v>
      </c>
      <c r="DR159" s="32" t="e">
        <f t="shared" si="265"/>
        <v>#N/A</v>
      </c>
      <c r="DS159" s="32">
        <f t="shared" si="266"/>
        <v>1.8766169807200226E-2</v>
      </c>
      <c r="DT159" s="32" t="e">
        <f t="shared" si="267"/>
        <v>#N/A</v>
      </c>
      <c r="DU159" s="32" t="b">
        <f t="shared" si="268"/>
        <v>0</v>
      </c>
      <c r="DV159" s="32" t="b">
        <f t="shared" si="269"/>
        <v>1</v>
      </c>
      <c r="DW159" s="32" t="b">
        <f t="shared" si="270"/>
        <v>0</v>
      </c>
      <c r="DX159" s="32" t="b">
        <f t="shared" si="271"/>
        <v>1</v>
      </c>
      <c r="DY159" s="32">
        <f t="shared" si="272"/>
        <v>1.8766169807200226E-2</v>
      </c>
      <c r="DZ159" s="32" t="e">
        <f t="shared" si="273"/>
        <v>#N/A</v>
      </c>
      <c r="EA159" s="32">
        <f t="shared" si="274"/>
        <v>1.8766169807200226E-2</v>
      </c>
      <c r="EB159" s="45" t="str">
        <f t="shared" si="275"/>
        <v/>
      </c>
      <c r="EG159" s="32">
        <f t="shared" si="276"/>
        <v>149</v>
      </c>
      <c r="EH159" s="32">
        <f t="shared" si="277"/>
        <v>150</v>
      </c>
      <c r="EI159" s="32">
        <f t="shared" si="278"/>
        <v>0.47910578390198655</v>
      </c>
      <c r="EJ159" s="32">
        <f t="shared" si="279"/>
        <v>0.35568502205117924</v>
      </c>
      <c r="EK159" s="32" t="e">
        <f t="shared" si="280"/>
        <v>#N/A</v>
      </c>
      <c r="EL159" s="32" t="e">
        <f t="shared" si="281"/>
        <v>#N/A</v>
      </c>
      <c r="EM159" s="32" t="e">
        <f t="shared" si="282"/>
        <v>#N/A</v>
      </c>
      <c r="EN159" s="32" t="b">
        <f t="shared" si="283"/>
        <v>0</v>
      </c>
      <c r="EO159" s="32" t="b">
        <f t="shared" si="284"/>
        <v>1</v>
      </c>
      <c r="EP159" s="32" t="b">
        <f t="shared" si="285"/>
        <v>0</v>
      </c>
      <c r="EQ159" s="32" t="b">
        <f t="shared" si="286"/>
        <v>1</v>
      </c>
      <c r="ER159" s="32">
        <f t="shared" si="287"/>
        <v>0.35568502205117924</v>
      </c>
      <c r="ES159" s="32" t="e">
        <f t="shared" si="288"/>
        <v>#N/A</v>
      </c>
      <c r="ET159" s="32">
        <f t="shared" si="289"/>
        <v>0.35568502205117924</v>
      </c>
      <c r="EU159" s="45" t="str">
        <f t="shared" si="290"/>
        <v/>
      </c>
      <c r="EV15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9" s="32" t="e" cm="1">
        <f t="array" ref="EY159">IF($CR$3,INDEX(Eu_tabel_a[[#This Row],[Styrke venstre]:[Styrke tosidet]],EY$7),NA())</f>
        <v>#N/A</v>
      </c>
      <c r="EZ159" s="32" t="e">
        <f>IF(EY$3,IF(CHOOSE(EY$7,Eu_tabel_a[[#This Row],[x base]]&gt;0,Eu_tabel_a[[#This Row],[x base]]&lt;0,Eu_tabel_a[[#This Row],[x base]]=0),1,NA()),NA())</f>
        <v>#N/A</v>
      </c>
      <c r="FA159" s="32" t="e">
        <f>IF(CHOOSE(EY$7,Eu_tabel_a[[#This Row],[x base]]&gt;0,Eu_tabel_a[[#This Row],[x base]]&lt;0,Eu_tabel_a[[#This Row],[x base]]=0),Eu_tabel_a[[#This Row],[Styrke, aktiv]],NA())</f>
        <v>#N/A</v>
      </c>
      <c r="FB159" s="32" t="e">
        <f>IFERROR(IF($EY$3,Eu_tabel_a[[#This Row],[Styrke, aktiv]],NA()),NA())</f>
        <v>#N/A</v>
      </c>
      <c r="FC159" s="32" t="e">
        <f>IF(ISNA(Eu_tabel_a[[#This Row],[Sand negativ
Nulhypotese afvises
Korrekt]]),NA(),IF(EY$3,1,NA()))</f>
        <v>#N/A</v>
      </c>
      <c r="FD159" s="33" t="str" cm="1">
        <f t="array" ref="FD159">IFERROR(_xlfn.SWITCH(Eu_tabel_a[[#This Row],[Indeks]],_xlfn.IFNA(FB$2,-99),FB$5,_xlfn.IFNA(FB$3,-99),FB$6,_xlfn.IFNA(FB$4,-99),FB$7,""),"")</f>
        <v/>
      </c>
      <c r="FE159" s="32">
        <f>Eu_tabel_a[[#This Row],[x base]]*SQRT(Eu_a_h0_x*(1-Eu_a_h0_x)/Eu_a_n_x)+Eu_a_h0_x</f>
        <v>0</v>
      </c>
      <c r="FJ159" s="74" t="e">
        <f t="shared" si="234"/>
        <v>#N/A</v>
      </c>
      <c r="FK159" s="82" t="e">
        <f t="shared" ref="FK159:FK222" si="322">FK157+FP158</f>
        <v>#DIV/0!</v>
      </c>
      <c r="FL159" s="7" t="e">
        <f t="shared" si="228"/>
        <v>#DIV/0!</v>
      </c>
      <c r="FM159" t="e">
        <f t="shared" ref="FM159:FM222" si="323">FK159-FK158</f>
        <v>#DIV/0!</v>
      </c>
      <c r="FN159" s="8" t="e">
        <f t="shared" ref="FN159:FN222" si="324">FL159-FL158</f>
        <v>#DIV/0!</v>
      </c>
      <c r="FO159" s="8" t="e">
        <f t="shared" ref="FO159:FO222" si="325">$P$67-FL158</f>
        <v>#DIV/0!</v>
      </c>
      <c r="FP159" s="81" t="e">
        <f t="shared" ref="FP159:FP222" si="326">FM159/(FN159/FO159)</f>
        <v>#DIV/0!</v>
      </c>
      <c r="FQ159" s="74" t="e">
        <f t="shared" ca="1" si="229"/>
        <v>#N/A</v>
      </c>
      <c r="FR159" s="82" t="e" vm="3">
        <f t="shared" ca="1" si="235"/>
        <v>#VALUE!</v>
      </c>
      <c r="FS159" s="7" t="e" vm="3">
        <f t="shared" ca="1" si="230"/>
        <v>#VALUE!</v>
      </c>
      <c r="FT159" t="e" vm="3">
        <f t="shared" ca="1" si="224"/>
        <v>#VALUE!</v>
      </c>
      <c r="FU159" s="8" t="e" vm="3">
        <f t="shared" ca="1" si="225"/>
        <v>#VALUE!</v>
      </c>
      <c r="FV159" s="8" t="e" vm="3">
        <f t="shared" ca="1" si="226"/>
        <v>#VALUE!</v>
      </c>
      <c r="FW159" s="81" t="e" vm="3">
        <f t="shared" ca="1" si="227"/>
        <v>#VALUE!</v>
      </c>
      <c r="FX159" s="74" t="e">
        <f t="shared" si="231"/>
        <v>#N/A</v>
      </c>
      <c r="FY159" s="82" t="e">
        <f t="shared" si="236"/>
        <v>#N/A</v>
      </c>
      <c r="FZ159" s="7" t="e">
        <f t="shared" si="232"/>
        <v>#N/A</v>
      </c>
      <c r="GA159" t="e">
        <f t="shared" si="237"/>
        <v>#N/A</v>
      </c>
      <c r="GB159" s="8" t="e">
        <f t="shared" si="238"/>
        <v>#N/A</v>
      </c>
      <c r="GC159" s="8" t="e">
        <f t="shared" si="239"/>
        <v>#N/A</v>
      </c>
      <c r="GD159" s="81" t="e">
        <f t="shared" si="240"/>
        <v>#N/A</v>
      </c>
      <c r="GE159" s="74" t="e">
        <f t="shared" si="241"/>
        <v>#N/A</v>
      </c>
      <c r="GF159" s="82" t="e">
        <f t="shared" si="242"/>
        <v>#N/A</v>
      </c>
      <c r="GG159" s="7" t="e">
        <f t="shared" si="233"/>
        <v>#N/A</v>
      </c>
      <c r="GH159" t="e">
        <f t="shared" si="243"/>
        <v>#N/A</v>
      </c>
      <c r="GI159" s="8" t="e">
        <f t="shared" si="244"/>
        <v>#N/A</v>
      </c>
      <c r="GJ159" s="8" t="e">
        <f t="shared" si="245"/>
        <v>#N/A</v>
      </c>
      <c r="GK159" s="81" t="e">
        <f t="shared" si="246"/>
        <v>#N/A</v>
      </c>
      <c r="GL159" s="81"/>
      <c r="GM159" s="81"/>
      <c r="GP159" s="32">
        <f t="shared" si="291"/>
        <v>149</v>
      </c>
      <c r="GQ159" s="32">
        <f t="shared" si="292"/>
        <v>150</v>
      </c>
      <c r="GR159" s="32">
        <f t="shared" si="293"/>
        <v>0.47910578390198655</v>
      </c>
      <c r="GS159" s="32">
        <f t="shared" si="294"/>
        <v>0.35568502205117924</v>
      </c>
      <c r="GT159" s="32" t="e">
        <f t="shared" si="295"/>
        <v>#N/A</v>
      </c>
      <c r="GU159" s="32" t="e">
        <f t="shared" si="296"/>
        <v>#N/A</v>
      </c>
      <c r="GV159" s="32" t="e">
        <f t="shared" si="297"/>
        <v>#N/A</v>
      </c>
      <c r="GW159" s="32" t="b">
        <f t="shared" si="298"/>
        <v>0</v>
      </c>
      <c r="GX159" s="32" t="b">
        <f t="shared" si="299"/>
        <v>1</v>
      </c>
      <c r="GY159" s="32" t="b">
        <f t="shared" si="300"/>
        <v>0</v>
      </c>
      <c r="GZ159" s="32" t="b">
        <f t="shared" si="301"/>
        <v>1</v>
      </c>
      <c r="HA159" s="32">
        <f t="shared" si="302"/>
        <v>0.35568502205117924</v>
      </c>
      <c r="HB159" s="32" t="e">
        <f t="shared" si="303"/>
        <v>#N/A</v>
      </c>
      <c r="HC159" s="32">
        <f t="shared" si="304"/>
        <v>0.35568502205117924</v>
      </c>
      <c r="HD159" s="45" t="str">
        <f t="shared" si="305"/>
        <v/>
      </c>
      <c r="HJ159" s="32">
        <f t="shared" si="306"/>
        <v>149</v>
      </c>
      <c r="HK159" s="32">
        <f t="shared" si="307"/>
        <v>150</v>
      </c>
      <c r="HL159" s="32">
        <f t="shared" si="308"/>
        <v>0.74190536878113722</v>
      </c>
      <c r="HM159" s="32" t="e">
        <f t="shared" si="309"/>
        <v>#N/A</v>
      </c>
      <c r="HN159" s="32">
        <f t="shared" si="310"/>
        <v>0.28441859146828452</v>
      </c>
      <c r="HO159" s="32" t="e">
        <f t="shared" si="311"/>
        <v>#N/A</v>
      </c>
      <c r="HP159" s="32" t="e">
        <f t="shared" si="312"/>
        <v>#N/A</v>
      </c>
      <c r="HQ159" s="32" t="b">
        <f t="shared" si="313"/>
        <v>1</v>
      </c>
      <c r="HR159" s="32" t="b">
        <f t="shared" si="314"/>
        <v>0</v>
      </c>
      <c r="HS159" s="32" t="b">
        <f t="shared" si="315"/>
        <v>0</v>
      </c>
      <c r="HT159" s="32" t="b">
        <f t="shared" si="316"/>
        <v>1</v>
      </c>
      <c r="HU159" s="32">
        <f t="shared" si="317"/>
        <v>0.28441859146828452</v>
      </c>
      <c r="HV159" s="32">
        <f t="shared" si="318"/>
        <v>0.28441859146828452</v>
      </c>
      <c r="HW159" s="32" t="e">
        <f t="shared" si="319"/>
        <v>#N/A</v>
      </c>
      <c r="HX159" s="45" t="str">
        <f t="shared" si="320"/>
        <v/>
      </c>
    </row>
    <row r="160" spans="78:232" x14ac:dyDescent="0.2">
      <c r="BZ160" s="32">
        <f t="shared" si="247"/>
        <v>150</v>
      </c>
      <c r="CA160" s="32">
        <f>Eu_tabel_g[[#This Row],[Indeks]]+1</f>
        <v>151</v>
      </c>
      <c r="CB160" s="32">
        <f t="shared" si="248"/>
        <v>0.50306107309708592</v>
      </c>
      <c r="CC160" s="32">
        <f t="shared" si="249"/>
        <v>0.35152524313860362</v>
      </c>
      <c r="CD160" s="32" t="e">
        <f t="shared" si="250"/>
        <v>#N/A</v>
      </c>
      <c r="CE160" s="32" t="e">
        <f t="shared" si="251"/>
        <v>#N/A</v>
      </c>
      <c r="CF160" s="32" t="e">
        <f t="shared" si="252"/>
        <v>#N/A</v>
      </c>
      <c r="CG160" s="32" t="b">
        <f t="shared" si="253"/>
        <v>0</v>
      </c>
      <c r="CH160" s="32" t="b">
        <f t="shared" si="254"/>
        <v>1</v>
      </c>
      <c r="CI160" s="32" t="b">
        <f t="shared" si="255"/>
        <v>0</v>
      </c>
      <c r="CJ160" s="32" t="b">
        <f t="shared" si="256"/>
        <v>1</v>
      </c>
      <c r="CK160" s="32">
        <f t="shared" si="321"/>
        <v>0.35152524313860362</v>
      </c>
      <c r="CL160" s="32" t="e">
        <f t="shared" si="257"/>
        <v>#N/A</v>
      </c>
      <c r="CM160" s="32">
        <f t="shared" si="258"/>
        <v>0.35152524313860362</v>
      </c>
      <c r="CN160" s="45" t="str">
        <f t="shared" si="259"/>
        <v/>
      </c>
      <c r="CO160" s="32">
        <f>_xlfn.NORM.DIST(_xlfn.NORM.INV(1-Eu_g_konfidensniveau,0,1)-Eu_tabel_g[[#This Row],[x base]],0,1,TRUE)</f>
        <v>1.5860266188613213E-2</v>
      </c>
      <c r="CP160" s="32">
        <f>1-_xlfn.NORM.DIST(_xlfn.NORM.INV(Eu_g_konfidensniveau,0,1)-Eu_tabel_g[[#This Row],[x base]],0,1,TRUE)</f>
        <v>0.12677012909733831</v>
      </c>
      <c r="CQ160" s="32">
        <f>_xlfn.NORM.DIST(_xlfn.NORM.INV((1-Eu_g_konfidensniveau)/2,0,1)-Eu_tabel_g[[#This Row],[x base]],0,1,TRUE)+1-_xlfn.NORM.DIST(_xlfn.NORM.INV(1-(1-Eu_g_konfidensniveau)/2,0,1)-Eu_tabel_g[[#This Row],[x base]],0,1,TRUE)</f>
        <v>7.9460105488476707E-2</v>
      </c>
      <c r="CR160" s="32" t="e" cm="1">
        <f t="array" ref="CR160">IF($CR$3,INDEX(Eu_tabel_g[[#This Row],[Styrke venstre]:[Styrke tosidet]],CR$7),NA())</f>
        <v>#N/A</v>
      </c>
      <c r="CS160" s="52" t="e">
        <f>Eu_tabel_g[[#This Row],[Falsk positiv
Nulhypotese accepteres
Fejltype 1]]</f>
        <v>#N/A</v>
      </c>
      <c r="CT160" s="52" t="e">
        <f>IF(CHOOSE(CR$7,Eu_tabel_g[[#This Row],[x base]]&gt;0,Eu_tabel_g[[#This Row],[x base]]&lt;0,Eu_tabel_g[[#This Row],[x base]]=0),Eu_tabel_g[[#This Row],[Styrke, aktiv]],NA())</f>
        <v>#N/A</v>
      </c>
      <c r="CU160" s="52" t="e">
        <f>IFERROR(IF($CR$3,Eu_tabel_g[[#This Row],[Styrke, aktiv]],NA()),NA())</f>
        <v>#N/A</v>
      </c>
      <c r="CV160" s="52" t="e">
        <f>IF(ISNA(Eu_tabel_g[[#This Row],[Sand negativ
Nulhypotese afvises
Korrekt]]),NA(),IF($CR$3,1,NA()))</f>
        <v>#N/A</v>
      </c>
      <c r="CW160" s="34" t="str" cm="1">
        <f t="array" ref="CW160">_xlfn.SWITCH(BZ160,_xlfn.IFNA(CU$2,-99),CU$5,_xlfn.IFNA(CU$3,-99),CU$6,_xlfn.IFNA(CU$4,-99),CU$7,"")</f>
        <v/>
      </c>
      <c r="DA160" s="7">
        <f t="shared" si="260"/>
        <v>0.8</v>
      </c>
      <c r="DB160">
        <f>IF(ROW(Styrkeberegning_G[[#This Row],[X base venstre]])=ROW(Styrkeberegning_G[[#Headers],[X base venstre]])+1,DB$7/(DA$7/$B$67),DB159/(DA159/$B$67))</f>
        <v>-2.8015817870135784</v>
      </c>
      <c r="DC160">
        <f>Styrkeberegning_G[[#This Row],[X base venstre]]*-1</f>
        <v>2.8015817870135784</v>
      </c>
      <c r="DN160" s="32">
        <f t="shared" si="261"/>
        <v>150</v>
      </c>
      <c r="DO160" s="32">
        <f t="shared" si="262"/>
        <v>151</v>
      </c>
      <c r="DP160" s="32">
        <f t="shared" si="263"/>
        <v>18.94448112720384</v>
      </c>
      <c r="DQ160" s="32" t="e">
        <f t="shared" si="264"/>
        <v>#N/A</v>
      </c>
      <c r="DR160" s="32" t="e">
        <f t="shared" si="265"/>
        <v>#N/A</v>
      </c>
      <c r="DS160" s="32">
        <f t="shared" si="266"/>
        <v>1.8214139816133987E-2</v>
      </c>
      <c r="DT160" s="32" t="e">
        <f t="shared" si="267"/>
        <v>#N/A</v>
      </c>
      <c r="DU160" s="32" t="b">
        <f t="shared" si="268"/>
        <v>0</v>
      </c>
      <c r="DV160" s="32" t="b">
        <f t="shared" si="269"/>
        <v>1</v>
      </c>
      <c r="DW160" s="32" t="b">
        <f t="shared" si="270"/>
        <v>0</v>
      </c>
      <c r="DX160" s="32" t="b">
        <f t="shared" si="271"/>
        <v>1</v>
      </c>
      <c r="DY160" s="32">
        <f t="shared" si="272"/>
        <v>1.8214139816133987E-2</v>
      </c>
      <c r="DZ160" s="32" t="e">
        <f t="shared" si="273"/>
        <v>#N/A</v>
      </c>
      <c r="EA160" s="32">
        <f t="shared" si="274"/>
        <v>1.8214139816133987E-2</v>
      </c>
      <c r="EB160" s="45" t="str">
        <f t="shared" si="275"/>
        <v/>
      </c>
      <c r="EG160" s="32">
        <f t="shared" si="276"/>
        <v>150</v>
      </c>
      <c r="EH160" s="32">
        <f t="shared" si="277"/>
        <v>151</v>
      </c>
      <c r="EI160" s="32">
        <f t="shared" si="278"/>
        <v>0.50306107309708592</v>
      </c>
      <c r="EJ160" s="32">
        <f t="shared" si="279"/>
        <v>0.35152524313860362</v>
      </c>
      <c r="EK160" s="32" t="e">
        <f t="shared" si="280"/>
        <v>#N/A</v>
      </c>
      <c r="EL160" s="32" t="e">
        <f t="shared" si="281"/>
        <v>#N/A</v>
      </c>
      <c r="EM160" s="32" t="e">
        <f t="shared" si="282"/>
        <v>#N/A</v>
      </c>
      <c r="EN160" s="32" t="b">
        <f t="shared" si="283"/>
        <v>0</v>
      </c>
      <c r="EO160" s="32" t="b">
        <f t="shared" si="284"/>
        <v>1</v>
      </c>
      <c r="EP160" s="32" t="b">
        <f t="shared" si="285"/>
        <v>0</v>
      </c>
      <c r="EQ160" s="32" t="b">
        <f t="shared" si="286"/>
        <v>1</v>
      </c>
      <c r="ER160" s="32">
        <f t="shared" si="287"/>
        <v>0.35152524313860362</v>
      </c>
      <c r="ES160" s="32" t="e">
        <f t="shared" si="288"/>
        <v>#N/A</v>
      </c>
      <c r="ET160" s="32">
        <f t="shared" si="289"/>
        <v>0.35152524313860362</v>
      </c>
      <c r="EU160" s="45" t="str">
        <f t="shared" si="290"/>
        <v/>
      </c>
      <c r="EV16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0" s="32" t="e" cm="1">
        <f t="array" ref="EY160">IF($CR$3,INDEX(Eu_tabel_a[[#This Row],[Styrke venstre]:[Styrke tosidet]],EY$7),NA())</f>
        <v>#N/A</v>
      </c>
      <c r="EZ160" s="32" t="e">
        <f>IF(EY$3,IF(CHOOSE(EY$7,Eu_tabel_a[[#This Row],[x base]]&gt;0,Eu_tabel_a[[#This Row],[x base]]&lt;0,Eu_tabel_a[[#This Row],[x base]]=0),1,NA()),NA())</f>
        <v>#N/A</v>
      </c>
      <c r="FA160" s="32" t="e">
        <f>IF(CHOOSE(EY$7,Eu_tabel_a[[#This Row],[x base]]&gt;0,Eu_tabel_a[[#This Row],[x base]]&lt;0,Eu_tabel_a[[#This Row],[x base]]=0),Eu_tabel_a[[#This Row],[Styrke, aktiv]],NA())</f>
        <v>#N/A</v>
      </c>
      <c r="FB160" s="32" t="e">
        <f>IFERROR(IF($EY$3,Eu_tabel_a[[#This Row],[Styrke, aktiv]],NA()),NA())</f>
        <v>#N/A</v>
      </c>
      <c r="FC160" s="32" t="e">
        <f>IF(ISNA(Eu_tabel_a[[#This Row],[Sand negativ
Nulhypotese afvises
Korrekt]]),NA(),IF(EY$3,1,NA()))</f>
        <v>#N/A</v>
      </c>
      <c r="FD160" s="33" t="str" cm="1">
        <f t="array" ref="FD160">IFERROR(_xlfn.SWITCH(Eu_tabel_a[[#This Row],[Indeks]],_xlfn.IFNA(FB$2,-99),FB$5,_xlfn.IFNA(FB$3,-99),FB$6,_xlfn.IFNA(FB$4,-99),FB$7,""),"")</f>
        <v/>
      </c>
      <c r="FE160" s="32">
        <f>Eu_tabel_a[[#This Row],[x base]]*SQRT(Eu_a_h0_x*(1-Eu_a_h0_x)/Eu_a_n_x)+Eu_a_h0_x</f>
        <v>0</v>
      </c>
      <c r="FJ160" s="74" t="e">
        <f t="shared" si="234"/>
        <v>#N/A</v>
      </c>
      <c r="FK160" s="82" t="e">
        <f t="shared" si="322"/>
        <v>#DIV/0!</v>
      </c>
      <c r="FL160" s="7" t="e">
        <f t="shared" si="228"/>
        <v>#DIV/0!</v>
      </c>
      <c r="FM160" t="e">
        <f t="shared" si="323"/>
        <v>#DIV/0!</v>
      </c>
      <c r="FN160" s="8" t="e">
        <f t="shared" si="324"/>
        <v>#DIV/0!</v>
      </c>
      <c r="FO160" s="8" t="e">
        <f t="shared" si="325"/>
        <v>#DIV/0!</v>
      </c>
      <c r="FP160" s="81" t="e">
        <f t="shared" si="326"/>
        <v>#DIV/0!</v>
      </c>
      <c r="FQ160" s="74" t="e">
        <f t="shared" ca="1" si="229"/>
        <v>#N/A</v>
      </c>
      <c r="FR160" s="82" t="e" vm="3">
        <f t="shared" ca="1" si="235"/>
        <v>#VALUE!</v>
      </c>
      <c r="FS160" s="7" t="e" vm="3">
        <f t="shared" ca="1" si="230"/>
        <v>#VALUE!</v>
      </c>
      <c r="FT160" t="e" vm="3">
        <f t="shared" ca="1" si="224"/>
        <v>#VALUE!</v>
      </c>
      <c r="FU160" s="8" t="e" vm="3">
        <f t="shared" ca="1" si="225"/>
        <v>#VALUE!</v>
      </c>
      <c r="FV160" s="8" t="e" vm="3">
        <f t="shared" ca="1" si="226"/>
        <v>#VALUE!</v>
      </c>
      <c r="FW160" s="81" t="e" vm="3">
        <f t="shared" ca="1" si="227"/>
        <v>#VALUE!</v>
      </c>
      <c r="FX160" s="74" t="e">
        <f t="shared" si="231"/>
        <v>#N/A</v>
      </c>
      <c r="FY160" s="82" t="e">
        <f t="shared" si="236"/>
        <v>#N/A</v>
      </c>
      <c r="FZ160" s="7" t="e">
        <f t="shared" si="232"/>
        <v>#N/A</v>
      </c>
      <c r="GA160" t="e">
        <f t="shared" si="237"/>
        <v>#N/A</v>
      </c>
      <c r="GB160" s="8" t="e">
        <f t="shared" si="238"/>
        <v>#N/A</v>
      </c>
      <c r="GC160" s="8" t="e">
        <f t="shared" si="239"/>
        <v>#N/A</v>
      </c>
      <c r="GD160" s="81" t="e">
        <f t="shared" si="240"/>
        <v>#N/A</v>
      </c>
      <c r="GE160" s="74" t="e">
        <f t="shared" si="241"/>
        <v>#N/A</v>
      </c>
      <c r="GF160" s="82" t="e">
        <f t="shared" si="242"/>
        <v>#N/A</v>
      </c>
      <c r="GG160" s="7" t="e">
        <f t="shared" si="233"/>
        <v>#N/A</v>
      </c>
      <c r="GH160" t="e">
        <f t="shared" si="243"/>
        <v>#N/A</v>
      </c>
      <c r="GI160" s="8" t="e">
        <f t="shared" si="244"/>
        <v>#N/A</v>
      </c>
      <c r="GJ160" s="8" t="e">
        <f t="shared" si="245"/>
        <v>#N/A</v>
      </c>
      <c r="GK160" s="81" t="e">
        <f t="shared" si="246"/>
        <v>#N/A</v>
      </c>
      <c r="GL160" s="81"/>
      <c r="GM160" s="81"/>
      <c r="GP160" s="32">
        <f t="shared" si="291"/>
        <v>150</v>
      </c>
      <c r="GQ160" s="32">
        <f t="shared" si="292"/>
        <v>151</v>
      </c>
      <c r="GR160" s="32">
        <f t="shared" si="293"/>
        <v>0.50306107309708592</v>
      </c>
      <c r="GS160" s="32">
        <f t="shared" si="294"/>
        <v>0.35152524313860362</v>
      </c>
      <c r="GT160" s="32" t="e">
        <f t="shared" si="295"/>
        <v>#N/A</v>
      </c>
      <c r="GU160" s="32" t="e">
        <f t="shared" si="296"/>
        <v>#N/A</v>
      </c>
      <c r="GV160" s="32" t="e">
        <f t="shared" si="297"/>
        <v>#N/A</v>
      </c>
      <c r="GW160" s="32" t="b">
        <f t="shared" si="298"/>
        <v>0</v>
      </c>
      <c r="GX160" s="32" t="b">
        <f t="shared" si="299"/>
        <v>1</v>
      </c>
      <c r="GY160" s="32" t="b">
        <f t="shared" si="300"/>
        <v>0</v>
      </c>
      <c r="GZ160" s="32" t="b">
        <f t="shared" si="301"/>
        <v>1</v>
      </c>
      <c r="HA160" s="32">
        <f t="shared" si="302"/>
        <v>0.35152524313860362</v>
      </c>
      <c r="HB160" s="32" t="e">
        <f t="shared" si="303"/>
        <v>#N/A</v>
      </c>
      <c r="HC160" s="32">
        <f t="shared" si="304"/>
        <v>0.35152524313860362</v>
      </c>
      <c r="HD160" s="45" t="str">
        <f t="shared" si="305"/>
        <v/>
      </c>
      <c r="HJ160" s="32">
        <f t="shared" si="306"/>
        <v>150</v>
      </c>
      <c r="HK160" s="32">
        <f t="shared" si="307"/>
        <v>151</v>
      </c>
      <c r="HL160" s="32">
        <f t="shared" si="308"/>
        <v>0.77900063722019386</v>
      </c>
      <c r="HM160" s="32" t="e">
        <f t="shared" si="309"/>
        <v>#N/A</v>
      </c>
      <c r="HN160" s="32">
        <f t="shared" si="310"/>
        <v>0.27607409962841173</v>
      </c>
      <c r="HO160" s="32" t="e">
        <f t="shared" si="311"/>
        <v>#N/A</v>
      </c>
      <c r="HP160" s="32" t="e">
        <f t="shared" si="312"/>
        <v>#N/A</v>
      </c>
      <c r="HQ160" s="32" t="b">
        <f t="shared" si="313"/>
        <v>1</v>
      </c>
      <c r="HR160" s="32" t="b">
        <f t="shared" si="314"/>
        <v>0</v>
      </c>
      <c r="HS160" s="32" t="b">
        <f t="shared" si="315"/>
        <v>0</v>
      </c>
      <c r="HT160" s="32" t="b">
        <f t="shared" si="316"/>
        <v>1</v>
      </c>
      <c r="HU160" s="32">
        <f t="shared" si="317"/>
        <v>0.27607409962841173</v>
      </c>
      <c r="HV160" s="32">
        <f t="shared" si="318"/>
        <v>0.27607409962841173</v>
      </c>
      <c r="HW160" s="32" t="e">
        <f t="shared" si="319"/>
        <v>#N/A</v>
      </c>
      <c r="HX160" s="45" t="str">
        <f t="shared" si="320"/>
        <v/>
      </c>
    </row>
    <row r="161" spans="78:232" x14ac:dyDescent="0.2">
      <c r="BZ161" s="32">
        <f t="shared" si="247"/>
        <v>151</v>
      </c>
      <c r="CA161" s="32">
        <f>Eu_tabel_g[[#This Row],[Indeks]]+1</f>
        <v>152</v>
      </c>
      <c r="CB161" s="32">
        <f t="shared" si="248"/>
        <v>0.52701636229218529</v>
      </c>
      <c r="CC161" s="32">
        <f t="shared" si="249"/>
        <v>0.34721480489913414</v>
      </c>
      <c r="CD161" s="32" t="e">
        <f t="shared" si="250"/>
        <v>#N/A</v>
      </c>
      <c r="CE161" s="32" t="e">
        <f t="shared" si="251"/>
        <v>#N/A</v>
      </c>
      <c r="CF161" s="32" t="e">
        <f t="shared" si="252"/>
        <v>#N/A</v>
      </c>
      <c r="CG161" s="32" t="b">
        <f t="shared" si="253"/>
        <v>0</v>
      </c>
      <c r="CH161" s="32" t="b">
        <f t="shared" si="254"/>
        <v>1</v>
      </c>
      <c r="CI161" s="32" t="b">
        <f t="shared" si="255"/>
        <v>0</v>
      </c>
      <c r="CJ161" s="32" t="b">
        <f t="shared" si="256"/>
        <v>1</v>
      </c>
      <c r="CK161" s="32">
        <f t="shared" si="321"/>
        <v>0.34721480489913414</v>
      </c>
      <c r="CL161" s="32" t="e">
        <f t="shared" si="257"/>
        <v>#N/A</v>
      </c>
      <c r="CM161" s="32">
        <f t="shared" si="258"/>
        <v>0.34721480489913414</v>
      </c>
      <c r="CN161" s="45" t="str">
        <f t="shared" si="259"/>
        <v/>
      </c>
      <c r="CO161" s="32">
        <f>_xlfn.NORM.DIST(_xlfn.NORM.INV(1-Eu_g_konfidensniveau,0,1)-Eu_tabel_g[[#This Row],[x base]],0,1,TRUE)</f>
        <v>1.4932735343932423E-2</v>
      </c>
      <c r="CP161" s="32">
        <f>1-_xlfn.NORM.DIST(_xlfn.NORM.INV(Eu_g_konfidensniveau,0,1)-Eu_tabel_g[[#This Row],[x base]],0,1,TRUE)</f>
        <v>0.13181825141176107</v>
      </c>
      <c r="CQ161" s="32">
        <f>_xlfn.NORM.DIST(_xlfn.NORM.INV((1-Eu_g_konfidensniveau)/2,0,1)-Eu_tabel_g[[#This Row],[x base]],0,1,TRUE)+1-_xlfn.NORM.DIST(_xlfn.NORM.INV(1-(1-Eu_g_konfidensniveau)/2,0,1)-Eu_tabel_g[[#This Row],[x base]],0,1,TRUE)</f>
        <v>8.2378028974324891E-2</v>
      </c>
      <c r="CR161" s="32" t="e" cm="1">
        <f t="array" ref="CR161">IF($CR$3,INDEX(Eu_tabel_g[[#This Row],[Styrke venstre]:[Styrke tosidet]],CR$7),NA())</f>
        <v>#N/A</v>
      </c>
      <c r="CS161" s="52" t="e">
        <f>Eu_tabel_g[[#This Row],[Falsk positiv
Nulhypotese accepteres
Fejltype 1]]</f>
        <v>#N/A</v>
      </c>
      <c r="CT161" s="52" t="e">
        <f>IF(CHOOSE(CR$7,Eu_tabel_g[[#This Row],[x base]]&gt;0,Eu_tabel_g[[#This Row],[x base]]&lt;0,Eu_tabel_g[[#This Row],[x base]]=0),Eu_tabel_g[[#This Row],[Styrke, aktiv]],NA())</f>
        <v>#N/A</v>
      </c>
      <c r="CU161" s="52" t="e">
        <f>IFERROR(IF($CR$3,Eu_tabel_g[[#This Row],[Styrke, aktiv]],NA()),NA())</f>
        <v>#N/A</v>
      </c>
      <c r="CV161" s="52" t="e">
        <f>IF(ISNA(Eu_tabel_g[[#This Row],[Sand negativ
Nulhypotese afvises
Korrekt]]),NA(),IF($CR$3,1,NA()))</f>
        <v>#N/A</v>
      </c>
      <c r="CW161" s="34" t="str" cm="1">
        <f t="array" ref="CW161">_xlfn.SWITCH(BZ161,_xlfn.IFNA(CU$2,-99),CU$5,_xlfn.IFNA(CU$3,-99),CU$6,_xlfn.IFNA(CU$4,-99),CU$7,"")</f>
        <v/>
      </c>
      <c r="DA161" s="7">
        <f t="shared" si="260"/>
        <v>0.8</v>
      </c>
      <c r="DB161">
        <f>IF(ROW(Styrkeberegning_G[[#This Row],[X base venstre]])=ROW(Styrkeberegning_G[[#Headers],[X base venstre]])+1,DB$7/(DA$7/$B$67),DB160/(DA160/$B$67))</f>
        <v>-2.8015817870135784</v>
      </c>
      <c r="DC161">
        <f>Styrkeberegning_G[[#This Row],[X base venstre]]*-1</f>
        <v>2.8015817870135784</v>
      </c>
      <c r="DN161" s="32">
        <f t="shared" si="261"/>
        <v>151</v>
      </c>
      <c r="DO161" s="32">
        <f t="shared" si="262"/>
        <v>152</v>
      </c>
      <c r="DP161" s="32">
        <f t="shared" si="263"/>
        <v>19.058551983620841</v>
      </c>
      <c r="DQ161" s="32" t="e">
        <f t="shared" si="264"/>
        <v>#N/A</v>
      </c>
      <c r="DR161" s="32" t="e">
        <f t="shared" si="265"/>
        <v>#N/A</v>
      </c>
      <c r="DS161" s="32">
        <f t="shared" si="266"/>
        <v>1.7675464364901958E-2</v>
      </c>
      <c r="DT161" s="32" t="e">
        <f t="shared" si="267"/>
        <v>#N/A</v>
      </c>
      <c r="DU161" s="32" t="b">
        <f t="shared" si="268"/>
        <v>0</v>
      </c>
      <c r="DV161" s="32" t="b">
        <f t="shared" si="269"/>
        <v>1</v>
      </c>
      <c r="DW161" s="32" t="b">
        <f t="shared" si="270"/>
        <v>0</v>
      </c>
      <c r="DX161" s="32" t="b">
        <f t="shared" si="271"/>
        <v>1</v>
      </c>
      <c r="DY161" s="32">
        <f t="shared" si="272"/>
        <v>1.7675464364901958E-2</v>
      </c>
      <c r="DZ161" s="32" t="e">
        <f t="shared" si="273"/>
        <v>#N/A</v>
      </c>
      <c r="EA161" s="32">
        <f t="shared" si="274"/>
        <v>1.7675464364901958E-2</v>
      </c>
      <c r="EB161" s="45" t="str">
        <f t="shared" si="275"/>
        <v/>
      </c>
      <c r="EG161" s="32">
        <f t="shared" si="276"/>
        <v>151</v>
      </c>
      <c r="EH161" s="32">
        <f t="shared" si="277"/>
        <v>152</v>
      </c>
      <c r="EI161" s="32">
        <f t="shared" si="278"/>
        <v>0.52701636229218529</v>
      </c>
      <c r="EJ161" s="32">
        <f t="shared" si="279"/>
        <v>0.34721480489913414</v>
      </c>
      <c r="EK161" s="32" t="e">
        <f t="shared" si="280"/>
        <v>#N/A</v>
      </c>
      <c r="EL161" s="32" t="e">
        <f t="shared" si="281"/>
        <v>#N/A</v>
      </c>
      <c r="EM161" s="32" t="e">
        <f t="shared" si="282"/>
        <v>#N/A</v>
      </c>
      <c r="EN161" s="32" t="b">
        <f t="shared" si="283"/>
        <v>0</v>
      </c>
      <c r="EO161" s="32" t="b">
        <f t="shared" si="284"/>
        <v>1</v>
      </c>
      <c r="EP161" s="32" t="b">
        <f t="shared" si="285"/>
        <v>0</v>
      </c>
      <c r="EQ161" s="32" t="b">
        <f t="shared" si="286"/>
        <v>1</v>
      </c>
      <c r="ER161" s="32">
        <f t="shared" si="287"/>
        <v>0.34721480489913414</v>
      </c>
      <c r="ES161" s="32" t="e">
        <f t="shared" si="288"/>
        <v>#N/A</v>
      </c>
      <c r="ET161" s="32">
        <f t="shared" si="289"/>
        <v>0.34721480489913414</v>
      </c>
      <c r="EU161" s="45" t="str">
        <f t="shared" si="290"/>
        <v/>
      </c>
      <c r="EV16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1" s="32" t="e" cm="1">
        <f t="array" ref="EY161">IF($CR$3,INDEX(Eu_tabel_a[[#This Row],[Styrke venstre]:[Styrke tosidet]],EY$7),NA())</f>
        <v>#N/A</v>
      </c>
      <c r="EZ161" s="32" t="e">
        <f>IF(EY$3,IF(CHOOSE(EY$7,Eu_tabel_a[[#This Row],[x base]]&gt;0,Eu_tabel_a[[#This Row],[x base]]&lt;0,Eu_tabel_a[[#This Row],[x base]]=0),1,NA()),NA())</f>
        <v>#N/A</v>
      </c>
      <c r="FA161" s="32" t="e">
        <f>IF(CHOOSE(EY$7,Eu_tabel_a[[#This Row],[x base]]&gt;0,Eu_tabel_a[[#This Row],[x base]]&lt;0,Eu_tabel_a[[#This Row],[x base]]=0),Eu_tabel_a[[#This Row],[Styrke, aktiv]],NA())</f>
        <v>#N/A</v>
      </c>
      <c r="FB161" s="32" t="e">
        <f>IFERROR(IF($EY$3,Eu_tabel_a[[#This Row],[Styrke, aktiv]],NA()),NA())</f>
        <v>#N/A</v>
      </c>
      <c r="FC161" s="32" t="e">
        <f>IF(ISNA(Eu_tabel_a[[#This Row],[Sand negativ
Nulhypotese afvises
Korrekt]]),NA(),IF(EY$3,1,NA()))</f>
        <v>#N/A</v>
      </c>
      <c r="FD161" s="33" t="str" cm="1">
        <f t="array" ref="FD161">IFERROR(_xlfn.SWITCH(Eu_tabel_a[[#This Row],[Indeks]],_xlfn.IFNA(FB$2,-99),FB$5,_xlfn.IFNA(FB$3,-99),FB$6,_xlfn.IFNA(FB$4,-99),FB$7,""),"")</f>
        <v/>
      </c>
      <c r="FE161" s="32">
        <f>Eu_tabel_a[[#This Row],[x base]]*SQRT(Eu_a_h0_x*(1-Eu_a_h0_x)/Eu_a_n_x)+Eu_a_h0_x</f>
        <v>0</v>
      </c>
      <c r="FJ161" s="74" t="e">
        <f t="shared" si="234"/>
        <v>#N/A</v>
      </c>
      <c r="FK161" s="82" t="e">
        <f t="shared" si="322"/>
        <v>#DIV/0!</v>
      </c>
      <c r="FL161" s="7" t="e">
        <f t="shared" si="228"/>
        <v>#DIV/0!</v>
      </c>
      <c r="FM161" t="e">
        <f t="shared" si="323"/>
        <v>#DIV/0!</v>
      </c>
      <c r="FN161" s="8" t="e">
        <f t="shared" si="324"/>
        <v>#DIV/0!</v>
      </c>
      <c r="FO161" s="8" t="e">
        <f t="shared" si="325"/>
        <v>#DIV/0!</v>
      </c>
      <c r="FP161" s="81" t="e">
        <f t="shared" si="326"/>
        <v>#DIV/0!</v>
      </c>
      <c r="FQ161" s="74" t="e">
        <f t="shared" ca="1" si="229"/>
        <v>#N/A</v>
      </c>
      <c r="FR161" s="82" t="e" vm="3">
        <f t="shared" ca="1" si="235"/>
        <v>#VALUE!</v>
      </c>
      <c r="FS161" s="7" t="e" vm="3">
        <f t="shared" ca="1" si="230"/>
        <v>#VALUE!</v>
      </c>
      <c r="FT161" t="e" vm="3">
        <f t="shared" ca="1" si="224"/>
        <v>#VALUE!</v>
      </c>
      <c r="FU161" s="8" t="e" vm="3">
        <f t="shared" ca="1" si="225"/>
        <v>#VALUE!</v>
      </c>
      <c r="FV161" s="8" t="e" vm="3">
        <f t="shared" ca="1" si="226"/>
        <v>#VALUE!</v>
      </c>
      <c r="FW161" s="81" t="e" vm="3">
        <f t="shared" ca="1" si="227"/>
        <v>#VALUE!</v>
      </c>
      <c r="FX161" s="74" t="e">
        <f t="shared" si="231"/>
        <v>#N/A</v>
      </c>
      <c r="FY161" s="82" t="e">
        <f t="shared" si="236"/>
        <v>#N/A</v>
      </c>
      <c r="FZ161" s="7" t="e">
        <f t="shared" si="232"/>
        <v>#N/A</v>
      </c>
      <c r="GA161" t="e">
        <f t="shared" si="237"/>
        <v>#N/A</v>
      </c>
      <c r="GB161" s="8" t="e">
        <f t="shared" si="238"/>
        <v>#N/A</v>
      </c>
      <c r="GC161" s="8" t="e">
        <f t="shared" si="239"/>
        <v>#N/A</v>
      </c>
      <c r="GD161" s="81" t="e">
        <f t="shared" si="240"/>
        <v>#N/A</v>
      </c>
      <c r="GE161" s="74" t="e">
        <f t="shared" si="241"/>
        <v>#N/A</v>
      </c>
      <c r="GF161" s="82" t="e">
        <f t="shared" si="242"/>
        <v>#N/A</v>
      </c>
      <c r="GG161" s="7" t="e">
        <f t="shared" si="233"/>
        <v>#N/A</v>
      </c>
      <c r="GH161" t="e">
        <f t="shared" si="243"/>
        <v>#N/A</v>
      </c>
      <c r="GI161" s="8" t="e">
        <f t="shared" si="244"/>
        <v>#N/A</v>
      </c>
      <c r="GJ161" s="8" t="e">
        <f t="shared" si="245"/>
        <v>#N/A</v>
      </c>
      <c r="GK161" s="81" t="e">
        <f t="shared" si="246"/>
        <v>#N/A</v>
      </c>
      <c r="GL161" s="81"/>
      <c r="GM161" s="81"/>
      <c r="GP161" s="32">
        <f t="shared" si="291"/>
        <v>151</v>
      </c>
      <c r="GQ161" s="32">
        <f t="shared" si="292"/>
        <v>152</v>
      </c>
      <c r="GR161" s="32">
        <f t="shared" si="293"/>
        <v>0.52701636229218529</v>
      </c>
      <c r="GS161" s="32">
        <f t="shared" si="294"/>
        <v>0.34721480489913414</v>
      </c>
      <c r="GT161" s="32" t="e">
        <f t="shared" si="295"/>
        <v>#N/A</v>
      </c>
      <c r="GU161" s="32" t="e">
        <f t="shared" si="296"/>
        <v>#N/A</v>
      </c>
      <c r="GV161" s="32" t="e">
        <f t="shared" si="297"/>
        <v>#N/A</v>
      </c>
      <c r="GW161" s="32" t="b">
        <f t="shared" si="298"/>
        <v>0</v>
      </c>
      <c r="GX161" s="32" t="b">
        <f t="shared" si="299"/>
        <v>1</v>
      </c>
      <c r="GY161" s="32" t="b">
        <f t="shared" si="300"/>
        <v>0</v>
      </c>
      <c r="GZ161" s="32" t="b">
        <f t="shared" si="301"/>
        <v>1</v>
      </c>
      <c r="HA161" s="32">
        <f t="shared" si="302"/>
        <v>0.34721480489913414</v>
      </c>
      <c r="HB161" s="32" t="e">
        <f t="shared" si="303"/>
        <v>#N/A</v>
      </c>
      <c r="HC161" s="32">
        <f t="shared" si="304"/>
        <v>0.34721480489913414</v>
      </c>
      <c r="HD161" s="45" t="str">
        <f t="shared" si="305"/>
        <v/>
      </c>
      <c r="HJ161" s="32">
        <f t="shared" si="306"/>
        <v>151</v>
      </c>
      <c r="HK161" s="32">
        <f t="shared" si="307"/>
        <v>152</v>
      </c>
      <c r="HL161" s="32">
        <f t="shared" si="308"/>
        <v>0.8160959056592505</v>
      </c>
      <c r="HM161" s="32" t="e">
        <f t="shared" si="309"/>
        <v>#N/A</v>
      </c>
      <c r="HN161" s="32">
        <f t="shared" si="310"/>
        <v>0.26764870550000192</v>
      </c>
      <c r="HO161" s="32" t="e">
        <f t="shared" si="311"/>
        <v>#N/A</v>
      </c>
      <c r="HP161" s="32" t="e">
        <f t="shared" si="312"/>
        <v>#N/A</v>
      </c>
      <c r="HQ161" s="32" t="b">
        <f t="shared" si="313"/>
        <v>1</v>
      </c>
      <c r="HR161" s="32" t="b">
        <f t="shared" si="314"/>
        <v>0</v>
      </c>
      <c r="HS161" s="32" t="b">
        <f t="shared" si="315"/>
        <v>0</v>
      </c>
      <c r="HT161" s="32" t="b">
        <f t="shared" si="316"/>
        <v>1</v>
      </c>
      <c r="HU161" s="32">
        <f t="shared" si="317"/>
        <v>0.26764870550000192</v>
      </c>
      <c r="HV161" s="32">
        <f t="shared" si="318"/>
        <v>0.26764870550000192</v>
      </c>
      <c r="HW161" s="32" t="e">
        <f t="shared" si="319"/>
        <v>#N/A</v>
      </c>
      <c r="HX161" s="45" t="str">
        <f t="shared" si="320"/>
        <v/>
      </c>
    </row>
    <row r="162" spans="78:232" x14ac:dyDescent="0.2">
      <c r="BZ162" s="32">
        <f t="shared" si="247"/>
        <v>152</v>
      </c>
      <c r="CA162" s="32">
        <f>Eu_tabel_g[[#This Row],[Indeks]]+1</f>
        <v>153</v>
      </c>
      <c r="CB162" s="32">
        <f t="shared" si="248"/>
        <v>0.55097165148728466</v>
      </c>
      <c r="CC162" s="32">
        <f t="shared" si="249"/>
        <v>0.34276047013173222</v>
      </c>
      <c r="CD162" s="32" t="e">
        <f t="shared" si="250"/>
        <v>#N/A</v>
      </c>
      <c r="CE162" s="32" t="e">
        <f t="shared" si="251"/>
        <v>#N/A</v>
      </c>
      <c r="CF162" s="32" t="e">
        <f t="shared" si="252"/>
        <v>#N/A</v>
      </c>
      <c r="CG162" s="32" t="b">
        <f t="shared" si="253"/>
        <v>0</v>
      </c>
      <c r="CH162" s="32" t="b">
        <f t="shared" si="254"/>
        <v>1</v>
      </c>
      <c r="CI162" s="32" t="b">
        <f t="shared" si="255"/>
        <v>0</v>
      </c>
      <c r="CJ162" s="32" t="b">
        <f t="shared" si="256"/>
        <v>1</v>
      </c>
      <c r="CK162" s="32">
        <f t="shared" si="321"/>
        <v>0.34276047013173222</v>
      </c>
      <c r="CL162" s="32" t="e">
        <f t="shared" si="257"/>
        <v>#N/A</v>
      </c>
      <c r="CM162" s="32">
        <f t="shared" si="258"/>
        <v>0.34276047013173222</v>
      </c>
      <c r="CN162" s="45" t="str">
        <f t="shared" si="259"/>
        <v/>
      </c>
      <c r="CO162" s="32">
        <f>_xlfn.NORM.DIST(_xlfn.NORM.INV(1-Eu_g_konfidensniveau,0,1)-Eu_tabel_g[[#This Row],[x base]],0,1,TRUE)</f>
        <v>1.4052225802867635E-2</v>
      </c>
      <c r="CP162" s="32">
        <f>1-_xlfn.NORM.DIST(_xlfn.NORM.INV(Eu_g_konfidensniveau,0,1)-Eu_tabel_g[[#This Row],[x base]],0,1,TRUE)</f>
        <v>0.13700337247235039</v>
      </c>
      <c r="CQ162" s="32">
        <f>_xlfn.NORM.DIST(_xlfn.NORM.INV((1-Eu_g_konfidensniveau)/2,0,1)-Eu_tabel_g[[#This Row],[x base]],0,1,TRUE)+1-_xlfn.NORM.DIST(_xlfn.NORM.INV(1-(1-Eu_g_konfidensniveau)/2,0,1)-Eu_tabel_g[[#This Row],[x base]],0,1,TRUE)</f>
        <v>8.5439300065713875E-2</v>
      </c>
      <c r="CR162" s="32" t="e" cm="1">
        <f t="array" ref="CR162">IF($CR$3,INDEX(Eu_tabel_g[[#This Row],[Styrke venstre]:[Styrke tosidet]],CR$7),NA())</f>
        <v>#N/A</v>
      </c>
      <c r="CS162" s="52" t="e">
        <f>Eu_tabel_g[[#This Row],[Falsk positiv
Nulhypotese accepteres
Fejltype 1]]</f>
        <v>#N/A</v>
      </c>
      <c r="CT162" s="52" t="e">
        <f>IF(CHOOSE(CR$7,Eu_tabel_g[[#This Row],[x base]]&gt;0,Eu_tabel_g[[#This Row],[x base]]&lt;0,Eu_tabel_g[[#This Row],[x base]]=0),Eu_tabel_g[[#This Row],[Styrke, aktiv]],NA())</f>
        <v>#N/A</v>
      </c>
      <c r="CU162" s="52" t="e">
        <f>IFERROR(IF($CR$3,Eu_tabel_g[[#This Row],[Styrke, aktiv]],NA()),NA())</f>
        <v>#N/A</v>
      </c>
      <c r="CV162" s="52" t="e">
        <f>IF(ISNA(Eu_tabel_g[[#This Row],[Sand negativ
Nulhypotese afvises
Korrekt]]),NA(),IF($CR$3,1,NA()))</f>
        <v>#N/A</v>
      </c>
      <c r="CW162" s="34" t="str" cm="1">
        <f t="array" ref="CW162">_xlfn.SWITCH(BZ162,_xlfn.IFNA(CU$2,-99),CU$5,_xlfn.IFNA(CU$3,-99),CU$6,_xlfn.IFNA(CU$4,-99),CU$7,"")</f>
        <v/>
      </c>
      <c r="DA162" s="7">
        <f t="shared" si="260"/>
        <v>0.8</v>
      </c>
      <c r="DB162">
        <f>IF(ROW(Styrkeberegning_G[[#This Row],[X base venstre]])=ROW(Styrkeberegning_G[[#Headers],[X base venstre]])+1,DB$7/(DA$7/$B$67),DB161/(DA161/$B$67))</f>
        <v>-2.8015817870135784</v>
      </c>
      <c r="DC162">
        <f>Styrkeberegning_G[[#This Row],[X base venstre]]*-1</f>
        <v>2.8015817870135784</v>
      </c>
      <c r="DN162" s="32">
        <f t="shared" si="261"/>
        <v>152</v>
      </c>
      <c r="DO162" s="32">
        <f t="shared" si="262"/>
        <v>153</v>
      </c>
      <c r="DP162" s="32">
        <f t="shared" si="263"/>
        <v>19.172622840037842</v>
      </c>
      <c r="DQ162" s="32" t="e">
        <f t="shared" si="264"/>
        <v>#N/A</v>
      </c>
      <c r="DR162" s="32" t="e">
        <f t="shared" si="265"/>
        <v>#N/A</v>
      </c>
      <c r="DS162" s="32">
        <f t="shared" si="266"/>
        <v>1.7149955057558421E-2</v>
      </c>
      <c r="DT162" s="32" t="e">
        <f t="shared" si="267"/>
        <v>#N/A</v>
      </c>
      <c r="DU162" s="32" t="b">
        <f t="shared" si="268"/>
        <v>0</v>
      </c>
      <c r="DV162" s="32" t="b">
        <f t="shared" si="269"/>
        <v>1</v>
      </c>
      <c r="DW162" s="32" t="b">
        <f t="shared" si="270"/>
        <v>0</v>
      </c>
      <c r="DX162" s="32" t="b">
        <f t="shared" si="271"/>
        <v>1</v>
      </c>
      <c r="DY162" s="32">
        <f t="shared" si="272"/>
        <v>1.7149955057558421E-2</v>
      </c>
      <c r="DZ162" s="32" t="e">
        <f t="shared" si="273"/>
        <v>#N/A</v>
      </c>
      <c r="EA162" s="32">
        <f t="shared" si="274"/>
        <v>1.7149955057558421E-2</v>
      </c>
      <c r="EB162" s="45" t="str">
        <f t="shared" si="275"/>
        <v/>
      </c>
      <c r="EG162" s="32">
        <f t="shared" si="276"/>
        <v>152</v>
      </c>
      <c r="EH162" s="32">
        <f t="shared" si="277"/>
        <v>153</v>
      </c>
      <c r="EI162" s="32">
        <f t="shared" si="278"/>
        <v>0.55097165148728466</v>
      </c>
      <c r="EJ162" s="32">
        <f t="shared" si="279"/>
        <v>0.34276047013173222</v>
      </c>
      <c r="EK162" s="32" t="e">
        <f t="shared" si="280"/>
        <v>#N/A</v>
      </c>
      <c r="EL162" s="32" t="e">
        <f t="shared" si="281"/>
        <v>#N/A</v>
      </c>
      <c r="EM162" s="32" t="e">
        <f t="shared" si="282"/>
        <v>#N/A</v>
      </c>
      <c r="EN162" s="32" t="b">
        <f t="shared" si="283"/>
        <v>0</v>
      </c>
      <c r="EO162" s="32" t="b">
        <f t="shared" si="284"/>
        <v>1</v>
      </c>
      <c r="EP162" s="32" t="b">
        <f t="shared" si="285"/>
        <v>0</v>
      </c>
      <c r="EQ162" s="32" t="b">
        <f t="shared" si="286"/>
        <v>1</v>
      </c>
      <c r="ER162" s="32">
        <f t="shared" si="287"/>
        <v>0.34276047013173222</v>
      </c>
      <c r="ES162" s="32" t="e">
        <f t="shared" si="288"/>
        <v>#N/A</v>
      </c>
      <c r="ET162" s="32">
        <f t="shared" si="289"/>
        <v>0.34276047013173222</v>
      </c>
      <c r="EU162" s="45" t="str">
        <f t="shared" si="290"/>
        <v/>
      </c>
      <c r="EV16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2" s="32" t="e" cm="1">
        <f t="array" ref="EY162">IF($CR$3,INDEX(Eu_tabel_a[[#This Row],[Styrke venstre]:[Styrke tosidet]],EY$7),NA())</f>
        <v>#N/A</v>
      </c>
      <c r="EZ162" s="32" t="e">
        <f>IF(EY$3,IF(CHOOSE(EY$7,Eu_tabel_a[[#This Row],[x base]]&gt;0,Eu_tabel_a[[#This Row],[x base]]&lt;0,Eu_tabel_a[[#This Row],[x base]]=0),1,NA()),NA())</f>
        <v>#N/A</v>
      </c>
      <c r="FA162" s="32" t="e">
        <f>IF(CHOOSE(EY$7,Eu_tabel_a[[#This Row],[x base]]&gt;0,Eu_tabel_a[[#This Row],[x base]]&lt;0,Eu_tabel_a[[#This Row],[x base]]=0),Eu_tabel_a[[#This Row],[Styrke, aktiv]],NA())</f>
        <v>#N/A</v>
      </c>
      <c r="FB162" s="32" t="e">
        <f>IFERROR(IF($EY$3,Eu_tabel_a[[#This Row],[Styrke, aktiv]],NA()),NA())</f>
        <v>#N/A</v>
      </c>
      <c r="FC162" s="32" t="e">
        <f>IF(ISNA(Eu_tabel_a[[#This Row],[Sand negativ
Nulhypotese afvises
Korrekt]]),NA(),IF(EY$3,1,NA()))</f>
        <v>#N/A</v>
      </c>
      <c r="FD162" s="33" t="str" cm="1">
        <f t="array" ref="FD162">IFERROR(_xlfn.SWITCH(Eu_tabel_a[[#This Row],[Indeks]],_xlfn.IFNA(FB$2,-99),FB$5,_xlfn.IFNA(FB$3,-99),FB$6,_xlfn.IFNA(FB$4,-99),FB$7,""),"")</f>
        <v/>
      </c>
      <c r="FE162" s="32">
        <f>Eu_tabel_a[[#This Row],[x base]]*SQRT(Eu_a_h0_x*(1-Eu_a_h0_x)/Eu_a_n_x)+Eu_a_h0_x</f>
        <v>0</v>
      </c>
      <c r="FJ162" s="74" t="e">
        <f t="shared" si="234"/>
        <v>#N/A</v>
      </c>
      <c r="FK162" s="82" t="e">
        <f t="shared" si="322"/>
        <v>#DIV/0!</v>
      </c>
      <c r="FL162" s="7" t="e">
        <f t="shared" si="228"/>
        <v>#DIV/0!</v>
      </c>
      <c r="FM162" t="e">
        <f t="shared" si="323"/>
        <v>#DIV/0!</v>
      </c>
      <c r="FN162" s="8" t="e">
        <f t="shared" si="324"/>
        <v>#DIV/0!</v>
      </c>
      <c r="FO162" s="8" t="e">
        <f t="shared" si="325"/>
        <v>#DIV/0!</v>
      </c>
      <c r="FP162" s="81" t="e">
        <f t="shared" si="326"/>
        <v>#DIV/0!</v>
      </c>
      <c r="FQ162" s="74" t="e">
        <f t="shared" ca="1" si="229"/>
        <v>#N/A</v>
      </c>
      <c r="FR162" s="82" t="e" vm="3">
        <f t="shared" ca="1" si="235"/>
        <v>#VALUE!</v>
      </c>
      <c r="FS162" s="7" t="e" vm="3">
        <f t="shared" ca="1" si="230"/>
        <v>#VALUE!</v>
      </c>
      <c r="FT162" t="e" vm="3">
        <f t="shared" ca="1" si="224"/>
        <v>#VALUE!</v>
      </c>
      <c r="FU162" s="8" t="e" vm="3">
        <f t="shared" ca="1" si="225"/>
        <v>#VALUE!</v>
      </c>
      <c r="FV162" s="8" t="e" vm="3">
        <f t="shared" ca="1" si="226"/>
        <v>#VALUE!</v>
      </c>
      <c r="FW162" s="81" t="e" vm="3">
        <f t="shared" ca="1" si="227"/>
        <v>#VALUE!</v>
      </c>
      <c r="FX162" s="74" t="e">
        <f t="shared" si="231"/>
        <v>#N/A</v>
      </c>
      <c r="FY162" s="82" t="e">
        <f t="shared" si="236"/>
        <v>#N/A</v>
      </c>
      <c r="FZ162" s="7" t="e">
        <f t="shared" si="232"/>
        <v>#N/A</v>
      </c>
      <c r="GA162" t="e">
        <f t="shared" si="237"/>
        <v>#N/A</v>
      </c>
      <c r="GB162" s="8" t="e">
        <f t="shared" si="238"/>
        <v>#N/A</v>
      </c>
      <c r="GC162" s="8" t="e">
        <f t="shared" si="239"/>
        <v>#N/A</v>
      </c>
      <c r="GD162" s="81" t="e">
        <f t="shared" si="240"/>
        <v>#N/A</v>
      </c>
      <c r="GE162" s="74" t="e">
        <f t="shared" si="241"/>
        <v>#N/A</v>
      </c>
      <c r="GF162" s="82" t="e">
        <f t="shared" si="242"/>
        <v>#N/A</v>
      </c>
      <c r="GG162" s="7" t="e">
        <f t="shared" si="233"/>
        <v>#N/A</v>
      </c>
      <c r="GH162" t="e">
        <f t="shared" si="243"/>
        <v>#N/A</v>
      </c>
      <c r="GI162" s="8" t="e">
        <f t="shared" si="244"/>
        <v>#N/A</v>
      </c>
      <c r="GJ162" s="8" t="e">
        <f t="shared" si="245"/>
        <v>#N/A</v>
      </c>
      <c r="GK162" s="81" t="e">
        <f t="shared" si="246"/>
        <v>#N/A</v>
      </c>
      <c r="GL162" s="81"/>
      <c r="GM162" s="81"/>
      <c r="GP162" s="32">
        <f t="shared" si="291"/>
        <v>152</v>
      </c>
      <c r="GQ162" s="32">
        <f t="shared" si="292"/>
        <v>153</v>
      </c>
      <c r="GR162" s="32">
        <f t="shared" si="293"/>
        <v>0.55097165148728466</v>
      </c>
      <c r="GS162" s="32">
        <f t="shared" si="294"/>
        <v>0.34276047013173222</v>
      </c>
      <c r="GT162" s="32" t="e">
        <f t="shared" si="295"/>
        <v>#N/A</v>
      </c>
      <c r="GU162" s="32" t="e">
        <f t="shared" si="296"/>
        <v>#N/A</v>
      </c>
      <c r="GV162" s="32" t="e">
        <f t="shared" si="297"/>
        <v>#N/A</v>
      </c>
      <c r="GW162" s="32" t="b">
        <f t="shared" si="298"/>
        <v>0</v>
      </c>
      <c r="GX162" s="32" t="b">
        <f t="shared" si="299"/>
        <v>1</v>
      </c>
      <c r="GY162" s="32" t="b">
        <f t="shared" si="300"/>
        <v>0</v>
      </c>
      <c r="GZ162" s="32" t="b">
        <f t="shared" si="301"/>
        <v>1</v>
      </c>
      <c r="HA162" s="32">
        <f t="shared" si="302"/>
        <v>0.34276047013173222</v>
      </c>
      <c r="HB162" s="32" t="e">
        <f t="shared" si="303"/>
        <v>#N/A</v>
      </c>
      <c r="HC162" s="32">
        <f t="shared" si="304"/>
        <v>0.34276047013173222</v>
      </c>
      <c r="HD162" s="45" t="str">
        <f t="shared" si="305"/>
        <v/>
      </c>
      <c r="HJ162" s="32">
        <f t="shared" si="306"/>
        <v>152</v>
      </c>
      <c r="HK162" s="32">
        <f t="shared" si="307"/>
        <v>153</v>
      </c>
      <c r="HL162" s="32">
        <f t="shared" si="308"/>
        <v>0.85319117409830803</v>
      </c>
      <c r="HM162" s="32" t="e">
        <f t="shared" si="309"/>
        <v>#N/A</v>
      </c>
      <c r="HN162" s="32">
        <f t="shared" si="310"/>
        <v>0.25917276562967606</v>
      </c>
      <c r="HO162" s="32" t="e">
        <f t="shared" si="311"/>
        <v>#N/A</v>
      </c>
      <c r="HP162" s="32" t="e">
        <f t="shared" si="312"/>
        <v>#N/A</v>
      </c>
      <c r="HQ162" s="32" t="b">
        <f t="shared" si="313"/>
        <v>1</v>
      </c>
      <c r="HR162" s="32" t="b">
        <f t="shared" si="314"/>
        <v>0</v>
      </c>
      <c r="HS162" s="32" t="b">
        <f t="shared" si="315"/>
        <v>0</v>
      </c>
      <c r="HT162" s="32" t="b">
        <f t="shared" si="316"/>
        <v>1</v>
      </c>
      <c r="HU162" s="32">
        <f t="shared" si="317"/>
        <v>0.25917276562967606</v>
      </c>
      <c r="HV162" s="32">
        <f t="shared" si="318"/>
        <v>0.25917276562967606</v>
      </c>
      <c r="HW162" s="32" t="e">
        <f t="shared" si="319"/>
        <v>#N/A</v>
      </c>
      <c r="HX162" s="45" t="str">
        <f t="shared" si="320"/>
        <v/>
      </c>
    </row>
    <row r="163" spans="78:232" x14ac:dyDescent="0.2">
      <c r="BZ163" s="32">
        <f t="shared" si="247"/>
        <v>153</v>
      </c>
      <c r="CA163" s="32">
        <f>Eu_tabel_g[[#This Row],[Indeks]]+1</f>
        <v>154</v>
      </c>
      <c r="CB163" s="32">
        <f t="shared" si="248"/>
        <v>0.57492694068238359</v>
      </c>
      <c r="CC163" s="32">
        <f t="shared" si="249"/>
        <v>0.3381691628932032</v>
      </c>
      <c r="CD163" s="32" t="e">
        <f t="shared" si="250"/>
        <v>#N/A</v>
      </c>
      <c r="CE163" s="32" t="e">
        <f t="shared" si="251"/>
        <v>#N/A</v>
      </c>
      <c r="CF163" s="32" t="e">
        <f t="shared" si="252"/>
        <v>#N/A</v>
      </c>
      <c r="CG163" s="32" t="b">
        <f t="shared" si="253"/>
        <v>0</v>
      </c>
      <c r="CH163" s="32" t="b">
        <f t="shared" si="254"/>
        <v>1</v>
      </c>
      <c r="CI163" s="32" t="b">
        <f t="shared" si="255"/>
        <v>0</v>
      </c>
      <c r="CJ163" s="32" t="b">
        <f t="shared" si="256"/>
        <v>1</v>
      </c>
      <c r="CK163" s="32">
        <f t="shared" si="321"/>
        <v>0.3381691628932032</v>
      </c>
      <c r="CL163" s="32" t="e">
        <f t="shared" si="257"/>
        <v>#N/A</v>
      </c>
      <c r="CM163" s="32">
        <f t="shared" si="258"/>
        <v>0.3381691628932032</v>
      </c>
      <c r="CN163" s="45" t="str">
        <f t="shared" si="259"/>
        <v/>
      </c>
      <c r="CO163" s="32">
        <f>_xlfn.NORM.DIST(_xlfn.NORM.INV(1-Eu_g_konfidensniveau,0,1)-Eu_tabel_g[[#This Row],[x base]],0,1,TRUE)</f>
        <v>1.3216833323501195E-2</v>
      </c>
      <c r="CP163" s="32">
        <f>1-_xlfn.NORM.DIST(_xlfn.NORM.INV(Eu_g_konfidensniveau,0,1)-Eu_tabel_g[[#This Row],[x base]],0,1,TRUE)</f>
        <v>0.14232615498665224</v>
      </c>
      <c r="CQ163" s="32">
        <f>_xlfn.NORM.DIST(_xlfn.NORM.INV((1-Eu_g_konfidensniveau)/2,0,1)-Eu_tabel_g[[#This Row],[x base]],0,1,TRUE)+1-_xlfn.NORM.DIST(_xlfn.NORM.INV(1-(1-Eu_g_konfidensniveau)/2,0,1)-Eu_tabel_g[[#This Row],[x base]],0,1,TRUE)</f>
        <v>8.8644687460782801E-2</v>
      </c>
      <c r="CR163" s="32" t="e" cm="1">
        <f t="array" ref="CR163">IF($CR$3,INDEX(Eu_tabel_g[[#This Row],[Styrke venstre]:[Styrke tosidet]],CR$7),NA())</f>
        <v>#N/A</v>
      </c>
      <c r="CS163" s="52" t="e">
        <f>Eu_tabel_g[[#This Row],[Falsk positiv
Nulhypotese accepteres
Fejltype 1]]</f>
        <v>#N/A</v>
      </c>
      <c r="CT163" s="52" t="e">
        <f>IF(CHOOSE(CR$7,Eu_tabel_g[[#This Row],[x base]]&gt;0,Eu_tabel_g[[#This Row],[x base]]&lt;0,Eu_tabel_g[[#This Row],[x base]]=0),Eu_tabel_g[[#This Row],[Styrke, aktiv]],NA())</f>
        <v>#N/A</v>
      </c>
      <c r="CU163" s="52" t="e">
        <f>IFERROR(IF($CR$3,Eu_tabel_g[[#This Row],[Styrke, aktiv]],NA()),NA())</f>
        <v>#N/A</v>
      </c>
      <c r="CV163" s="52" t="e">
        <f>IF(ISNA(Eu_tabel_g[[#This Row],[Sand negativ
Nulhypotese afvises
Korrekt]]),NA(),IF($CR$3,1,NA()))</f>
        <v>#N/A</v>
      </c>
      <c r="CW163" s="34" t="str" cm="1">
        <f t="array" ref="CW163">_xlfn.SWITCH(BZ163,_xlfn.IFNA(CU$2,-99),CU$5,_xlfn.IFNA(CU$3,-99),CU$6,_xlfn.IFNA(CU$4,-99),CU$7,"")</f>
        <v/>
      </c>
      <c r="DA163" s="7">
        <f t="shared" si="260"/>
        <v>0.8</v>
      </c>
      <c r="DB163">
        <f>IF(ROW(Styrkeberegning_G[[#This Row],[X base venstre]])=ROW(Styrkeberegning_G[[#Headers],[X base venstre]])+1,DB$7/(DA$7/$B$67),DB162/(DA162/$B$67))</f>
        <v>-2.8015817870135784</v>
      </c>
      <c r="DC163">
        <f>Styrkeberegning_G[[#This Row],[X base venstre]]*-1</f>
        <v>2.8015817870135784</v>
      </c>
      <c r="DN163" s="32">
        <f t="shared" si="261"/>
        <v>153</v>
      </c>
      <c r="DO163" s="32">
        <f t="shared" si="262"/>
        <v>154</v>
      </c>
      <c r="DP163" s="32">
        <f t="shared" si="263"/>
        <v>19.286693696454844</v>
      </c>
      <c r="DQ163" s="32" t="e">
        <f t="shared" si="264"/>
        <v>#N/A</v>
      </c>
      <c r="DR163" s="32" t="e">
        <f t="shared" si="265"/>
        <v>#N/A</v>
      </c>
      <c r="DS163" s="32">
        <f t="shared" si="266"/>
        <v>1.6637419174044116E-2</v>
      </c>
      <c r="DT163" s="32" t="e">
        <f t="shared" si="267"/>
        <v>#N/A</v>
      </c>
      <c r="DU163" s="32" t="b">
        <f t="shared" si="268"/>
        <v>0</v>
      </c>
      <c r="DV163" s="32" t="b">
        <f t="shared" si="269"/>
        <v>1</v>
      </c>
      <c r="DW163" s="32" t="b">
        <f t="shared" si="270"/>
        <v>0</v>
      </c>
      <c r="DX163" s="32" t="b">
        <f t="shared" si="271"/>
        <v>1</v>
      </c>
      <c r="DY163" s="32">
        <f t="shared" si="272"/>
        <v>1.6637419174044116E-2</v>
      </c>
      <c r="DZ163" s="32" t="e">
        <f t="shared" si="273"/>
        <v>#N/A</v>
      </c>
      <c r="EA163" s="32">
        <f t="shared" si="274"/>
        <v>1.6637419174044116E-2</v>
      </c>
      <c r="EB163" s="45" t="str">
        <f t="shared" si="275"/>
        <v/>
      </c>
      <c r="EG163" s="32">
        <f t="shared" si="276"/>
        <v>153</v>
      </c>
      <c r="EH163" s="32">
        <f t="shared" si="277"/>
        <v>154</v>
      </c>
      <c r="EI163" s="32">
        <f t="shared" si="278"/>
        <v>0.57492694068238359</v>
      </c>
      <c r="EJ163" s="32">
        <f t="shared" si="279"/>
        <v>0.3381691628932032</v>
      </c>
      <c r="EK163" s="32" t="e">
        <f t="shared" si="280"/>
        <v>#N/A</v>
      </c>
      <c r="EL163" s="32" t="e">
        <f t="shared" si="281"/>
        <v>#N/A</v>
      </c>
      <c r="EM163" s="32" t="e">
        <f t="shared" si="282"/>
        <v>#N/A</v>
      </c>
      <c r="EN163" s="32" t="b">
        <f t="shared" si="283"/>
        <v>0</v>
      </c>
      <c r="EO163" s="32" t="b">
        <f t="shared" si="284"/>
        <v>1</v>
      </c>
      <c r="EP163" s="32" t="b">
        <f t="shared" si="285"/>
        <v>0</v>
      </c>
      <c r="EQ163" s="32" t="b">
        <f t="shared" si="286"/>
        <v>1</v>
      </c>
      <c r="ER163" s="32">
        <f t="shared" si="287"/>
        <v>0.3381691628932032</v>
      </c>
      <c r="ES163" s="32" t="e">
        <f t="shared" si="288"/>
        <v>#N/A</v>
      </c>
      <c r="ET163" s="32">
        <f t="shared" si="289"/>
        <v>0.3381691628932032</v>
      </c>
      <c r="EU163" s="45" t="str">
        <f t="shared" si="290"/>
        <v/>
      </c>
      <c r="EV16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3" s="32" t="e" cm="1">
        <f t="array" ref="EY163">IF($CR$3,INDEX(Eu_tabel_a[[#This Row],[Styrke venstre]:[Styrke tosidet]],EY$7),NA())</f>
        <v>#N/A</v>
      </c>
      <c r="EZ163" s="32" t="e">
        <f>IF(EY$3,IF(CHOOSE(EY$7,Eu_tabel_a[[#This Row],[x base]]&gt;0,Eu_tabel_a[[#This Row],[x base]]&lt;0,Eu_tabel_a[[#This Row],[x base]]=0),1,NA()),NA())</f>
        <v>#N/A</v>
      </c>
      <c r="FA163" s="32" t="e">
        <f>IF(CHOOSE(EY$7,Eu_tabel_a[[#This Row],[x base]]&gt;0,Eu_tabel_a[[#This Row],[x base]]&lt;0,Eu_tabel_a[[#This Row],[x base]]=0),Eu_tabel_a[[#This Row],[Styrke, aktiv]],NA())</f>
        <v>#N/A</v>
      </c>
      <c r="FB163" s="32" t="e">
        <f>IFERROR(IF($EY$3,Eu_tabel_a[[#This Row],[Styrke, aktiv]],NA()),NA())</f>
        <v>#N/A</v>
      </c>
      <c r="FC163" s="32" t="e">
        <f>IF(ISNA(Eu_tabel_a[[#This Row],[Sand negativ
Nulhypotese afvises
Korrekt]]),NA(),IF(EY$3,1,NA()))</f>
        <v>#N/A</v>
      </c>
      <c r="FD163" s="33" t="str" cm="1">
        <f t="array" ref="FD163">IFERROR(_xlfn.SWITCH(Eu_tabel_a[[#This Row],[Indeks]],_xlfn.IFNA(FB$2,-99),FB$5,_xlfn.IFNA(FB$3,-99),FB$6,_xlfn.IFNA(FB$4,-99),FB$7,""),"")</f>
        <v/>
      </c>
      <c r="FE163" s="32">
        <f>Eu_tabel_a[[#This Row],[x base]]*SQRT(Eu_a_h0_x*(1-Eu_a_h0_x)/Eu_a_n_x)+Eu_a_h0_x</f>
        <v>0</v>
      </c>
      <c r="FJ163" s="74" t="e">
        <f t="shared" si="234"/>
        <v>#N/A</v>
      </c>
      <c r="FK163" s="82" t="e">
        <f t="shared" si="322"/>
        <v>#DIV/0!</v>
      </c>
      <c r="FL163" s="7" t="e">
        <f t="shared" si="228"/>
        <v>#DIV/0!</v>
      </c>
      <c r="FM163" t="e">
        <f t="shared" si="323"/>
        <v>#DIV/0!</v>
      </c>
      <c r="FN163" s="8" t="e">
        <f t="shared" si="324"/>
        <v>#DIV/0!</v>
      </c>
      <c r="FO163" s="8" t="e">
        <f t="shared" si="325"/>
        <v>#DIV/0!</v>
      </c>
      <c r="FP163" s="81" t="e">
        <f t="shared" si="326"/>
        <v>#DIV/0!</v>
      </c>
      <c r="FQ163" s="74" t="e">
        <f t="shared" ca="1" si="229"/>
        <v>#N/A</v>
      </c>
      <c r="FR163" s="82" t="e" vm="3">
        <f t="shared" ca="1" si="235"/>
        <v>#VALUE!</v>
      </c>
      <c r="FS163" s="7" t="e" vm="3">
        <f t="shared" ca="1" si="230"/>
        <v>#VALUE!</v>
      </c>
      <c r="FT163" t="e" vm="3">
        <f t="shared" ca="1" si="224"/>
        <v>#VALUE!</v>
      </c>
      <c r="FU163" s="8" t="e" vm="3">
        <f t="shared" ca="1" si="225"/>
        <v>#VALUE!</v>
      </c>
      <c r="FV163" s="8" t="e" vm="3">
        <f t="shared" ca="1" si="226"/>
        <v>#VALUE!</v>
      </c>
      <c r="FW163" s="81" t="e" vm="3">
        <f t="shared" ca="1" si="227"/>
        <v>#VALUE!</v>
      </c>
      <c r="FX163" s="74" t="e">
        <f t="shared" si="231"/>
        <v>#N/A</v>
      </c>
      <c r="FY163" s="82" t="e">
        <f t="shared" si="236"/>
        <v>#N/A</v>
      </c>
      <c r="FZ163" s="7" t="e">
        <f t="shared" si="232"/>
        <v>#N/A</v>
      </c>
      <c r="GA163" t="e">
        <f t="shared" si="237"/>
        <v>#N/A</v>
      </c>
      <c r="GB163" s="8" t="e">
        <f t="shared" si="238"/>
        <v>#N/A</v>
      </c>
      <c r="GC163" s="8" t="e">
        <f t="shared" si="239"/>
        <v>#N/A</v>
      </c>
      <c r="GD163" s="81" t="e">
        <f t="shared" si="240"/>
        <v>#N/A</v>
      </c>
      <c r="GE163" s="74" t="e">
        <f t="shared" si="241"/>
        <v>#N/A</v>
      </c>
      <c r="GF163" s="82" t="e">
        <f t="shared" si="242"/>
        <v>#N/A</v>
      </c>
      <c r="GG163" s="7" t="e">
        <f t="shared" si="233"/>
        <v>#N/A</v>
      </c>
      <c r="GH163" t="e">
        <f t="shared" si="243"/>
        <v>#N/A</v>
      </c>
      <c r="GI163" s="8" t="e">
        <f t="shared" si="244"/>
        <v>#N/A</v>
      </c>
      <c r="GJ163" s="8" t="e">
        <f t="shared" si="245"/>
        <v>#N/A</v>
      </c>
      <c r="GK163" s="81" t="e">
        <f t="shared" si="246"/>
        <v>#N/A</v>
      </c>
      <c r="GL163" s="81"/>
      <c r="GM163" s="81"/>
      <c r="GP163" s="32">
        <f t="shared" si="291"/>
        <v>153</v>
      </c>
      <c r="GQ163" s="32">
        <f t="shared" si="292"/>
        <v>154</v>
      </c>
      <c r="GR163" s="32">
        <f t="shared" si="293"/>
        <v>0.57492694068238359</v>
      </c>
      <c r="GS163" s="32">
        <f t="shared" si="294"/>
        <v>0.3381691628932032</v>
      </c>
      <c r="GT163" s="32" t="e">
        <f t="shared" si="295"/>
        <v>#N/A</v>
      </c>
      <c r="GU163" s="32" t="e">
        <f t="shared" si="296"/>
        <v>#N/A</v>
      </c>
      <c r="GV163" s="32" t="e">
        <f t="shared" si="297"/>
        <v>#N/A</v>
      </c>
      <c r="GW163" s="32" t="b">
        <f t="shared" si="298"/>
        <v>0</v>
      </c>
      <c r="GX163" s="32" t="b">
        <f t="shared" si="299"/>
        <v>1</v>
      </c>
      <c r="GY163" s="32" t="b">
        <f t="shared" si="300"/>
        <v>0</v>
      </c>
      <c r="GZ163" s="32" t="b">
        <f t="shared" si="301"/>
        <v>1</v>
      </c>
      <c r="HA163" s="32">
        <f t="shared" si="302"/>
        <v>0.3381691628932032</v>
      </c>
      <c r="HB163" s="32" t="e">
        <f t="shared" si="303"/>
        <v>#N/A</v>
      </c>
      <c r="HC163" s="32">
        <f t="shared" si="304"/>
        <v>0.3381691628932032</v>
      </c>
      <c r="HD163" s="45" t="str">
        <f t="shared" si="305"/>
        <v/>
      </c>
      <c r="HJ163" s="32">
        <f t="shared" si="306"/>
        <v>153</v>
      </c>
      <c r="HK163" s="32">
        <f t="shared" si="307"/>
        <v>154</v>
      </c>
      <c r="HL163" s="32">
        <f t="shared" si="308"/>
        <v>0.89028644253736466</v>
      </c>
      <c r="HM163" s="32" t="e">
        <f t="shared" si="309"/>
        <v>#N/A</v>
      </c>
      <c r="HN163" s="32">
        <f t="shared" si="310"/>
        <v>0.25067526978144972</v>
      </c>
      <c r="HO163" s="32" t="e">
        <f t="shared" si="311"/>
        <v>#N/A</v>
      </c>
      <c r="HP163" s="32" t="e">
        <f t="shared" si="312"/>
        <v>#N/A</v>
      </c>
      <c r="HQ163" s="32" t="b">
        <f t="shared" si="313"/>
        <v>1</v>
      </c>
      <c r="HR163" s="32" t="b">
        <f t="shared" si="314"/>
        <v>0</v>
      </c>
      <c r="HS163" s="32" t="b">
        <f t="shared" si="315"/>
        <v>0</v>
      </c>
      <c r="HT163" s="32" t="b">
        <f t="shared" si="316"/>
        <v>1</v>
      </c>
      <c r="HU163" s="32">
        <f t="shared" si="317"/>
        <v>0.25067526978144972</v>
      </c>
      <c r="HV163" s="32">
        <f t="shared" si="318"/>
        <v>0.25067526978144972</v>
      </c>
      <c r="HW163" s="32" t="e">
        <f t="shared" si="319"/>
        <v>#N/A</v>
      </c>
      <c r="HX163" s="45" t="str">
        <f t="shared" si="320"/>
        <v/>
      </c>
    </row>
    <row r="164" spans="78:232" x14ac:dyDescent="0.2">
      <c r="BZ164" s="32">
        <f t="shared" si="247"/>
        <v>154</v>
      </c>
      <c r="CA164" s="32">
        <f>Eu_tabel_g[[#This Row],[Indeks]]+1</f>
        <v>155</v>
      </c>
      <c r="CB164" s="32">
        <f t="shared" si="248"/>
        <v>0.59888222987748296</v>
      </c>
      <c r="CC164" s="32">
        <f t="shared" si="249"/>
        <v>0.33344795064515081</v>
      </c>
      <c r="CD164" s="32" t="e">
        <f t="shared" si="250"/>
        <v>#N/A</v>
      </c>
      <c r="CE164" s="32" t="e">
        <f t="shared" si="251"/>
        <v>#N/A</v>
      </c>
      <c r="CF164" s="32" t="e">
        <f t="shared" si="252"/>
        <v>#N/A</v>
      </c>
      <c r="CG164" s="32" t="b">
        <f t="shared" si="253"/>
        <v>0</v>
      </c>
      <c r="CH164" s="32" t="b">
        <f t="shared" si="254"/>
        <v>1</v>
      </c>
      <c r="CI164" s="32" t="b">
        <f t="shared" si="255"/>
        <v>0</v>
      </c>
      <c r="CJ164" s="32" t="b">
        <f t="shared" si="256"/>
        <v>1</v>
      </c>
      <c r="CK164" s="32">
        <f t="shared" si="321"/>
        <v>0.33344795064515081</v>
      </c>
      <c r="CL164" s="32" t="e">
        <f t="shared" si="257"/>
        <v>#N/A</v>
      </c>
      <c r="CM164" s="32">
        <f t="shared" si="258"/>
        <v>0.33344795064515081</v>
      </c>
      <c r="CN164" s="45" t="str">
        <f t="shared" si="259"/>
        <v/>
      </c>
      <c r="CO164" s="32">
        <f>_xlfn.NORM.DIST(_xlfn.NORM.INV(1-Eu_g_konfidensniveau,0,1)-Eu_tabel_g[[#This Row],[x base]],0,1,TRUE)</f>
        <v>1.2424700798871303E-2</v>
      </c>
      <c r="CP164" s="32">
        <f>1-_xlfn.NORM.DIST(_xlfn.NORM.INV(Eu_g_konfidensniveau,0,1)-Eu_tabel_g[[#This Row],[x base]],0,1,TRUE)</f>
        <v>0.14778711921721865</v>
      </c>
      <c r="CQ164" s="32">
        <f>_xlfn.NORM.DIST(_xlfn.NORM.INV((1-Eu_g_konfidensniveau)/2,0,1)-Eu_tabel_g[[#This Row],[x base]],0,1,TRUE)+1-_xlfn.NORM.DIST(_xlfn.NORM.INV(1-(1-Eu_g_konfidensniveau)/2,0,1)-Eu_tabel_g[[#This Row],[x base]],0,1,TRUE)</f>
        <v>9.1994936832619278E-2</v>
      </c>
      <c r="CR164" s="32" t="e" cm="1">
        <f t="array" ref="CR164">IF($CR$3,INDEX(Eu_tabel_g[[#This Row],[Styrke venstre]:[Styrke tosidet]],CR$7),NA())</f>
        <v>#N/A</v>
      </c>
      <c r="CS164" s="52" t="e">
        <f>Eu_tabel_g[[#This Row],[Falsk positiv
Nulhypotese accepteres
Fejltype 1]]</f>
        <v>#N/A</v>
      </c>
      <c r="CT164" s="52" t="e">
        <f>IF(CHOOSE(CR$7,Eu_tabel_g[[#This Row],[x base]]&gt;0,Eu_tabel_g[[#This Row],[x base]]&lt;0,Eu_tabel_g[[#This Row],[x base]]=0),Eu_tabel_g[[#This Row],[Styrke, aktiv]],NA())</f>
        <v>#N/A</v>
      </c>
      <c r="CU164" s="52" t="e">
        <f>IFERROR(IF($CR$3,Eu_tabel_g[[#This Row],[Styrke, aktiv]],NA()),NA())</f>
        <v>#N/A</v>
      </c>
      <c r="CV164" s="52" t="e">
        <f>IF(ISNA(Eu_tabel_g[[#This Row],[Sand negativ
Nulhypotese afvises
Korrekt]]),NA(),IF($CR$3,1,NA()))</f>
        <v>#N/A</v>
      </c>
      <c r="CW164" s="34" t="str" cm="1">
        <f t="array" ref="CW164">_xlfn.SWITCH(BZ164,_xlfn.IFNA(CU$2,-99),CU$5,_xlfn.IFNA(CU$3,-99),CU$6,_xlfn.IFNA(CU$4,-99),CU$7,"")</f>
        <v/>
      </c>
      <c r="DA164" s="7">
        <f t="shared" si="260"/>
        <v>0.8</v>
      </c>
      <c r="DB164">
        <f>IF(ROW(Styrkeberegning_G[[#This Row],[X base venstre]])=ROW(Styrkeberegning_G[[#Headers],[X base venstre]])+1,DB$7/(DA$7/$B$67),DB163/(DA163/$B$67))</f>
        <v>-2.8015817870135784</v>
      </c>
      <c r="DC164">
        <f>Styrkeberegning_G[[#This Row],[X base venstre]]*-1</f>
        <v>2.8015817870135784</v>
      </c>
      <c r="DN164" s="32">
        <f t="shared" si="261"/>
        <v>154</v>
      </c>
      <c r="DO164" s="32">
        <f t="shared" si="262"/>
        <v>155</v>
      </c>
      <c r="DP164" s="32">
        <f t="shared" si="263"/>
        <v>19.400764552871845</v>
      </c>
      <c r="DQ164" s="32" t="e">
        <f t="shared" si="264"/>
        <v>#N/A</v>
      </c>
      <c r="DR164" s="32" t="e">
        <f t="shared" si="265"/>
        <v>#N/A</v>
      </c>
      <c r="DS164" s="32">
        <f t="shared" si="266"/>
        <v>1.61376601530667E-2</v>
      </c>
      <c r="DT164" s="32" t="e">
        <f t="shared" si="267"/>
        <v>#N/A</v>
      </c>
      <c r="DU164" s="32" t="b">
        <f t="shared" si="268"/>
        <v>0</v>
      </c>
      <c r="DV164" s="32" t="b">
        <f t="shared" si="269"/>
        <v>1</v>
      </c>
      <c r="DW164" s="32" t="b">
        <f t="shared" si="270"/>
        <v>0</v>
      </c>
      <c r="DX164" s="32" t="b">
        <f t="shared" si="271"/>
        <v>1</v>
      </c>
      <c r="DY164" s="32">
        <f t="shared" si="272"/>
        <v>1.61376601530667E-2</v>
      </c>
      <c r="DZ164" s="32" t="e">
        <f t="shared" si="273"/>
        <v>#N/A</v>
      </c>
      <c r="EA164" s="32">
        <f t="shared" si="274"/>
        <v>1.61376601530667E-2</v>
      </c>
      <c r="EB164" s="45" t="str">
        <f t="shared" si="275"/>
        <v/>
      </c>
      <c r="EG164" s="32">
        <f t="shared" si="276"/>
        <v>154</v>
      </c>
      <c r="EH164" s="32">
        <f t="shared" si="277"/>
        <v>155</v>
      </c>
      <c r="EI164" s="32">
        <f t="shared" si="278"/>
        <v>0.59888222987748296</v>
      </c>
      <c r="EJ164" s="32">
        <f t="shared" si="279"/>
        <v>0.33344795064515081</v>
      </c>
      <c r="EK164" s="32" t="e">
        <f t="shared" si="280"/>
        <v>#N/A</v>
      </c>
      <c r="EL164" s="32" t="e">
        <f t="shared" si="281"/>
        <v>#N/A</v>
      </c>
      <c r="EM164" s="32" t="e">
        <f t="shared" si="282"/>
        <v>#N/A</v>
      </c>
      <c r="EN164" s="32" t="b">
        <f t="shared" si="283"/>
        <v>0</v>
      </c>
      <c r="EO164" s="32" t="b">
        <f t="shared" si="284"/>
        <v>1</v>
      </c>
      <c r="EP164" s="32" t="b">
        <f t="shared" si="285"/>
        <v>0</v>
      </c>
      <c r="EQ164" s="32" t="b">
        <f t="shared" si="286"/>
        <v>1</v>
      </c>
      <c r="ER164" s="32">
        <f t="shared" si="287"/>
        <v>0.33344795064515081</v>
      </c>
      <c r="ES164" s="32" t="e">
        <f t="shared" si="288"/>
        <v>#N/A</v>
      </c>
      <c r="ET164" s="32">
        <f t="shared" si="289"/>
        <v>0.33344795064515081</v>
      </c>
      <c r="EU164" s="45" t="str">
        <f t="shared" si="290"/>
        <v/>
      </c>
      <c r="EV16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4" s="32" t="e" cm="1">
        <f t="array" ref="EY164">IF($CR$3,INDEX(Eu_tabel_a[[#This Row],[Styrke venstre]:[Styrke tosidet]],EY$7),NA())</f>
        <v>#N/A</v>
      </c>
      <c r="EZ164" s="32" t="e">
        <f>IF(EY$3,IF(CHOOSE(EY$7,Eu_tabel_a[[#This Row],[x base]]&gt;0,Eu_tabel_a[[#This Row],[x base]]&lt;0,Eu_tabel_a[[#This Row],[x base]]=0),1,NA()),NA())</f>
        <v>#N/A</v>
      </c>
      <c r="FA164" s="32" t="e">
        <f>IF(CHOOSE(EY$7,Eu_tabel_a[[#This Row],[x base]]&gt;0,Eu_tabel_a[[#This Row],[x base]]&lt;0,Eu_tabel_a[[#This Row],[x base]]=0),Eu_tabel_a[[#This Row],[Styrke, aktiv]],NA())</f>
        <v>#N/A</v>
      </c>
      <c r="FB164" s="32" t="e">
        <f>IFERROR(IF($EY$3,Eu_tabel_a[[#This Row],[Styrke, aktiv]],NA()),NA())</f>
        <v>#N/A</v>
      </c>
      <c r="FC164" s="32" t="e">
        <f>IF(ISNA(Eu_tabel_a[[#This Row],[Sand negativ
Nulhypotese afvises
Korrekt]]),NA(),IF(EY$3,1,NA()))</f>
        <v>#N/A</v>
      </c>
      <c r="FD164" s="33" t="str" cm="1">
        <f t="array" ref="FD164">IFERROR(_xlfn.SWITCH(Eu_tabel_a[[#This Row],[Indeks]],_xlfn.IFNA(FB$2,-99),FB$5,_xlfn.IFNA(FB$3,-99),FB$6,_xlfn.IFNA(FB$4,-99),FB$7,""),"")</f>
        <v/>
      </c>
      <c r="FE164" s="32">
        <f>Eu_tabel_a[[#This Row],[x base]]*SQRT(Eu_a_h0_x*(1-Eu_a_h0_x)/Eu_a_n_x)+Eu_a_h0_x</f>
        <v>0</v>
      </c>
      <c r="FJ164" s="74" t="e">
        <f t="shared" si="234"/>
        <v>#N/A</v>
      </c>
      <c r="FK164" s="82" t="e">
        <f t="shared" si="322"/>
        <v>#DIV/0!</v>
      </c>
      <c r="FL164" s="7" t="e">
        <f t="shared" si="228"/>
        <v>#DIV/0!</v>
      </c>
      <c r="FM164" t="e">
        <f t="shared" si="323"/>
        <v>#DIV/0!</v>
      </c>
      <c r="FN164" s="8" t="e">
        <f t="shared" si="324"/>
        <v>#DIV/0!</v>
      </c>
      <c r="FO164" s="8" t="e">
        <f t="shared" si="325"/>
        <v>#DIV/0!</v>
      </c>
      <c r="FP164" s="81" t="e">
        <f t="shared" si="326"/>
        <v>#DIV/0!</v>
      </c>
      <c r="FQ164" s="74" t="e">
        <f t="shared" ca="1" si="229"/>
        <v>#N/A</v>
      </c>
      <c r="FR164" s="82" t="e" vm="3">
        <f t="shared" ca="1" si="235"/>
        <v>#VALUE!</v>
      </c>
      <c r="FS164" s="7" t="e" vm="3">
        <f t="shared" ca="1" si="230"/>
        <v>#VALUE!</v>
      </c>
      <c r="FT164" t="e" vm="3">
        <f t="shared" ca="1" si="224"/>
        <v>#VALUE!</v>
      </c>
      <c r="FU164" s="8" t="e" vm="3">
        <f t="shared" ca="1" si="225"/>
        <v>#VALUE!</v>
      </c>
      <c r="FV164" s="8" t="e" vm="3">
        <f t="shared" ca="1" si="226"/>
        <v>#VALUE!</v>
      </c>
      <c r="FW164" s="81" t="e" vm="3">
        <f t="shared" ca="1" si="227"/>
        <v>#VALUE!</v>
      </c>
      <c r="FX164" s="74" t="e">
        <f t="shared" si="231"/>
        <v>#N/A</v>
      </c>
      <c r="FY164" s="82" t="e">
        <f t="shared" si="236"/>
        <v>#N/A</v>
      </c>
      <c r="FZ164" s="7" t="e">
        <f t="shared" si="232"/>
        <v>#N/A</v>
      </c>
      <c r="GA164" t="e">
        <f t="shared" si="237"/>
        <v>#N/A</v>
      </c>
      <c r="GB164" s="8" t="e">
        <f t="shared" si="238"/>
        <v>#N/A</v>
      </c>
      <c r="GC164" s="8" t="e">
        <f t="shared" si="239"/>
        <v>#N/A</v>
      </c>
      <c r="GD164" s="81" t="e">
        <f t="shared" si="240"/>
        <v>#N/A</v>
      </c>
      <c r="GE164" s="74" t="e">
        <f t="shared" si="241"/>
        <v>#N/A</v>
      </c>
      <c r="GF164" s="82" t="e">
        <f t="shared" si="242"/>
        <v>#N/A</v>
      </c>
      <c r="GG164" s="7" t="e">
        <f t="shared" si="233"/>
        <v>#N/A</v>
      </c>
      <c r="GH164" t="e">
        <f t="shared" si="243"/>
        <v>#N/A</v>
      </c>
      <c r="GI164" s="8" t="e">
        <f t="shared" si="244"/>
        <v>#N/A</v>
      </c>
      <c r="GJ164" s="8" t="e">
        <f t="shared" si="245"/>
        <v>#N/A</v>
      </c>
      <c r="GK164" s="81" t="e">
        <f t="shared" si="246"/>
        <v>#N/A</v>
      </c>
      <c r="GL164" s="81"/>
      <c r="GM164" s="81"/>
      <c r="GP164" s="32">
        <f t="shared" si="291"/>
        <v>154</v>
      </c>
      <c r="GQ164" s="32">
        <f t="shared" si="292"/>
        <v>155</v>
      </c>
      <c r="GR164" s="32">
        <f t="shared" si="293"/>
        <v>0.59888222987748296</v>
      </c>
      <c r="GS164" s="32">
        <f t="shared" si="294"/>
        <v>0.33344795064515081</v>
      </c>
      <c r="GT164" s="32" t="e">
        <f t="shared" si="295"/>
        <v>#N/A</v>
      </c>
      <c r="GU164" s="32" t="e">
        <f t="shared" si="296"/>
        <v>#N/A</v>
      </c>
      <c r="GV164" s="32" t="e">
        <f t="shared" si="297"/>
        <v>#N/A</v>
      </c>
      <c r="GW164" s="32" t="b">
        <f t="shared" si="298"/>
        <v>0</v>
      </c>
      <c r="GX164" s="32" t="b">
        <f t="shared" si="299"/>
        <v>1</v>
      </c>
      <c r="GY164" s="32" t="b">
        <f t="shared" si="300"/>
        <v>0</v>
      </c>
      <c r="GZ164" s="32" t="b">
        <f t="shared" si="301"/>
        <v>1</v>
      </c>
      <c r="HA164" s="32">
        <f t="shared" si="302"/>
        <v>0.33344795064515081</v>
      </c>
      <c r="HB164" s="32" t="e">
        <f t="shared" si="303"/>
        <v>#N/A</v>
      </c>
      <c r="HC164" s="32">
        <f t="shared" si="304"/>
        <v>0.33344795064515081</v>
      </c>
      <c r="HD164" s="45" t="str">
        <f t="shared" si="305"/>
        <v/>
      </c>
      <c r="HJ164" s="32">
        <f t="shared" si="306"/>
        <v>154</v>
      </c>
      <c r="HK164" s="32">
        <f t="shared" si="307"/>
        <v>155</v>
      </c>
      <c r="HL164" s="32">
        <f t="shared" si="308"/>
        <v>0.9273817109764213</v>
      </c>
      <c r="HM164" s="32" t="e">
        <f t="shared" si="309"/>
        <v>#N/A</v>
      </c>
      <c r="HN164" s="32">
        <f t="shared" si="310"/>
        <v>0.24218370552426577</v>
      </c>
      <c r="HO164" s="32" t="e">
        <f t="shared" si="311"/>
        <v>#N/A</v>
      </c>
      <c r="HP164" s="32" t="e">
        <f t="shared" si="312"/>
        <v>#N/A</v>
      </c>
      <c r="HQ164" s="32" t="b">
        <f t="shared" si="313"/>
        <v>1</v>
      </c>
      <c r="HR164" s="32" t="b">
        <f t="shared" si="314"/>
        <v>0</v>
      </c>
      <c r="HS164" s="32" t="b">
        <f t="shared" si="315"/>
        <v>0</v>
      </c>
      <c r="HT164" s="32" t="b">
        <f t="shared" si="316"/>
        <v>1</v>
      </c>
      <c r="HU164" s="32">
        <f t="shared" si="317"/>
        <v>0.24218370552426577</v>
      </c>
      <c r="HV164" s="32">
        <f t="shared" si="318"/>
        <v>0.24218370552426577</v>
      </c>
      <c r="HW164" s="32" t="e">
        <f t="shared" si="319"/>
        <v>#N/A</v>
      </c>
      <c r="HX164" s="45" t="str">
        <f t="shared" si="320"/>
        <v/>
      </c>
    </row>
    <row r="165" spans="78:232" x14ac:dyDescent="0.2">
      <c r="BZ165" s="32">
        <f t="shared" si="247"/>
        <v>155</v>
      </c>
      <c r="CA165" s="32">
        <f>Eu_tabel_g[[#This Row],[Indeks]]+1</f>
        <v>156</v>
      </c>
      <c r="CB165" s="32">
        <f t="shared" si="248"/>
        <v>0.62283751907258234</v>
      </c>
      <c r="CC165" s="32">
        <f t="shared" si="249"/>
        <v>0.3286040262264141</v>
      </c>
      <c r="CD165" s="32" t="e">
        <f t="shared" si="250"/>
        <v>#N/A</v>
      </c>
      <c r="CE165" s="32" t="e">
        <f t="shared" si="251"/>
        <v>#N/A</v>
      </c>
      <c r="CF165" s="32" t="e">
        <f t="shared" si="252"/>
        <v>#N/A</v>
      </c>
      <c r="CG165" s="32" t="b">
        <f t="shared" si="253"/>
        <v>0</v>
      </c>
      <c r="CH165" s="32" t="b">
        <f t="shared" si="254"/>
        <v>1</v>
      </c>
      <c r="CI165" s="32" t="b">
        <f t="shared" si="255"/>
        <v>0</v>
      </c>
      <c r="CJ165" s="32" t="b">
        <f t="shared" si="256"/>
        <v>1</v>
      </c>
      <c r="CK165" s="32">
        <f t="shared" si="321"/>
        <v>0.3286040262264141</v>
      </c>
      <c r="CL165" s="32" t="e">
        <f t="shared" si="257"/>
        <v>#N/A</v>
      </c>
      <c r="CM165" s="32">
        <f t="shared" si="258"/>
        <v>0.3286040262264141</v>
      </c>
      <c r="CN165" s="45" t="str">
        <f t="shared" si="259"/>
        <v/>
      </c>
      <c r="CO165" s="32">
        <f>_xlfn.NORM.DIST(_xlfn.NORM.INV(1-Eu_g_konfidensniveau,0,1)-Eu_tabel_g[[#This Row],[x base]],0,1,TRUE)</f>
        <v>1.1674018942185489E-2</v>
      </c>
      <c r="CP165" s="32">
        <f>1-_xlfn.NORM.DIST(_xlfn.NORM.INV(Eu_g_konfidensniveau,0,1)-Eu_tabel_g[[#This Row],[x base]],0,1,TRUE)</f>
        <v>0.15338663833525557</v>
      </c>
      <c r="CQ165" s="32">
        <f>_xlfn.NORM.DIST(_xlfn.NORM.INV((1-Eu_g_konfidensniveau)/2,0,1)-Eu_tabel_g[[#This Row],[x base]],0,1,TRUE)+1-_xlfn.NORM.DIST(_xlfn.NORM.INV(1-(1-Eu_g_konfidensniveau)/2,0,1)-Eu_tabel_g[[#This Row],[x base]],0,1,TRUE)</f>
        <v>9.5490764325729005E-2</v>
      </c>
      <c r="CR165" s="32" t="e" cm="1">
        <f t="array" ref="CR165">IF($CR$3,INDEX(Eu_tabel_g[[#This Row],[Styrke venstre]:[Styrke tosidet]],CR$7),NA())</f>
        <v>#N/A</v>
      </c>
      <c r="CS165" s="52" t="e">
        <f>Eu_tabel_g[[#This Row],[Falsk positiv
Nulhypotese accepteres
Fejltype 1]]</f>
        <v>#N/A</v>
      </c>
      <c r="CT165" s="52" t="e">
        <f>IF(CHOOSE(CR$7,Eu_tabel_g[[#This Row],[x base]]&gt;0,Eu_tabel_g[[#This Row],[x base]]&lt;0,Eu_tabel_g[[#This Row],[x base]]=0),Eu_tabel_g[[#This Row],[Styrke, aktiv]],NA())</f>
        <v>#N/A</v>
      </c>
      <c r="CU165" s="52" t="e">
        <f>IFERROR(IF($CR$3,Eu_tabel_g[[#This Row],[Styrke, aktiv]],NA()),NA())</f>
        <v>#N/A</v>
      </c>
      <c r="CV165" s="52" t="e">
        <f>IF(ISNA(Eu_tabel_g[[#This Row],[Sand negativ
Nulhypotese afvises
Korrekt]]),NA(),IF($CR$3,1,NA()))</f>
        <v>#N/A</v>
      </c>
      <c r="CW165" s="34" t="str" cm="1">
        <f t="array" ref="CW165">_xlfn.SWITCH(BZ165,_xlfn.IFNA(CU$2,-99),CU$5,_xlfn.IFNA(CU$3,-99),CU$6,_xlfn.IFNA(CU$4,-99),CU$7,"")</f>
        <v/>
      </c>
      <c r="DA165" s="7">
        <f t="shared" si="260"/>
        <v>0.8</v>
      </c>
      <c r="DB165">
        <f>IF(ROW(Styrkeberegning_G[[#This Row],[X base venstre]])=ROW(Styrkeberegning_G[[#Headers],[X base venstre]])+1,DB$7/(DA$7/$B$67),DB164/(DA164/$B$67))</f>
        <v>-2.8015817870135784</v>
      </c>
      <c r="DC165">
        <f>Styrkeberegning_G[[#This Row],[X base venstre]]*-1</f>
        <v>2.8015817870135784</v>
      </c>
      <c r="DN165" s="32">
        <f t="shared" si="261"/>
        <v>155</v>
      </c>
      <c r="DO165" s="32">
        <f t="shared" si="262"/>
        <v>156</v>
      </c>
      <c r="DP165" s="32">
        <f t="shared" si="263"/>
        <v>19.514835409288846</v>
      </c>
      <c r="DQ165" s="32" t="e">
        <f t="shared" si="264"/>
        <v>#N/A</v>
      </c>
      <c r="DR165" s="32" t="e">
        <f t="shared" si="265"/>
        <v>#N/A</v>
      </c>
      <c r="DS165" s="32">
        <f t="shared" si="266"/>
        <v>1.5650478053182721E-2</v>
      </c>
      <c r="DT165" s="32" t="e">
        <f t="shared" si="267"/>
        <v>#N/A</v>
      </c>
      <c r="DU165" s="32" t="b">
        <f t="shared" si="268"/>
        <v>0</v>
      </c>
      <c r="DV165" s="32" t="b">
        <f t="shared" si="269"/>
        <v>1</v>
      </c>
      <c r="DW165" s="32" t="b">
        <f t="shared" si="270"/>
        <v>0</v>
      </c>
      <c r="DX165" s="32" t="b">
        <f t="shared" si="271"/>
        <v>1</v>
      </c>
      <c r="DY165" s="32">
        <f t="shared" si="272"/>
        <v>1.5650478053182721E-2</v>
      </c>
      <c r="DZ165" s="32" t="e">
        <f t="shared" si="273"/>
        <v>#N/A</v>
      </c>
      <c r="EA165" s="32">
        <f t="shared" si="274"/>
        <v>1.5650478053182721E-2</v>
      </c>
      <c r="EB165" s="45" t="str">
        <f t="shared" si="275"/>
        <v/>
      </c>
      <c r="EG165" s="32">
        <f t="shared" si="276"/>
        <v>155</v>
      </c>
      <c r="EH165" s="32">
        <f t="shared" si="277"/>
        <v>156</v>
      </c>
      <c r="EI165" s="32">
        <f t="shared" si="278"/>
        <v>0.62283751907258234</v>
      </c>
      <c r="EJ165" s="32">
        <f t="shared" si="279"/>
        <v>0.3286040262264141</v>
      </c>
      <c r="EK165" s="32" t="e">
        <f t="shared" si="280"/>
        <v>#N/A</v>
      </c>
      <c r="EL165" s="32" t="e">
        <f t="shared" si="281"/>
        <v>#N/A</v>
      </c>
      <c r="EM165" s="32" t="e">
        <f t="shared" si="282"/>
        <v>#N/A</v>
      </c>
      <c r="EN165" s="32" t="b">
        <f t="shared" si="283"/>
        <v>0</v>
      </c>
      <c r="EO165" s="32" t="b">
        <f t="shared" si="284"/>
        <v>1</v>
      </c>
      <c r="EP165" s="32" t="b">
        <f t="shared" si="285"/>
        <v>0</v>
      </c>
      <c r="EQ165" s="32" t="b">
        <f t="shared" si="286"/>
        <v>1</v>
      </c>
      <c r="ER165" s="32">
        <f t="shared" si="287"/>
        <v>0.3286040262264141</v>
      </c>
      <c r="ES165" s="32" t="e">
        <f t="shared" si="288"/>
        <v>#N/A</v>
      </c>
      <c r="ET165" s="32">
        <f t="shared" si="289"/>
        <v>0.3286040262264141</v>
      </c>
      <c r="EU165" s="45" t="str">
        <f t="shared" si="290"/>
        <v/>
      </c>
      <c r="EV16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5" s="32" t="e" cm="1">
        <f t="array" ref="EY165">IF($CR$3,INDEX(Eu_tabel_a[[#This Row],[Styrke venstre]:[Styrke tosidet]],EY$7),NA())</f>
        <v>#N/A</v>
      </c>
      <c r="EZ165" s="32" t="e">
        <f>IF(EY$3,IF(CHOOSE(EY$7,Eu_tabel_a[[#This Row],[x base]]&gt;0,Eu_tabel_a[[#This Row],[x base]]&lt;0,Eu_tabel_a[[#This Row],[x base]]=0),1,NA()),NA())</f>
        <v>#N/A</v>
      </c>
      <c r="FA165" s="32" t="e">
        <f>IF(CHOOSE(EY$7,Eu_tabel_a[[#This Row],[x base]]&gt;0,Eu_tabel_a[[#This Row],[x base]]&lt;0,Eu_tabel_a[[#This Row],[x base]]=0),Eu_tabel_a[[#This Row],[Styrke, aktiv]],NA())</f>
        <v>#N/A</v>
      </c>
      <c r="FB165" s="32" t="e">
        <f>IFERROR(IF($EY$3,Eu_tabel_a[[#This Row],[Styrke, aktiv]],NA()),NA())</f>
        <v>#N/A</v>
      </c>
      <c r="FC165" s="32" t="e">
        <f>IF(ISNA(Eu_tabel_a[[#This Row],[Sand negativ
Nulhypotese afvises
Korrekt]]),NA(),IF(EY$3,1,NA()))</f>
        <v>#N/A</v>
      </c>
      <c r="FD165" s="33" t="str" cm="1">
        <f t="array" ref="FD165">IFERROR(_xlfn.SWITCH(Eu_tabel_a[[#This Row],[Indeks]],_xlfn.IFNA(FB$2,-99),FB$5,_xlfn.IFNA(FB$3,-99),FB$6,_xlfn.IFNA(FB$4,-99),FB$7,""),"")</f>
        <v/>
      </c>
      <c r="FE165" s="32">
        <f>Eu_tabel_a[[#This Row],[x base]]*SQRT(Eu_a_h0_x*(1-Eu_a_h0_x)/Eu_a_n_x)+Eu_a_h0_x</f>
        <v>0</v>
      </c>
      <c r="FJ165" s="74" t="e">
        <f t="shared" si="234"/>
        <v>#N/A</v>
      </c>
      <c r="FK165" s="82" t="e">
        <f t="shared" si="322"/>
        <v>#DIV/0!</v>
      </c>
      <c r="FL165" s="7" t="e">
        <f t="shared" si="228"/>
        <v>#DIV/0!</v>
      </c>
      <c r="FM165" t="e">
        <f t="shared" si="323"/>
        <v>#DIV/0!</v>
      </c>
      <c r="FN165" s="8" t="e">
        <f t="shared" si="324"/>
        <v>#DIV/0!</v>
      </c>
      <c r="FO165" s="8" t="e">
        <f t="shared" si="325"/>
        <v>#DIV/0!</v>
      </c>
      <c r="FP165" s="81" t="e">
        <f t="shared" si="326"/>
        <v>#DIV/0!</v>
      </c>
      <c r="FQ165" s="74" t="e">
        <f t="shared" ca="1" si="229"/>
        <v>#N/A</v>
      </c>
      <c r="FR165" s="82" t="e" vm="3">
        <f t="shared" ca="1" si="235"/>
        <v>#VALUE!</v>
      </c>
      <c r="FS165" s="7" t="e" vm="3">
        <f t="shared" ca="1" si="230"/>
        <v>#VALUE!</v>
      </c>
      <c r="FT165" t="e" vm="3">
        <f t="shared" ca="1" si="224"/>
        <v>#VALUE!</v>
      </c>
      <c r="FU165" s="8" t="e" vm="3">
        <f t="shared" ca="1" si="225"/>
        <v>#VALUE!</v>
      </c>
      <c r="FV165" s="8" t="e" vm="3">
        <f t="shared" ca="1" si="226"/>
        <v>#VALUE!</v>
      </c>
      <c r="FW165" s="81" t="e" vm="3">
        <f t="shared" ca="1" si="227"/>
        <v>#VALUE!</v>
      </c>
      <c r="FX165" s="74" t="e">
        <f t="shared" si="231"/>
        <v>#N/A</v>
      </c>
      <c r="FY165" s="82" t="e">
        <f t="shared" si="236"/>
        <v>#N/A</v>
      </c>
      <c r="FZ165" s="7" t="e">
        <f t="shared" si="232"/>
        <v>#N/A</v>
      </c>
      <c r="GA165" t="e">
        <f t="shared" si="237"/>
        <v>#N/A</v>
      </c>
      <c r="GB165" s="8" t="e">
        <f t="shared" si="238"/>
        <v>#N/A</v>
      </c>
      <c r="GC165" s="8" t="e">
        <f t="shared" si="239"/>
        <v>#N/A</v>
      </c>
      <c r="GD165" s="81" t="e">
        <f t="shared" si="240"/>
        <v>#N/A</v>
      </c>
      <c r="GE165" s="74" t="e">
        <f t="shared" si="241"/>
        <v>#N/A</v>
      </c>
      <c r="GF165" s="82" t="e">
        <f t="shared" si="242"/>
        <v>#N/A</v>
      </c>
      <c r="GG165" s="7" t="e">
        <f t="shared" si="233"/>
        <v>#N/A</v>
      </c>
      <c r="GH165" t="e">
        <f t="shared" si="243"/>
        <v>#N/A</v>
      </c>
      <c r="GI165" s="8" t="e">
        <f t="shared" si="244"/>
        <v>#N/A</v>
      </c>
      <c r="GJ165" s="8" t="e">
        <f t="shared" si="245"/>
        <v>#N/A</v>
      </c>
      <c r="GK165" s="81" t="e">
        <f t="shared" si="246"/>
        <v>#N/A</v>
      </c>
      <c r="GL165" s="81"/>
      <c r="GM165" s="81"/>
      <c r="GP165" s="32">
        <f t="shared" si="291"/>
        <v>155</v>
      </c>
      <c r="GQ165" s="32">
        <f t="shared" si="292"/>
        <v>156</v>
      </c>
      <c r="GR165" s="32">
        <f t="shared" si="293"/>
        <v>0.62283751907258234</v>
      </c>
      <c r="GS165" s="32">
        <f t="shared" si="294"/>
        <v>0.3286040262264141</v>
      </c>
      <c r="GT165" s="32" t="e">
        <f t="shared" si="295"/>
        <v>#N/A</v>
      </c>
      <c r="GU165" s="32" t="e">
        <f t="shared" si="296"/>
        <v>#N/A</v>
      </c>
      <c r="GV165" s="32" t="e">
        <f t="shared" si="297"/>
        <v>#N/A</v>
      </c>
      <c r="GW165" s="32" t="b">
        <f t="shared" si="298"/>
        <v>0</v>
      </c>
      <c r="GX165" s="32" t="b">
        <f t="shared" si="299"/>
        <v>1</v>
      </c>
      <c r="GY165" s="32" t="b">
        <f t="shared" si="300"/>
        <v>0</v>
      </c>
      <c r="GZ165" s="32" t="b">
        <f t="shared" si="301"/>
        <v>1</v>
      </c>
      <c r="HA165" s="32">
        <f t="shared" si="302"/>
        <v>0.3286040262264141</v>
      </c>
      <c r="HB165" s="32" t="e">
        <f t="shared" si="303"/>
        <v>#N/A</v>
      </c>
      <c r="HC165" s="32">
        <f t="shared" si="304"/>
        <v>0.3286040262264141</v>
      </c>
      <c r="HD165" s="45" t="str">
        <f t="shared" si="305"/>
        <v/>
      </c>
      <c r="HJ165" s="32">
        <f t="shared" si="306"/>
        <v>155</v>
      </c>
      <c r="HK165" s="32">
        <f t="shared" si="307"/>
        <v>156</v>
      </c>
      <c r="HL165" s="32">
        <f t="shared" si="308"/>
        <v>0.96447697941547794</v>
      </c>
      <c r="HM165" s="32" t="e">
        <f t="shared" si="309"/>
        <v>#N/A</v>
      </c>
      <c r="HN165" s="32">
        <f t="shared" si="310"/>
        <v>0.23372394786255571</v>
      </c>
      <c r="HO165" s="32" t="e">
        <f t="shared" si="311"/>
        <v>#N/A</v>
      </c>
      <c r="HP165" s="32" t="e">
        <f t="shared" si="312"/>
        <v>#N/A</v>
      </c>
      <c r="HQ165" s="32" t="b">
        <f t="shared" si="313"/>
        <v>1</v>
      </c>
      <c r="HR165" s="32" t="b">
        <f t="shared" si="314"/>
        <v>0</v>
      </c>
      <c r="HS165" s="32" t="b">
        <f t="shared" si="315"/>
        <v>0</v>
      </c>
      <c r="HT165" s="32" t="b">
        <f t="shared" si="316"/>
        <v>1</v>
      </c>
      <c r="HU165" s="32">
        <f t="shared" si="317"/>
        <v>0.23372394786255571</v>
      </c>
      <c r="HV165" s="32">
        <f t="shared" si="318"/>
        <v>0.23372394786255571</v>
      </c>
      <c r="HW165" s="32" t="e">
        <f t="shared" si="319"/>
        <v>#N/A</v>
      </c>
      <c r="HX165" s="45" t="str">
        <f t="shared" si="320"/>
        <v/>
      </c>
    </row>
    <row r="166" spans="78:232" x14ac:dyDescent="0.2">
      <c r="BZ166" s="32">
        <f t="shared" si="247"/>
        <v>156</v>
      </c>
      <c r="CA166" s="32">
        <f>Eu_tabel_g[[#This Row],[Indeks]]+1</f>
        <v>157</v>
      </c>
      <c r="CB166" s="32">
        <f t="shared" si="248"/>
        <v>0.64679280826768171</v>
      </c>
      <c r="CC166" s="32">
        <f t="shared" si="249"/>
        <v>0.32364468971493993</v>
      </c>
      <c r="CD166" s="32" t="e">
        <f t="shared" si="250"/>
        <v>#N/A</v>
      </c>
      <c r="CE166" s="32" t="e">
        <f t="shared" si="251"/>
        <v>#N/A</v>
      </c>
      <c r="CF166" s="32" t="e">
        <f t="shared" si="252"/>
        <v>#N/A</v>
      </c>
      <c r="CG166" s="32" t="b">
        <f t="shared" si="253"/>
        <v>0</v>
      </c>
      <c r="CH166" s="32" t="b">
        <f t="shared" si="254"/>
        <v>1</v>
      </c>
      <c r="CI166" s="32" t="b">
        <f t="shared" si="255"/>
        <v>0</v>
      </c>
      <c r="CJ166" s="32" t="b">
        <f t="shared" si="256"/>
        <v>1</v>
      </c>
      <c r="CK166" s="32">
        <f t="shared" si="321"/>
        <v>0.32364468971493993</v>
      </c>
      <c r="CL166" s="32" t="e">
        <f t="shared" si="257"/>
        <v>#N/A</v>
      </c>
      <c r="CM166" s="32">
        <f t="shared" si="258"/>
        <v>0.32364468971493993</v>
      </c>
      <c r="CN166" s="45" t="str">
        <f t="shared" si="259"/>
        <v/>
      </c>
      <c r="CO166" s="32">
        <f>_xlfn.NORM.DIST(_xlfn.NORM.INV(1-Eu_g_konfidensniveau,0,1)-Eu_tabel_g[[#This Row],[x base]],0,1,TRUE)</f>
        <v>1.0963026829707758E-2</v>
      </c>
      <c r="CP166" s="32">
        <f>1-_xlfn.NORM.DIST(_xlfn.NORM.INV(Eu_g_konfidensniveau,0,1)-Eu_tabel_g[[#This Row],[x base]],0,1,TRUE)</f>
        <v>0.15912493399551053</v>
      </c>
      <c r="CQ166" s="32">
        <f>_xlfn.NORM.DIST(_xlfn.NORM.INV((1-Eu_g_konfidensniveau)/2,0,1)-Eu_tabel_g[[#This Row],[x base]],0,1,TRUE)+1-_xlfn.NORM.DIST(_xlfn.NORM.INV(1-(1-Eu_g_konfidensniveau)/2,0,1)-Eu_tabel_g[[#This Row],[x base]],0,1,TRUE)</f>
        <v>9.9132849971210524E-2</v>
      </c>
      <c r="CR166" s="32" t="e" cm="1">
        <f t="array" ref="CR166">IF($CR$3,INDEX(Eu_tabel_g[[#This Row],[Styrke venstre]:[Styrke tosidet]],CR$7),NA())</f>
        <v>#N/A</v>
      </c>
      <c r="CS166" s="52" t="e">
        <f>Eu_tabel_g[[#This Row],[Falsk positiv
Nulhypotese accepteres
Fejltype 1]]</f>
        <v>#N/A</v>
      </c>
      <c r="CT166" s="52" t="e">
        <f>IF(CHOOSE(CR$7,Eu_tabel_g[[#This Row],[x base]]&gt;0,Eu_tabel_g[[#This Row],[x base]]&lt;0,Eu_tabel_g[[#This Row],[x base]]=0),Eu_tabel_g[[#This Row],[Styrke, aktiv]],NA())</f>
        <v>#N/A</v>
      </c>
      <c r="CU166" s="52" t="e">
        <f>IFERROR(IF($CR$3,Eu_tabel_g[[#This Row],[Styrke, aktiv]],NA()),NA())</f>
        <v>#N/A</v>
      </c>
      <c r="CV166" s="52" t="e">
        <f>IF(ISNA(Eu_tabel_g[[#This Row],[Sand negativ
Nulhypotese afvises
Korrekt]]),NA(),IF($CR$3,1,NA()))</f>
        <v>#N/A</v>
      </c>
      <c r="CW166" s="34" t="str" cm="1">
        <f t="array" ref="CW166">_xlfn.SWITCH(BZ166,_xlfn.IFNA(CU$2,-99),CU$5,_xlfn.IFNA(CU$3,-99),CU$6,_xlfn.IFNA(CU$4,-99),CU$7,"")</f>
        <v/>
      </c>
      <c r="DA166" s="7">
        <f t="shared" si="260"/>
        <v>0.8</v>
      </c>
      <c r="DB166">
        <f>IF(ROW(Styrkeberegning_G[[#This Row],[X base venstre]])=ROW(Styrkeberegning_G[[#Headers],[X base venstre]])+1,DB$7/(DA$7/$B$67),DB165/(DA165/$B$67))</f>
        <v>-2.8015817870135784</v>
      </c>
      <c r="DC166">
        <f>Styrkeberegning_G[[#This Row],[X base venstre]]*-1</f>
        <v>2.8015817870135784</v>
      </c>
      <c r="DN166" s="32">
        <f t="shared" si="261"/>
        <v>156</v>
      </c>
      <c r="DO166" s="32">
        <f t="shared" si="262"/>
        <v>157</v>
      </c>
      <c r="DP166" s="32">
        <f t="shared" si="263"/>
        <v>19.628906265705847</v>
      </c>
      <c r="DQ166" s="32" t="e">
        <f t="shared" si="264"/>
        <v>#N/A</v>
      </c>
      <c r="DR166" s="32" t="e">
        <f t="shared" si="265"/>
        <v>#N/A</v>
      </c>
      <c r="DS166" s="32">
        <f t="shared" si="266"/>
        <v>1.5175669992566221E-2</v>
      </c>
      <c r="DT166" s="32" t="e">
        <f t="shared" si="267"/>
        <v>#N/A</v>
      </c>
      <c r="DU166" s="32" t="b">
        <f t="shared" si="268"/>
        <v>0</v>
      </c>
      <c r="DV166" s="32" t="b">
        <f t="shared" si="269"/>
        <v>1</v>
      </c>
      <c r="DW166" s="32" t="b">
        <f t="shared" si="270"/>
        <v>0</v>
      </c>
      <c r="DX166" s="32" t="b">
        <f t="shared" si="271"/>
        <v>1</v>
      </c>
      <c r="DY166" s="32">
        <f t="shared" si="272"/>
        <v>1.5175669992566221E-2</v>
      </c>
      <c r="DZ166" s="32" t="e">
        <f t="shared" si="273"/>
        <v>#N/A</v>
      </c>
      <c r="EA166" s="32">
        <f t="shared" si="274"/>
        <v>1.5175669992566221E-2</v>
      </c>
      <c r="EB166" s="45" t="str">
        <f t="shared" si="275"/>
        <v/>
      </c>
      <c r="EG166" s="32">
        <f t="shared" si="276"/>
        <v>156</v>
      </c>
      <c r="EH166" s="32">
        <f t="shared" si="277"/>
        <v>157</v>
      </c>
      <c r="EI166" s="32">
        <f t="shared" si="278"/>
        <v>0.64679280826768171</v>
      </c>
      <c r="EJ166" s="32">
        <f t="shared" si="279"/>
        <v>0.32364468971493993</v>
      </c>
      <c r="EK166" s="32" t="e">
        <f t="shared" si="280"/>
        <v>#N/A</v>
      </c>
      <c r="EL166" s="32" t="e">
        <f t="shared" si="281"/>
        <v>#N/A</v>
      </c>
      <c r="EM166" s="32" t="e">
        <f t="shared" si="282"/>
        <v>#N/A</v>
      </c>
      <c r="EN166" s="32" t="b">
        <f t="shared" si="283"/>
        <v>0</v>
      </c>
      <c r="EO166" s="32" t="b">
        <f t="shared" si="284"/>
        <v>1</v>
      </c>
      <c r="EP166" s="32" t="b">
        <f t="shared" si="285"/>
        <v>0</v>
      </c>
      <c r="EQ166" s="32" t="b">
        <f t="shared" si="286"/>
        <v>1</v>
      </c>
      <c r="ER166" s="32">
        <f t="shared" si="287"/>
        <v>0.32364468971493993</v>
      </c>
      <c r="ES166" s="32" t="e">
        <f t="shared" si="288"/>
        <v>#N/A</v>
      </c>
      <c r="ET166" s="32">
        <f t="shared" si="289"/>
        <v>0.32364468971493993</v>
      </c>
      <c r="EU166" s="45" t="str">
        <f t="shared" si="290"/>
        <v/>
      </c>
      <c r="EV16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6" s="32" t="e" cm="1">
        <f t="array" ref="EY166">IF($CR$3,INDEX(Eu_tabel_a[[#This Row],[Styrke venstre]:[Styrke tosidet]],EY$7),NA())</f>
        <v>#N/A</v>
      </c>
      <c r="EZ166" s="32" t="e">
        <f>IF(EY$3,IF(CHOOSE(EY$7,Eu_tabel_a[[#This Row],[x base]]&gt;0,Eu_tabel_a[[#This Row],[x base]]&lt;0,Eu_tabel_a[[#This Row],[x base]]=0),1,NA()),NA())</f>
        <v>#N/A</v>
      </c>
      <c r="FA166" s="32" t="e">
        <f>IF(CHOOSE(EY$7,Eu_tabel_a[[#This Row],[x base]]&gt;0,Eu_tabel_a[[#This Row],[x base]]&lt;0,Eu_tabel_a[[#This Row],[x base]]=0),Eu_tabel_a[[#This Row],[Styrke, aktiv]],NA())</f>
        <v>#N/A</v>
      </c>
      <c r="FB166" s="32" t="e">
        <f>IFERROR(IF($EY$3,Eu_tabel_a[[#This Row],[Styrke, aktiv]],NA()),NA())</f>
        <v>#N/A</v>
      </c>
      <c r="FC166" s="32" t="e">
        <f>IF(ISNA(Eu_tabel_a[[#This Row],[Sand negativ
Nulhypotese afvises
Korrekt]]),NA(),IF(EY$3,1,NA()))</f>
        <v>#N/A</v>
      </c>
      <c r="FD166" s="33" t="str" cm="1">
        <f t="array" ref="FD166">IFERROR(_xlfn.SWITCH(Eu_tabel_a[[#This Row],[Indeks]],_xlfn.IFNA(FB$2,-99),FB$5,_xlfn.IFNA(FB$3,-99),FB$6,_xlfn.IFNA(FB$4,-99),FB$7,""),"")</f>
        <v/>
      </c>
      <c r="FE166" s="32">
        <f>Eu_tabel_a[[#This Row],[x base]]*SQRT(Eu_a_h0_x*(1-Eu_a_h0_x)/Eu_a_n_x)+Eu_a_h0_x</f>
        <v>0</v>
      </c>
      <c r="FJ166" s="74" t="e">
        <f t="shared" si="234"/>
        <v>#N/A</v>
      </c>
      <c r="FK166" s="82" t="e">
        <f t="shared" si="322"/>
        <v>#DIV/0!</v>
      </c>
      <c r="FL166" s="7" t="e">
        <f t="shared" si="228"/>
        <v>#DIV/0!</v>
      </c>
      <c r="FM166" t="e">
        <f t="shared" si="323"/>
        <v>#DIV/0!</v>
      </c>
      <c r="FN166" s="8" t="e">
        <f t="shared" si="324"/>
        <v>#DIV/0!</v>
      </c>
      <c r="FO166" s="8" t="e">
        <f t="shared" si="325"/>
        <v>#DIV/0!</v>
      </c>
      <c r="FP166" s="81" t="e">
        <f t="shared" si="326"/>
        <v>#DIV/0!</v>
      </c>
      <c r="FQ166" s="74" t="e">
        <f t="shared" ca="1" si="229"/>
        <v>#N/A</v>
      </c>
      <c r="FR166" s="82" t="e" vm="3">
        <f t="shared" ca="1" si="235"/>
        <v>#VALUE!</v>
      </c>
      <c r="FS166" s="7" t="e" vm="3">
        <f t="shared" ca="1" si="230"/>
        <v>#VALUE!</v>
      </c>
      <c r="FT166" t="e" vm="3">
        <f t="shared" ca="1" si="224"/>
        <v>#VALUE!</v>
      </c>
      <c r="FU166" s="8" t="e" vm="3">
        <f t="shared" ca="1" si="225"/>
        <v>#VALUE!</v>
      </c>
      <c r="FV166" s="8" t="e" vm="3">
        <f t="shared" ca="1" si="226"/>
        <v>#VALUE!</v>
      </c>
      <c r="FW166" s="81" t="e" vm="3">
        <f t="shared" ca="1" si="227"/>
        <v>#VALUE!</v>
      </c>
      <c r="FX166" s="74" t="e">
        <f t="shared" si="231"/>
        <v>#N/A</v>
      </c>
      <c r="FY166" s="82" t="e">
        <f t="shared" si="236"/>
        <v>#N/A</v>
      </c>
      <c r="FZ166" s="7" t="e">
        <f t="shared" si="232"/>
        <v>#N/A</v>
      </c>
      <c r="GA166" t="e">
        <f t="shared" si="237"/>
        <v>#N/A</v>
      </c>
      <c r="GB166" s="8" t="e">
        <f t="shared" si="238"/>
        <v>#N/A</v>
      </c>
      <c r="GC166" s="8" t="e">
        <f t="shared" si="239"/>
        <v>#N/A</v>
      </c>
      <c r="GD166" s="81" t="e">
        <f t="shared" si="240"/>
        <v>#N/A</v>
      </c>
      <c r="GE166" s="74" t="e">
        <f t="shared" si="241"/>
        <v>#N/A</v>
      </c>
      <c r="GF166" s="82" t="e">
        <f t="shared" si="242"/>
        <v>#N/A</v>
      </c>
      <c r="GG166" s="7" t="e">
        <f t="shared" si="233"/>
        <v>#N/A</v>
      </c>
      <c r="GH166" t="e">
        <f t="shared" si="243"/>
        <v>#N/A</v>
      </c>
      <c r="GI166" s="8" t="e">
        <f t="shared" si="244"/>
        <v>#N/A</v>
      </c>
      <c r="GJ166" s="8" t="e">
        <f t="shared" si="245"/>
        <v>#N/A</v>
      </c>
      <c r="GK166" s="81" t="e">
        <f t="shared" si="246"/>
        <v>#N/A</v>
      </c>
      <c r="GL166" s="81"/>
      <c r="GM166" s="81"/>
      <c r="GP166" s="32">
        <f t="shared" si="291"/>
        <v>156</v>
      </c>
      <c r="GQ166" s="32">
        <f t="shared" si="292"/>
        <v>157</v>
      </c>
      <c r="GR166" s="32">
        <f t="shared" si="293"/>
        <v>0.64679280826768171</v>
      </c>
      <c r="GS166" s="32">
        <f t="shared" si="294"/>
        <v>0.32364468971493993</v>
      </c>
      <c r="GT166" s="32" t="e">
        <f t="shared" si="295"/>
        <v>#N/A</v>
      </c>
      <c r="GU166" s="32" t="e">
        <f t="shared" si="296"/>
        <v>#N/A</v>
      </c>
      <c r="GV166" s="32" t="e">
        <f t="shared" si="297"/>
        <v>#N/A</v>
      </c>
      <c r="GW166" s="32" t="b">
        <f t="shared" si="298"/>
        <v>0</v>
      </c>
      <c r="GX166" s="32" t="b">
        <f t="shared" si="299"/>
        <v>1</v>
      </c>
      <c r="GY166" s="32" t="b">
        <f t="shared" si="300"/>
        <v>0</v>
      </c>
      <c r="GZ166" s="32" t="b">
        <f t="shared" si="301"/>
        <v>1</v>
      </c>
      <c r="HA166" s="32">
        <f t="shared" si="302"/>
        <v>0.32364468971493993</v>
      </c>
      <c r="HB166" s="32" t="e">
        <f t="shared" si="303"/>
        <v>#N/A</v>
      </c>
      <c r="HC166" s="32">
        <f t="shared" si="304"/>
        <v>0.32364468971493993</v>
      </c>
      <c r="HD166" s="45" t="str">
        <f t="shared" si="305"/>
        <v/>
      </c>
      <c r="HJ166" s="32">
        <f t="shared" si="306"/>
        <v>156</v>
      </c>
      <c r="HK166" s="32">
        <f t="shared" si="307"/>
        <v>157</v>
      </c>
      <c r="HL166" s="32">
        <f t="shared" si="308"/>
        <v>1.0015722478545355</v>
      </c>
      <c r="HM166" s="32" t="e">
        <f t="shared" si="309"/>
        <v>#N/A</v>
      </c>
      <c r="HN166" s="32">
        <f t="shared" si="310"/>
        <v>0.2253201733725971</v>
      </c>
      <c r="HO166" s="32" t="e">
        <f t="shared" si="311"/>
        <v>#N/A</v>
      </c>
      <c r="HP166" s="32" t="e">
        <f t="shared" si="312"/>
        <v>#N/A</v>
      </c>
      <c r="HQ166" s="32" t="b">
        <f t="shared" si="313"/>
        <v>1</v>
      </c>
      <c r="HR166" s="32" t="b">
        <f t="shared" si="314"/>
        <v>0</v>
      </c>
      <c r="HS166" s="32" t="b">
        <f t="shared" si="315"/>
        <v>0</v>
      </c>
      <c r="HT166" s="32" t="b">
        <f t="shared" si="316"/>
        <v>1</v>
      </c>
      <c r="HU166" s="32">
        <f t="shared" si="317"/>
        <v>0.2253201733725971</v>
      </c>
      <c r="HV166" s="32">
        <f t="shared" si="318"/>
        <v>0.2253201733725971</v>
      </c>
      <c r="HW166" s="32" t="e">
        <f t="shared" si="319"/>
        <v>#N/A</v>
      </c>
      <c r="HX166" s="45" t="str">
        <f t="shared" si="320"/>
        <v/>
      </c>
    </row>
    <row r="167" spans="78:232" x14ac:dyDescent="0.2">
      <c r="BZ167" s="32">
        <f t="shared" si="247"/>
        <v>157</v>
      </c>
      <c r="CA167" s="32">
        <f>Eu_tabel_g[[#This Row],[Indeks]]+1</f>
        <v>158</v>
      </c>
      <c r="CB167" s="32">
        <f t="shared" si="248"/>
        <v>0.67074809746278108</v>
      </c>
      <c r="CC167" s="32">
        <f t="shared" si="249"/>
        <v>0.31857733024261109</v>
      </c>
      <c r="CD167" s="32" t="e">
        <f t="shared" si="250"/>
        <v>#N/A</v>
      </c>
      <c r="CE167" s="32" t="e">
        <f t="shared" si="251"/>
        <v>#N/A</v>
      </c>
      <c r="CF167" s="32" t="e">
        <f t="shared" si="252"/>
        <v>#N/A</v>
      </c>
      <c r="CG167" s="32" t="b">
        <f t="shared" si="253"/>
        <v>0</v>
      </c>
      <c r="CH167" s="32" t="b">
        <f t="shared" si="254"/>
        <v>1</v>
      </c>
      <c r="CI167" s="32" t="b">
        <f t="shared" si="255"/>
        <v>0</v>
      </c>
      <c r="CJ167" s="32" t="b">
        <f t="shared" si="256"/>
        <v>1</v>
      </c>
      <c r="CK167" s="32">
        <f t="shared" si="321"/>
        <v>0.31857733024261109</v>
      </c>
      <c r="CL167" s="32" t="e">
        <f t="shared" si="257"/>
        <v>#N/A</v>
      </c>
      <c r="CM167" s="32">
        <f t="shared" si="258"/>
        <v>0.31857733024261109</v>
      </c>
      <c r="CN167" s="45" t="str">
        <f t="shared" si="259"/>
        <v/>
      </c>
      <c r="CO167" s="32">
        <f>_xlfn.NORM.DIST(_xlfn.NORM.INV(1-Eu_g_konfidensniveau,0,1)-Eu_tabel_g[[#This Row],[x base]],0,1,TRUE)</f>
        <v>1.0290012307210827E-2</v>
      </c>
      <c r="CP167" s="32">
        <f>1-_xlfn.NORM.DIST(_xlfn.NORM.INV(Eu_g_konfidensniveau,0,1)-Eu_tabel_g[[#This Row],[x base]],0,1,TRUE)</f>
        <v>0.16500207215092599</v>
      </c>
      <c r="CQ167" s="32">
        <f>_xlfn.NORM.DIST(_xlfn.NORM.INV((1-Eu_g_konfidensniveau)/2,0,1)-Eu_tabel_g[[#This Row],[x base]],0,1,TRUE)+1-_xlfn.NORM.DIST(_xlfn.NORM.INV(1-(1-Eu_g_konfidensniveau)/2,0,1)-Eu_tabel_g[[#This Row],[x base]],0,1,TRUE)</f>
        <v>0.10292183104268371</v>
      </c>
      <c r="CR167" s="32" t="e" cm="1">
        <f t="array" ref="CR167">IF($CR$3,INDEX(Eu_tabel_g[[#This Row],[Styrke venstre]:[Styrke tosidet]],CR$7),NA())</f>
        <v>#N/A</v>
      </c>
      <c r="CS167" s="52" t="e">
        <f>Eu_tabel_g[[#This Row],[Falsk positiv
Nulhypotese accepteres
Fejltype 1]]</f>
        <v>#N/A</v>
      </c>
      <c r="CT167" s="52" t="e">
        <f>IF(CHOOSE(CR$7,Eu_tabel_g[[#This Row],[x base]]&gt;0,Eu_tabel_g[[#This Row],[x base]]&lt;0,Eu_tabel_g[[#This Row],[x base]]=0),Eu_tabel_g[[#This Row],[Styrke, aktiv]],NA())</f>
        <v>#N/A</v>
      </c>
      <c r="CU167" s="52" t="e">
        <f>IFERROR(IF($CR$3,Eu_tabel_g[[#This Row],[Styrke, aktiv]],NA()),NA())</f>
        <v>#N/A</v>
      </c>
      <c r="CV167" s="52" t="e">
        <f>IF(ISNA(Eu_tabel_g[[#This Row],[Sand negativ
Nulhypotese afvises
Korrekt]]),NA(),IF($CR$3,1,NA()))</f>
        <v>#N/A</v>
      </c>
      <c r="CW167" s="34" t="str" cm="1">
        <f t="array" ref="CW167">_xlfn.SWITCH(BZ167,_xlfn.IFNA(CU$2,-99),CU$5,_xlfn.IFNA(CU$3,-99),CU$6,_xlfn.IFNA(CU$4,-99),CU$7,"")</f>
        <v/>
      </c>
      <c r="DA167" s="7">
        <f t="shared" si="260"/>
        <v>0.8</v>
      </c>
      <c r="DB167">
        <f>IF(ROW(Styrkeberegning_G[[#This Row],[X base venstre]])=ROW(Styrkeberegning_G[[#Headers],[X base venstre]])+1,DB$7/(DA$7/$B$67),DB166/(DA166/$B$67))</f>
        <v>-2.8015817870135784</v>
      </c>
      <c r="DC167">
        <f>Styrkeberegning_G[[#This Row],[X base venstre]]*-1</f>
        <v>2.8015817870135784</v>
      </c>
      <c r="DN167" s="32">
        <f t="shared" si="261"/>
        <v>157</v>
      </c>
      <c r="DO167" s="32">
        <f t="shared" si="262"/>
        <v>158</v>
      </c>
      <c r="DP167" s="32">
        <f t="shared" si="263"/>
        <v>19.742977122122848</v>
      </c>
      <c r="DQ167" s="32" t="e">
        <f t="shared" si="264"/>
        <v>#N/A</v>
      </c>
      <c r="DR167" s="32" t="e">
        <f t="shared" si="265"/>
        <v>#N/A</v>
      </c>
      <c r="DS167" s="32">
        <f t="shared" si="266"/>
        <v>1.4713030567963909E-2</v>
      </c>
      <c r="DT167" s="32" t="e">
        <f t="shared" si="267"/>
        <v>#N/A</v>
      </c>
      <c r="DU167" s="32" t="b">
        <f t="shared" si="268"/>
        <v>0</v>
      </c>
      <c r="DV167" s="32" t="b">
        <f t="shared" si="269"/>
        <v>1</v>
      </c>
      <c r="DW167" s="32" t="b">
        <f t="shared" si="270"/>
        <v>0</v>
      </c>
      <c r="DX167" s="32" t="b">
        <f t="shared" si="271"/>
        <v>1</v>
      </c>
      <c r="DY167" s="32">
        <f t="shared" si="272"/>
        <v>1.4713030567963909E-2</v>
      </c>
      <c r="DZ167" s="32" t="e">
        <f t="shared" si="273"/>
        <v>#N/A</v>
      </c>
      <c r="EA167" s="32">
        <f t="shared" si="274"/>
        <v>1.4713030567963909E-2</v>
      </c>
      <c r="EB167" s="45" t="str">
        <f t="shared" si="275"/>
        <v/>
      </c>
      <c r="EG167" s="32">
        <f t="shared" si="276"/>
        <v>157</v>
      </c>
      <c r="EH167" s="32">
        <f t="shared" si="277"/>
        <v>158</v>
      </c>
      <c r="EI167" s="32">
        <f t="shared" si="278"/>
        <v>0.67074809746278108</v>
      </c>
      <c r="EJ167" s="32">
        <f t="shared" si="279"/>
        <v>0.31857733024261109</v>
      </c>
      <c r="EK167" s="32" t="e">
        <f t="shared" si="280"/>
        <v>#N/A</v>
      </c>
      <c r="EL167" s="32" t="e">
        <f t="shared" si="281"/>
        <v>#N/A</v>
      </c>
      <c r="EM167" s="32" t="e">
        <f t="shared" si="282"/>
        <v>#N/A</v>
      </c>
      <c r="EN167" s="32" t="b">
        <f t="shared" si="283"/>
        <v>0</v>
      </c>
      <c r="EO167" s="32" t="b">
        <f t="shared" si="284"/>
        <v>1</v>
      </c>
      <c r="EP167" s="32" t="b">
        <f t="shared" si="285"/>
        <v>0</v>
      </c>
      <c r="EQ167" s="32" t="b">
        <f t="shared" si="286"/>
        <v>1</v>
      </c>
      <c r="ER167" s="32">
        <f t="shared" si="287"/>
        <v>0.31857733024261109</v>
      </c>
      <c r="ES167" s="32" t="e">
        <f t="shared" si="288"/>
        <v>#N/A</v>
      </c>
      <c r="ET167" s="32">
        <f t="shared" si="289"/>
        <v>0.31857733024261109</v>
      </c>
      <c r="EU167" s="45" t="str">
        <f t="shared" si="290"/>
        <v/>
      </c>
      <c r="EV16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7" s="32" t="e" cm="1">
        <f t="array" ref="EY167">IF($CR$3,INDEX(Eu_tabel_a[[#This Row],[Styrke venstre]:[Styrke tosidet]],EY$7),NA())</f>
        <v>#N/A</v>
      </c>
      <c r="EZ167" s="32" t="e">
        <f>IF(EY$3,IF(CHOOSE(EY$7,Eu_tabel_a[[#This Row],[x base]]&gt;0,Eu_tabel_a[[#This Row],[x base]]&lt;0,Eu_tabel_a[[#This Row],[x base]]=0),1,NA()),NA())</f>
        <v>#N/A</v>
      </c>
      <c r="FA167" s="32" t="e">
        <f>IF(CHOOSE(EY$7,Eu_tabel_a[[#This Row],[x base]]&gt;0,Eu_tabel_a[[#This Row],[x base]]&lt;0,Eu_tabel_a[[#This Row],[x base]]=0),Eu_tabel_a[[#This Row],[Styrke, aktiv]],NA())</f>
        <v>#N/A</v>
      </c>
      <c r="FB167" s="32" t="e">
        <f>IFERROR(IF($EY$3,Eu_tabel_a[[#This Row],[Styrke, aktiv]],NA()),NA())</f>
        <v>#N/A</v>
      </c>
      <c r="FC167" s="32" t="e">
        <f>IF(ISNA(Eu_tabel_a[[#This Row],[Sand negativ
Nulhypotese afvises
Korrekt]]),NA(),IF(EY$3,1,NA()))</f>
        <v>#N/A</v>
      </c>
      <c r="FD167" s="33" t="str" cm="1">
        <f t="array" ref="FD167">IFERROR(_xlfn.SWITCH(Eu_tabel_a[[#This Row],[Indeks]],_xlfn.IFNA(FB$2,-99),FB$5,_xlfn.IFNA(FB$3,-99),FB$6,_xlfn.IFNA(FB$4,-99),FB$7,""),"")</f>
        <v/>
      </c>
      <c r="FE167" s="32">
        <f>Eu_tabel_a[[#This Row],[x base]]*SQRT(Eu_a_h0_x*(1-Eu_a_h0_x)/Eu_a_n_x)+Eu_a_h0_x</f>
        <v>0</v>
      </c>
      <c r="FJ167" s="74" t="e">
        <f t="shared" si="234"/>
        <v>#N/A</v>
      </c>
      <c r="FK167" s="82" t="e">
        <f t="shared" si="322"/>
        <v>#DIV/0!</v>
      </c>
      <c r="FL167" s="7" t="e">
        <f t="shared" si="228"/>
        <v>#DIV/0!</v>
      </c>
      <c r="FM167" t="e">
        <f t="shared" si="323"/>
        <v>#DIV/0!</v>
      </c>
      <c r="FN167" s="8" t="e">
        <f t="shared" si="324"/>
        <v>#DIV/0!</v>
      </c>
      <c r="FO167" s="8" t="e">
        <f t="shared" si="325"/>
        <v>#DIV/0!</v>
      </c>
      <c r="FP167" s="81" t="e">
        <f t="shared" si="326"/>
        <v>#DIV/0!</v>
      </c>
      <c r="FQ167" s="74" t="e">
        <f t="shared" ca="1" si="229"/>
        <v>#N/A</v>
      </c>
      <c r="FR167" s="82" t="e" vm="3">
        <f t="shared" ca="1" si="235"/>
        <v>#VALUE!</v>
      </c>
      <c r="FS167" s="7" t="e" vm="3">
        <f t="shared" ca="1" si="230"/>
        <v>#VALUE!</v>
      </c>
      <c r="FT167" t="e" vm="3">
        <f t="shared" ca="1" si="224"/>
        <v>#VALUE!</v>
      </c>
      <c r="FU167" s="8" t="e" vm="3">
        <f t="shared" ca="1" si="225"/>
        <v>#VALUE!</v>
      </c>
      <c r="FV167" s="8" t="e" vm="3">
        <f t="shared" ca="1" si="226"/>
        <v>#VALUE!</v>
      </c>
      <c r="FW167" s="81" t="e" vm="3">
        <f t="shared" ca="1" si="227"/>
        <v>#VALUE!</v>
      </c>
      <c r="FX167" s="74" t="e">
        <f t="shared" si="231"/>
        <v>#N/A</v>
      </c>
      <c r="FY167" s="82" t="e">
        <f t="shared" si="236"/>
        <v>#N/A</v>
      </c>
      <c r="FZ167" s="7" t="e">
        <f t="shared" si="232"/>
        <v>#N/A</v>
      </c>
      <c r="GA167" t="e">
        <f t="shared" si="237"/>
        <v>#N/A</v>
      </c>
      <c r="GB167" s="8" t="e">
        <f t="shared" si="238"/>
        <v>#N/A</v>
      </c>
      <c r="GC167" s="8" t="e">
        <f t="shared" si="239"/>
        <v>#N/A</v>
      </c>
      <c r="GD167" s="81" t="e">
        <f t="shared" si="240"/>
        <v>#N/A</v>
      </c>
      <c r="GE167" s="74" t="e">
        <f t="shared" si="241"/>
        <v>#N/A</v>
      </c>
      <c r="GF167" s="82" t="e">
        <f t="shared" si="242"/>
        <v>#N/A</v>
      </c>
      <c r="GG167" s="7" t="e">
        <f t="shared" si="233"/>
        <v>#N/A</v>
      </c>
      <c r="GH167" t="e">
        <f t="shared" si="243"/>
        <v>#N/A</v>
      </c>
      <c r="GI167" s="8" t="e">
        <f t="shared" si="244"/>
        <v>#N/A</v>
      </c>
      <c r="GJ167" s="8" t="e">
        <f t="shared" si="245"/>
        <v>#N/A</v>
      </c>
      <c r="GK167" s="81" t="e">
        <f t="shared" si="246"/>
        <v>#N/A</v>
      </c>
      <c r="GL167" s="81"/>
      <c r="GM167" s="81"/>
      <c r="GP167" s="32">
        <f t="shared" si="291"/>
        <v>157</v>
      </c>
      <c r="GQ167" s="32">
        <f t="shared" si="292"/>
        <v>158</v>
      </c>
      <c r="GR167" s="32">
        <f t="shared" si="293"/>
        <v>0.67074809746278108</v>
      </c>
      <c r="GS167" s="32">
        <f t="shared" si="294"/>
        <v>0.31857733024261109</v>
      </c>
      <c r="GT167" s="32" t="e">
        <f t="shared" si="295"/>
        <v>#N/A</v>
      </c>
      <c r="GU167" s="32" t="e">
        <f t="shared" si="296"/>
        <v>#N/A</v>
      </c>
      <c r="GV167" s="32" t="e">
        <f t="shared" si="297"/>
        <v>#N/A</v>
      </c>
      <c r="GW167" s="32" t="b">
        <f t="shared" si="298"/>
        <v>0</v>
      </c>
      <c r="GX167" s="32" t="b">
        <f t="shared" si="299"/>
        <v>1</v>
      </c>
      <c r="GY167" s="32" t="b">
        <f t="shared" si="300"/>
        <v>0</v>
      </c>
      <c r="GZ167" s="32" t="b">
        <f t="shared" si="301"/>
        <v>1</v>
      </c>
      <c r="HA167" s="32">
        <f t="shared" si="302"/>
        <v>0.31857733024261109</v>
      </c>
      <c r="HB167" s="32" t="e">
        <f t="shared" si="303"/>
        <v>#N/A</v>
      </c>
      <c r="HC167" s="32">
        <f t="shared" si="304"/>
        <v>0.31857733024261109</v>
      </c>
      <c r="HD167" s="45" t="str">
        <f t="shared" si="305"/>
        <v/>
      </c>
      <c r="HJ167" s="32">
        <f t="shared" si="306"/>
        <v>157</v>
      </c>
      <c r="HK167" s="32">
        <f t="shared" si="307"/>
        <v>158</v>
      </c>
      <c r="HL167" s="32">
        <f t="shared" si="308"/>
        <v>1.0386675162935921</v>
      </c>
      <c r="HM167" s="32" t="e">
        <f t="shared" si="309"/>
        <v>#N/A</v>
      </c>
      <c r="HN167" s="32">
        <f t="shared" si="310"/>
        <v>0.21699479795162491</v>
      </c>
      <c r="HO167" s="32" t="e">
        <f t="shared" si="311"/>
        <v>#N/A</v>
      </c>
      <c r="HP167" s="32" t="e">
        <f t="shared" si="312"/>
        <v>#N/A</v>
      </c>
      <c r="HQ167" s="32" t="b">
        <f t="shared" si="313"/>
        <v>1</v>
      </c>
      <c r="HR167" s="32" t="b">
        <f t="shared" si="314"/>
        <v>0</v>
      </c>
      <c r="HS167" s="32" t="b">
        <f t="shared" si="315"/>
        <v>0</v>
      </c>
      <c r="HT167" s="32" t="b">
        <f t="shared" si="316"/>
        <v>1</v>
      </c>
      <c r="HU167" s="32">
        <f t="shared" si="317"/>
        <v>0.21699479795162491</v>
      </c>
      <c r="HV167" s="32">
        <f t="shared" si="318"/>
        <v>0.21699479795162491</v>
      </c>
      <c r="HW167" s="32" t="e">
        <f t="shared" si="319"/>
        <v>#N/A</v>
      </c>
      <c r="HX167" s="45" t="str">
        <f t="shared" si="320"/>
        <v/>
      </c>
    </row>
    <row r="168" spans="78:232" x14ac:dyDescent="0.2">
      <c r="BZ168" s="32">
        <f t="shared" si="247"/>
        <v>158</v>
      </c>
      <c r="CA168" s="32">
        <f>Eu_tabel_g[[#This Row],[Indeks]]+1</f>
        <v>159</v>
      </c>
      <c r="CB168" s="32">
        <f t="shared" si="248"/>
        <v>0.69470338665788045</v>
      </c>
      <c r="CC168" s="32">
        <f t="shared" si="249"/>
        <v>0.31340940782583288</v>
      </c>
      <c r="CD168" s="32" t="e">
        <f t="shared" si="250"/>
        <v>#N/A</v>
      </c>
      <c r="CE168" s="32" t="e">
        <f t="shared" si="251"/>
        <v>#N/A</v>
      </c>
      <c r="CF168" s="32" t="e">
        <f t="shared" si="252"/>
        <v>#N/A</v>
      </c>
      <c r="CG168" s="32" t="b">
        <f t="shared" si="253"/>
        <v>0</v>
      </c>
      <c r="CH168" s="32" t="b">
        <f t="shared" si="254"/>
        <v>1</v>
      </c>
      <c r="CI168" s="32" t="b">
        <f t="shared" si="255"/>
        <v>0</v>
      </c>
      <c r="CJ168" s="32" t="b">
        <f t="shared" si="256"/>
        <v>1</v>
      </c>
      <c r="CK168" s="32">
        <f t="shared" si="321"/>
        <v>0.31340940782583288</v>
      </c>
      <c r="CL168" s="32" t="e">
        <f t="shared" si="257"/>
        <v>#N/A</v>
      </c>
      <c r="CM168" s="32">
        <f t="shared" si="258"/>
        <v>0.31340940782583288</v>
      </c>
      <c r="CN168" s="45" t="str">
        <f t="shared" si="259"/>
        <v/>
      </c>
      <c r="CO168" s="32">
        <f>_xlfn.NORM.DIST(_xlfn.NORM.INV(1-Eu_g_konfidensniveau,0,1)-Eu_tabel_g[[#This Row],[x base]],0,1,TRUE)</f>
        <v>9.6533122660336992E-3</v>
      </c>
      <c r="CP168" s="32">
        <f>1-_xlfn.NORM.DIST(_xlfn.NORM.INV(Eu_g_konfidensniveau,0,1)-Eu_tabel_g[[#This Row],[x base]],0,1,TRUE)</f>
        <v>0.17101795912522499</v>
      </c>
      <c r="CQ168" s="32">
        <f>_xlfn.NORM.DIST(_xlfn.NORM.INV((1-Eu_g_konfidensniveau)/2,0,1)-Eu_tabel_g[[#This Row],[x base]],0,1,TRUE)+1-_xlfn.NORM.DIST(_xlfn.NORM.INV(1-(1-Eu_g_konfidensniveau)/2,0,1)-Eu_tabel_g[[#This Row],[x base]],0,1,TRUE)</f>
        <v>0.10685829537543157</v>
      </c>
      <c r="CR168" s="32" t="e" cm="1">
        <f t="array" ref="CR168">IF($CR$3,INDEX(Eu_tabel_g[[#This Row],[Styrke venstre]:[Styrke tosidet]],CR$7),NA())</f>
        <v>#N/A</v>
      </c>
      <c r="CS168" s="52" t="e">
        <f>Eu_tabel_g[[#This Row],[Falsk positiv
Nulhypotese accepteres
Fejltype 1]]</f>
        <v>#N/A</v>
      </c>
      <c r="CT168" s="52" t="e">
        <f>IF(CHOOSE(CR$7,Eu_tabel_g[[#This Row],[x base]]&gt;0,Eu_tabel_g[[#This Row],[x base]]&lt;0,Eu_tabel_g[[#This Row],[x base]]=0),Eu_tabel_g[[#This Row],[Styrke, aktiv]],NA())</f>
        <v>#N/A</v>
      </c>
      <c r="CU168" s="52" t="e">
        <f>IFERROR(IF($CR$3,Eu_tabel_g[[#This Row],[Styrke, aktiv]],NA()),NA())</f>
        <v>#N/A</v>
      </c>
      <c r="CV168" s="52" t="e">
        <f>IF(ISNA(Eu_tabel_g[[#This Row],[Sand negativ
Nulhypotese afvises
Korrekt]]),NA(),IF($CR$3,1,NA()))</f>
        <v>#N/A</v>
      </c>
      <c r="CW168" s="34" t="str" cm="1">
        <f t="array" ref="CW168">_xlfn.SWITCH(BZ168,_xlfn.IFNA(CU$2,-99),CU$5,_xlfn.IFNA(CU$3,-99),CU$6,_xlfn.IFNA(CU$4,-99),CU$7,"")</f>
        <v/>
      </c>
      <c r="DA168" s="7">
        <f t="shared" si="260"/>
        <v>0.8</v>
      </c>
      <c r="DB168">
        <f>IF(ROW(Styrkeberegning_G[[#This Row],[X base venstre]])=ROW(Styrkeberegning_G[[#Headers],[X base venstre]])+1,DB$7/(DA$7/$B$67),DB167/(DA167/$B$67))</f>
        <v>-2.8015817870135784</v>
      </c>
      <c r="DC168">
        <f>Styrkeberegning_G[[#This Row],[X base venstre]]*-1</f>
        <v>2.8015817870135784</v>
      </c>
      <c r="DN168" s="32">
        <f t="shared" si="261"/>
        <v>158</v>
      </c>
      <c r="DO168" s="32">
        <f t="shared" si="262"/>
        <v>159</v>
      </c>
      <c r="DP168" s="32">
        <f t="shared" si="263"/>
        <v>19.85704797853985</v>
      </c>
      <c r="DQ168" s="32" t="e">
        <f t="shared" si="264"/>
        <v>#N/A</v>
      </c>
      <c r="DR168" s="32" t="e">
        <f t="shared" si="265"/>
        <v>#N/A</v>
      </c>
      <c r="DS168" s="32">
        <f t="shared" si="266"/>
        <v>1.4262352253349727E-2</v>
      </c>
      <c r="DT168" s="32" t="e">
        <f t="shared" si="267"/>
        <v>#N/A</v>
      </c>
      <c r="DU168" s="32" t="b">
        <f t="shared" si="268"/>
        <v>0</v>
      </c>
      <c r="DV168" s="32" t="b">
        <f t="shared" si="269"/>
        <v>1</v>
      </c>
      <c r="DW168" s="32" t="b">
        <f t="shared" si="270"/>
        <v>0</v>
      </c>
      <c r="DX168" s="32" t="b">
        <f t="shared" si="271"/>
        <v>1</v>
      </c>
      <c r="DY168" s="32">
        <f t="shared" si="272"/>
        <v>1.4262352253349727E-2</v>
      </c>
      <c r="DZ168" s="32" t="e">
        <f t="shared" si="273"/>
        <v>#N/A</v>
      </c>
      <c r="EA168" s="32">
        <f t="shared" si="274"/>
        <v>1.4262352253349727E-2</v>
      </c>
      <c r="EB168" s="45" t="str">
        <f t="shared" si="275"/>
        <v/>
      </c>
      <c r="EG168" s="32">
        <f t="shared" si="276"/>
        <v>158</v>
      </c>
      <c r="EH168" s="32">
        <f t="shared" si="277"/>
        <v>159</v>
      </c>
      <c r="EI168" s="32">
        <f t="shared" si="278"/>
        <v>0.69470338665788045</v>
      </c>
      <c r="EJ168" s="32">
        <f t="shared" si="279"/>
        <v>0.31340940782583288</v>
      </c>
      <c r="EK168" s="32" t="e">
        <f t="shared" si="280"/>
        <v>#N/A</v>
      </c>
      <c r="EL168" s="32" t="e">
        <f t="shared" si="281"/>
        <v>#N/A</v>
      </c>
      <c r="EM168" s="32" t="e">
        <f t="shared" si="282"/>
        <v>#N/A</v>
      </c>
      <c r="EN168" s="32" t="b">
        <f t="shared" si="283"/>
        <v>0</v>
      </c>
      <c r="EO168" s="32" t="b">
        <f t="shared" si="284"/>
        <v>1</v>
      </c>
      <c r="EP168" s="32" t="b">
        <f t="shared" si="285"/>
        <v>0</v>
      </c>
      <c r="EQ168" s="32" t="b">
        <f t="shared" si="286"/>
        <v>1</v>
      </c>
      <c r="ER168" s="32">
        <f t="shared" si="287"/>
        <v>0.31340940782583288</v>
      </c>
      <c r="ES168" s="32" t="e">
        <f t="shared" si="288"/>
        <v>#N/A</v>
      </c>
      <c r="ET168" s="32">
        <f t="shared" si="289"/>
        <v>0.31340940782583288</v>
      </c>
      <c r="EU168" s="45" t="str">
        <f t="shared" si="290"/>
        <v/>
      </c>
      <c r="EV16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8" s="32" t="e" cm="1">
        <f t="array" ref="EY168">IF($CR$3,INDEX(Eu_tabel_a[[#This Row],[Styrke venstre]:[Styrke tosidet]],EY$7),NA())</f>
        <v>#N/A</v>
      </c>
      <c r="EZ168" s="32" t="e">
        <f>IF(EY$3,IF(CHOOSE(EY$7,Eu_tabel_a[[#This Row],[x base]]&gt;0,Eu_tabel_a[[#This Row],[x base]]&lt;0,Eu_tabel_a[[#This Row],[x base]]=0),1,NA()),NA())</f>
        <v>#N/A</v>
      </c>
      <c r="FA168" s="32" t="e">
        <f>IF(CHOOSE(EY$7,Eu_tabel_a[[#This Row],[x base]]&gt;0,Eu_tabel_a[[#This Row],[x base]]&lt;0,Eu_tabel_a[[#This Row],[x base]]=0),Eu_tabel_a[[#This Row],[Styrke, aktiv]],NA())</f>
        <v>#N/A</v>
      </c>
      <c r="FB168" s="32" t="e">
        <f>IFERROR(IF($EY$3,Eu_tabel_a[[#This Row],[Styrke, aktiv]],NA()),NA())</f>
        <v>#N/A</v>
      </c>
      <c r="FC168" s="32" t="e">
        <f>IF(ISNA(Eu_tabel_a[[#This Row],[Sand negativ
Nulhypotese afvises
Korrekt]]),NA(),IF(EY$3,1,NA()))</f>
        <v>#N/A</v>
      </c>
      <c r="FD168" s="33" t="str" cm="1">
        <f t="array" ref="FD168">IFERROR(_xlfn.SWITCH(Eu_tabel_a[[#This Row],[Indeks]],_xlfn.IFNA(FB$2,-99),FB$5,_xlfn.IFNA(FB$3,-99),FB$6,_xlfn.IFNA(FB$4,-99),FB$7,""),"")</f>
        <v/>
      </c>
      <c r="FE168" s="32">
        <f>Eu_tabel_a[[#This Row],[x base]]*SQRT(Eu_a_h0_x*(1-Eu_a_h0_x)/Eu_a_n_x)+Eu_a_h0_x</f>
        <v>0</v>
      </c>
      <c r="FJ168" s="74" t="e">
        <f t="shared" si="234"/>
        <v>#N/A</v>
      </c>
      <c r="FK168" s="82" t="e">
        <f t="shared" si="322"/>
        <v>#DIV/0!</v>
      </c>
      <c r="FL168" s="7" t="e">
        <f t="shared" si="228"/>
        <v>#DIV/0!</v>
      </c>
      <c r="FM168" t="e">
        <f t="shared" si="323"/>
        <v>#DIV/0!</v>
      </c>
      <c r="FN168" s="8" t="e">
        <f t="shared" si="324"/>
        <v>#DIV/0!</v>
      </c>
      <c r="FO168" s="8" t="e">
        <f t="shared" si="325"/>
        <v>#DIV/0!</v>
      </c>
      <c r="FP168" s="81" t="e">
        <f t="shared" si="326"/>
        <v>#DIV/0!</v>
      </c>
      <c r="FQ168" s="74" t="e">
        <f t="shared" ca="1" si="229"/>
        <v>#N/A</v>
      </c>
      <c r="FR168" s="82" t="e" vm="3">
        <f t="shared" ca="1" si="235"/>
        <v>#VALUE!</v>
      </c>
      <c r="FS168" s="7" t="e" vm="3">
        <f t="shared" ca="1" si="230"/>
        <v>#VALUE!</v>
      </c>
      <c r="FT168" t="e" vm="3">
        <f t="shared" ca="1" si="224"/>
        <v>#VALUE!</v>
      </c>
      <c r="FU168" s="8" t="e" vm="3">
        <f t="shared" ca="1" si="225"/>
        <v>#VALUE!</v>
      </c>
      <c r="FV168" s="8" t="e" vm="3">
        <f t="shared" ca="1" si="226"/>
        <v>#VALUE!</v>
      </c>
      <c r="FW168" s="81" t="e" vm="3">
        <f t="shared" ca="1" si="227"/>
        <v>#VALUE!</v>
      </c>
      <c r="FX168" s="74" t="e">
        <f t="shared" si="231"/>
        <v>#N/A</v>
      </c>
      <c r="FY168" s="82" t="e">
        <f t="shared" si="236"/>
        <v>#N/A</v>
      </c>
      <c r="FZ168" s="7" t="e">
        <f t="shared" si="232"/>
        <v>#N/A</v>
      </c>
      <c r="GA168" t="e">
        <f t="shared" si="237"/>
        <v>#N/A</v>
      </c>
      <c r="GB168" s="8" t="e">
        <f t="shared" si="238"/>
        <v>#N/A</v>
      </c>
      <c r="GC168" s="8" t="e">
        <f t="shared" si="239"/>
        <v>#N/A</v>
      </c>
      <c r="GD168" s="81" t="e">
        <f t="shared" si="240"/>
        <v>#N/A</v>
      </c>
      <c r="GE168" s="74" t="e">
        <f t="shared" si="241"/>
        <v>#N/A</v>
      </c>
      <c r="GF168" s="82" t="e">
        <f t="shared" si="242"/>
        <v>#N/A</v>
      </c>
      <c r="GG168" s="7" t="e">
        <f t="shared" si="233"/>
        <v>#N/A</v>
      </c>
      <c r="GH168" t="e">
        <f t="shared" si="243"/>
        <v>#N/A</v>
      </c>
      <c r="GI168" s="8" t="e">
        <f t="shared" si="244"/>
        <v>#N/A</v>
      </c>
      <c r="GJ168" s="8" t="e">
        <f t="shared" si="245"/>
        <v>#N/A</v>
      </c>
      <c r="GK168" s="81" t="e">
        <f t="shared" si="246"/>
        <v>#N/A</v>
      </c>
      <c r="GL168" s="81"/>
      <c r="GM168" s="81"/>
      <c r="GP168" s="32">
        <f t="shared" si="291"/>
        <v>158</v>
      </c>
      <c r="GQ168" s="32">
        <f t="shared" si="292"/>
        <v>159</v>
      </c>
      <c r="GR168" s="32">
        <f t="shared" si="293"/>
        <v>0.69470338665788045</v>
      </c>
      <c r="GS168" s="32">
        <f t="shared" si="294"/>
        <v>0.31340940782583288</v>
      </c>
      <c r="GT168" s="32" t="e">
        <f t="shared" si="295"/>
        <v>#N/A</v>
      </c>
      <c r="GU168" s="32" t="e">
        <f t="shared" si="296"/>
        <v>#N/A</v>
      </c>
      <c r="GV168" s="32" t="e">
        <f t="shared" si="297"/>
        <v>#N/A</v>
      </c>
      <c r="GW168" s="32" t="b">
        <f t="shared" si="298"/>
        <v>0</v>
      </c>
      <c r="GX168" s="32" t="b">
        <f t="shared" si="299"/>
        <v>1</v>
      </c>
      <c r="GY168" s="32" t="b">
        <f t="shared" si="300"/>
        <v>0</v>
      </c>
      <c r="GZ168" s="32" t="b">
        <f t="shared" si="301"/>
        <v>1</v>
      </c>
      <c r="HA168" s="32">
        <f t="shared" si="302"/>
        <v>0.31340940782583288</v>
      </c>
      <c r="HB168" s="32" t="e">
        <f t="shared" si="303"/>
        <v>#N/A</v>
      </c>
      <c r="HC168" s="32">
        <f t="shared" si="304"/>
        <v>0.31340940782583288</v>
      </c>
      <c r="HD168" s="45" t="str">
        <f t="shared" si="305"/>
        <v/>
      </c>
      <c r="HJ168" s="32">
        <f t="shared" si="306"/>
        <v>158</v>
      </c>
      <c r="HK168" s="32">
        <f t="shared" si="307"/>
        <v>159</v>
      </c>
      <c r="HL168" s="32">
        <f t="shared" si="308"/>
        <v>1.0757627847326487</v>
      </c>
      <c r="HM168" s="32" t="e">
        <f t="shared" si="309"/>
        <v>#N/A</v>
      </c>
      <c r="HN168" s="32">
        <f t="shared" si="310"/>
        <v>0.20876843698347805</v>
      </c>
      <c r="HO168" s="32" t="e">
        <f t="shared" si="311"/>
        <v>#N/A</v>
      </c>
      <c r="HP168" s="32" t="e">
        <f t="shared" si="312"/>
        <v>#N/A</v>
      </c>
      <c r="HQ168" s="32" t="b">
        <f t="shared" si="313"/>
        <v>1</v>
      </c>
      <c r="HR168" s="32" t="b">
        <f t="shared" si="314"/>
        <v>0</v>
      </c>
      <c r="HS168" s="32" t="b">
        <f t="shared" si="315"/>
        <v>0</v>
      </c>
      <c r="HT168" s="32" t="b">
        <f t="shared" si="316"/>
        <v>1</v>
      </c>
      <c r="HU168" s="32">
        <f t="shared" si="317"/>
        <v>0.20876843698347805</v>
      </c>
      <c r="HV168" s="32">
        <f t="shared" si="318"/>
        <v>0.20876843698347805</v>
      </c>
      <c r="HW168" s="32" t="e">
        <f t="shared" si="319"/>
        <v>#N/A</v>
      </c>
      <c r="HX168" s="45" t="str">
        <f t="shared" si="320"/>
        <v/>
      </c>
    </row>
    <row r="169" spans="78:232" x14ac:dyDescent="0.2">
      <c r="BZ169" s="32">
        <f t="shared" si="247"/>
        <v>159</v>
      </c>
      <c r="CA169" s="32">
        <f>Eu_tabel_g[[#This Row],[Indeks]]+1</f>
        <v>160</v>
      </c>
      <c r="CB169" s="32">
        <f t="shared" si="248"/>
        <v>0.71865867585297982</v>
      </c>
      <c r="CC169" s="32">
        <f t="shared" si="249"/>
        <v>0.30814843527368829</v>
      </c>
      <c r="CD169" s="32" t="e">
        <f t="shared" si="250"/>
        <v>#N/A</v>
      </c>
      <c r="CE169" s="32" t="e">
        <f t="shared" si="251"/>
        <v>#N/A</v>
      </c>
      <c r="CF169" s="32" t="e">
        <f t="shared" si="252"/>
        <v>#N/A</v>
      </c>
      <c r="CG169" s="32" t="b">
        <f t="shared" si="253"/>
        <v>0</v>
      </c>
      <c r="CH169" s="32" t="b">
        <f t="shared" si="254"/>
        <v>1</v>
      </c>
      <c r="CI169" s="32" t="b">
        <f t="shared" si="255"/>
        <v>0</v>
      </c>
      <c r="CJ169" s="32" t="b">
        <f t="shared" si="256"/>
        <v>1</v>
      </c>
      <c r="CK169" s="32">
        <f t="shared" si="321"/>
        <v>0.30814843527368829</v>
      </c>
      <c r="CL169" s="32" t="e">
        <f t="shared" si="257"/>
        <v>#N/A</v>
      </c>
      <c r="CM169" s="32">
        <f t="shared" si="258"/>
        <v>0.30814843527368829</v>
      </c>
      <c r="CN169" s="45" t="str">
        <f t="shared" si="259"/>
        <v/>
      </c>
      <c r="CO169" s="32">
        <f>_xlfn.NORM.DIST(_xlfn.NORM.INV(1-Eu_g_konfidensniveau,0,1)-Eu_tabel_g[[#This Row],[x base]],0,1,TRUE)</f>
        <v>9.0513127949020684E-3</v>
      </c>
      <c r="CP169" s="32">
        <f>1-_xlfn.NORM.DIST(_xlfn.NORM.INV(Eu_g_konfidensniveau,0,1)-Eu_tabel_g[[#This Row],[x base]],0,1,TRUE)</f>
        <v>0.17717233796114051</v>
      </c>
      <c r="CQ169" s="32">
        <f>_xlfn.NORM.DIST(_xlfn.NORM.INV((1-Eu_g_konfidensniveau)/2,0,1)-Eu_tabel_g[[#This Row],[x base]],0,1,TRUE)+1-_xlfn.NORM.DIST(_xlfn.NORM.INV(1-(1-Eu_g_konfidensniveau)/2,0,1)-Eu_tabel_g[[#This Row],[x base]],0,1,TRUE)</f>
        <v>0.11094277467154023</v>
      </c>
      <c r="CR169" s="32" t="e" cm="1">
        <f t="array" ref="CR169">IF($CR$3,INDEX(Eu_tabel_g[[#This Row],[Styrke venstre]:[Styrke tosidet]],CR$7),NA())</f>
        <v>#N/A</v>
      </c>
      <c r="CS169" s="52" t="e">
        <f>Eu_tabel_g[[#This Row],[Falsk positiv
Nulhypotese accepteres
Fejltype 1]]</f>
        <v>#N/A</v>
      </c>
      <c r="CT169" s="52" t="e">
        <f>IF(CHOOSE(CR$7,Eu_tabel_g[[#This Row],[x base]]&gt;0,Eu_tabel_g[[#This Row],[x base]]&lt;0,Eu_tabel_g[[#This Row],[x base]]=0),Eu_tabel_g[[#This Row],[Styrke, aktiv]],NA())</f>
        <v>#N/A</v>
      </c>
      <c r="CU169" s="52" t="e">
        <f>IFERROR(IF($CR$3,Eu_tabel_g[[#This Row],[Styrke, aktiv]],NA()),NA())</f>
        <v>#N/A</v>
      </c>
      <c r="CV169" s="52" t="e">
        <f>IF(ISNA(Eu_tabel_g[[#This Row],[Sand negativ
Nulhypotese afvises
Korrekt]]),NA(),IF($CR$3,1,NA()))</f>
        <v>#N/A</v>
      </c>
      <c r="CW169" s="34" t="str" cm="1">
        <f t="array" ref="CW169">_xlfn.SWITCH(BZ169,_xlfn.IFNA(CU$2,-99),CU$5,_xlfn.IFNA(CU$3,-99),CU$6,_xlfn.IFNA(CU$4,-99),CU$7,"")</f>
        <v/>
      </c>
      <c r="DA169" s="7">
        <f t="shared" si="260"/>
        <v>0.8</v>
      </c>
      <c r="DB169">
        <f>IF(ROW(Styrkeberegning_G[[#This Row],[X base venstre]])=ROW(Styrkeberegning_G[[#Headers],[X base venstre]])+1,DB$7/(DA$7/$B$67),DB168/(DA168/$B$67))</f>
        <v>-2.8015817870135784</v>
      </c>
      <c r="DC169">
        <f>Styrkeberegning_G[[#This Row],[X base venstre]]*-1</f>
        <v>2.8015817870135784</v>
      </c>
      <c r="DN169" s="32">
        <f t="shared" si="261"/>
        <v>159</v>
      </c>
      <c r="DO169" s="32">
        <f t="shared" si="262"/>
        <v>160</v>
      </c>
      <c r="DP169" s="32">
        <f t="shared" si="263"/>
        <v>19.971118834956851</v>
      </c>
      <c r="DQ169" s="32" t="e">
        <f t="shared" si="264"/>
        <v>#N/A</v>
      </c>
      <c r="DR169" s="32" t="e">
        <f t="shared" si="265"/>
        <v>#N/A</v>
      </c>
      <c r="DS169" s="32">
        <f t="shared" si="266"/>
        <v>1.3823425778801282E-2</v>
      </c>
      <c r="DT169" s="32" t="e">
        <f t="shared" si="267"/>
        <v>#N/A</v>
      </c>
      <c r="DU169" s="32" t="b">
        <f t="shared" si="268"/>
        <v>0</v>
      </c>
      <c r="DV169" s="32" t="b">
        <f t="shared" si="269"/>
        <v>1</v>
      </c>
      <c r="DW169" s="32" t="b">
        <f t="shared" si="270"/>
        <v>0</v>
      </c>
      <c r="DX169" s="32" t="b">
        <f t="shared" si="271"/>
        <v>1</v>
      </c>
      <c r="DY169" s="32">
        <f t="shared" si="272"/>
        <v>1.3823425778801282E-2</v>
      </c>
      <c r="DZ169" s="32" t="e">
        <f t="shared" si="273"/>
        <v>#N/A</v>
      </c>
      <c r="EA169" s="32">
        <f t="shared" si="274"/>
        <v>1.3823425778801282E-2</v>
      </c>
      <c r="EB169" s="45" t="str">
        <f t="shared" si="275"/>
        <v/>
      </c>
      <c r="EG169" s="32">
        <f t="shared" si="276"/>
        <v>159</v>
      </c>
      <c r="EH169" s="32">
        <f t="shared" si="277"/>
        <v>160</v>
      </c>
      <c r="EI169" s="32">
        <f t="shared" si="278"/>
        <v>0.71865867585297982</v>
      </c>
      <c r="EJ169" s="32">
        <f t="shared" si="279"/>
        <v>0.30814843527368829</v>
      </c>
      <c r="EK169" s="32" t="e">
        <f t="shared" si="280"/>
        <v>#N/A</v>
      </c>
      <c r="EL169" s="32" t="e">
        <f t="shared" si="281"/>
        <v>#N/A</v>
      </c>
      <c r="EM169" s="32" t="e">
        <f t="shared" si="282"/>
        <v>#N/A</v>
      </c>
      <c r="EN169" s="32" t="b">
        <f t="shared" si="283"/>
        <v>0</v>
      </c>
      <c r="EO169" s="32" t="b">
        <f t="shared" si="284"/>
        <v>1</v>
      </c>
      <c r="EP169" s="32" t="b">
        <f t="shared" si="285"/>
        <v>0</v>
      </c>
      <c r="EQ169" s="32" t="b">
        <f t="shared" si="286"/>
        <v>1</v>
      </c>
      <c r="ER169" s="32">
        <f t="shared" si="287"/>
        <v>0.30814843527368829</v>
      </c>
      <c r="ES169" s="32" t="e">
        <f t="shared" si="288"/>
        <v>#N/A</v>
      </c>
      <c r="ET169" s="32">
        <f t="shared" si="289"/>
        <v>0.30814843527368829</v>
      </c>
      <c r="EU169" s="45" t="str">
        <f t="shared" si="290"/>
        <v/>
      </c>
      <c r="EV16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9" s="32" t="e" cm="1">
        <f t="array" ref="EY169">IF($CR$3,INDEX(Eu_tabel_a[[#This Row],[Styrke venstre]:[Styrke tosidet]],EY$7),NA())</f>
        <v>#N/A</v>
      </c>
      <c r="EZ169" s="32" t="e">
        <f>IF(EY$3,IF(CHOOSE(EY$7,Eu_tabel_a[[#This Row],[x base]]&gt;0,Eu_tabel_a[[#This Row],[x base]]&lt;0,Eu_tabel_a[[#This Row],[x base]]=0),1,NA()),NA())</f>
        <v>#N/A</v>
      </c>
      <c r="FA169" s="32" t="e">
        <f>IF(CHOOSE(EY$7,Eu_tabel_a[[#This Row],[x base]]&gt;0,Eu_tabel_a[[#This Row],[x base]]&lt;0,Eu_tabel_a[[#This Row],[x base]]=0),Eu_tabel_a[[#This Row],[Styrke, aktiv]],NA())</f>
        <v>#N/A</v>
      </c>
      <c r="FB169" s="32" t="e">
        <f>IFERROR(IF($EY$3,Eu_tabel_a[[#This Row],[Styrke, aktiv]],NA()),NA())</f>
        <v>#N/A</v>
      </c>
      <c r="FC169" s="32" t="e">
        <f>IF(ISNA(Eu_tabel_a[[#This Row],[Sand negativ
Nulhypotese afvises
Korrekt]]),NA(),IF(EY$3,1,NA()))</f>
        <v>#N/A</v>
      </c>
      <c r="FD169" s="33" t="str" cm="1">
        <f t="array" ref="FD169">IFERROR(_xlfn.SWITCH(Eu_tabel_a[[#This Row],[Indeks]],_xlfn.IFNA(FB$2,-99),FB$5,_xlfn.IFNA(FB$3,-99),FB$6,_xlfn.IFNA(FB$4,-99),FB$7,""),"")</f>
        <v/>
      </c>
      <c r="FE169" s="32">
        <f>Eu_tabel_a[[#This Row],[x base]]*SQRT(Eu_a_h0_x*(1-Eu_a_h0_x)/Eu_a_n_x)+Eu_a_h0_x</f>
        <v>0</v>
      </c>
      <c r="FJ169" s="74" t="e">
        <f t="shared" si="234"/>
        <v>#N/A</v>
      </c>
      <c r="FK169" s="82" t="e">
        <f t="shared" si="322"/>
        <v>#DIV/0!</v>
      </c>
      <c r="FL169" s="7" t="e">
        <f t="shared" si="228"/>
        <v>#DIV/0!</v>
      </c>
      <c r="FM169" t="e">
        <f t="shared" si="323"/>
        <v>#DIV/0!</v>
      </c>
      <c r="FN169" s="8" t="e">
        <f t="shared" si="324"/>
        <v>#DIV/0!</v>
      </c>
      <c r="FO169" s="8" t="e">
        <f t="shared" si="325"/>
        <v>#DIV/0!</v>
      </c>
      <c r="FP169" s="81" t="e">
        <f t="shared" si="326"/>
        <v>#DIV/0!</v>
      </c>
      <c r="FQ169" s="74" t="e">
        <f t="shared" ca="1" si="229"/>
        <v>#N/A</v>
      </c>
      <c r="FR169" s="82" t="e" vm="3">
        <f t="shared" ca="1" si="235"/>
        <v>#VALUE!</v>
      </c>
      <c r="FS169" s="7" t="e" vm="3">
        <f t="shared" ca="1" si="230"/>
        <v>#VALUE!</v>
      </c>
      <c r="FT169" t="e" vm="3">
        <f t="shared" ca="1" si="224"/>
        <v>#VALUE!</v>
      </c>
      <c r="FU169" s="8" t="e" vm="3">
        <f t="shared" ca="1" si="225"/>
        <v>#VALUE!</v>
      </c>
      <c r="FV169" s="8" t="e" vm="3">
        <f t="shared" ca="1" si="226"/>
        <v>#VALUE!</v>
      </c>
      <c r="FW169" s="81" t="e" vm="3">
        <f t="shared" ca="1" si="227"/>
        <v>#VALUE!</v>
      </c>
      <c r="FX169" s="74" t="e">
        <f t="shared" si="231"/>
        <v>#N/A</v>
      </c>
      <c r="FY169" s="82" t="e">
        <f t="shared" si="236"/>
        <v>#N/A</v>
      </c>
      <c r="FZ169" s="7" t="e">
        <f t="shared" si="232"/>
        <v>#N/A</v>
      </c>
      <c r="GA169" t="e">
        <f t="shared" si="237"/>
        <v>#N/A</v>
      </c>
      <c r="GB169" s="8" t="e">
        <f t="shared" si="238"/>
        <v>#N/A</v>
      </c>
      <c r="GC169" s="8" t="e">
        <f t="shared" si="239"/>
        <v>#N/A</v>
      </c>
      <c r="GD169" s="81" t="e">
        <f t="shared" si="240"/>
        <v>#N/A</v>
      </c>
      <c r="GE169" s="74" t="e">
        <f t="shared" si="241"/>
        <v>#N/A</v>
      </c>
      <c r="GF169" s="82" t="e">
        <f t="shared" si="242"/>
        <v>#N/A</v>
      </c>
      <c r="GG169" s="7" t="e">
        <f t="shared" si="233"/>
        <v>#N/A</v>
      </c>
      <c r="GH169" t="e">
        <f t="shared" si="243"/>
        <v>#N/A</v>
      </c>
      <c r="GI169" s="8" t="e">
        <f t="shared" si="244"/>
        <v>#N/A</v>
      </c>
      <c r="GJ169" s="8" t="e">
        <f t="shared" si="245"/>
        <v>#N/A</v>
      </c>
      <c r="GK169" s="81" t="e">
        <f t="shared" si="246"/>
        <v>#N/A</v>
      </c>
      <c r="GL169" s="81"/>
      <c r="GM169" s="81"/>
      <c r="GP169" s="32">
        <f t="shared" si="291"/>
        <v>159</v>
      </c>
      <c r="GQ169" s="32">
        <f t="shared" si="292"/>
        <v>160</v>
      </c>
      <c r="GR169" s="32">
        <f t="shared" si="293"/>
        <v>0.71865867585297982</v>
      </c>
      <c r="GS169" s="32">
        <f t="shared" si="294"/>
        <v>0.30814843527368829</v>
      </c>
      <c r="GT169" s="32" t="e">
        <f t="shared" si="295"/>
        <v>#N/A</v>
      </c>
      <c r="GU169" s="32" t="e">
        <f t="shared" si="296"/>
        <v>#N/A</v>
      </c>
      <c r="GV169" s="32" t="e">
        <f t="shared" si="297"/>
        <v>#N/A</v>
      </c>
      <c r="GW169" s="32" t="b">
        <f t="shared" si="298"/>
        <v>0</v>
      </c>
      <c r="GX169" s="32" t="b">
        <f t="shared" si="299"/>
        <v>1</v>
      </c>
      <c r="GY169" s="32" t="b">
        <f t="shared" si="300"/>
        <v>0</v>
      </c>
      <c r="GZ169" s="32" t="b">
        <f t="shared" si="301"/>
        <v>1</v>
      </c>
      <c r="HA169" s="32">
        <f t="shared" si="302"/>
        <v>0.30814843527368829</v>
      </c>
      <c r="HB169" s="32" t="e">
        <f t="shared" si="303"/>
        <v>#N/A</v>
      </c>
      <c r="HC169" s="32">
        <f t="shared" si="304"/>
        <v>0.30814843527368829</v>
      </c>
      <c r="HD169" s="45" t="str">
        <f t="shared" si="305"/>
        <v/>
      </c>
      <c r="HJ169" s="32">
        <f t="shared" si="306"/>
        <v>159</v>
      </c>
      <c r="HK169" s="32">
        <f t="shared" si="307"/>
        <v>160</v>
      </c>
      <c r="HL169" s="32">
        <f t="shared" si="308"/>
        <v>1.1128580531717054</v>
      </c>
      <c r="HM169" s="32" t="e">
        <f t="shared" si="309"/>
        <v>#N/A</v>
      </c>
      <c r="HN169" s="32">
        <f t="shared" si="310"/>
        <v>0.20065988647559618</v>
      </c>
      <c r="HO169" s="32" t="e">
        <f t="shared" si="311"/>
        <v>#N/A</v>
      </c>
      <c r="HP169" s="32" t="e">
        <f t="shared" si="312"/>
        <v>#N/A</v>
      </c>
      <c r="HQ169" s="32" t="b">
        <f t="shared" si="313"/>
        <v>1</v>
      </c>
      <c r="HR169" s="32" t="b">
        <f t="shared" si="314"/>
        <v>0</v>
      </c>
      <c r="HS169" s="32" t="b">
        <f t="shared" si="315"/>
        <v>0</v>
      </c>
      <c r="HT169" s="32" t="b">
        <f t="shared" si="316"/>
        <v>1</v>
      </c>
      <c r="HU169" s="32">
        <f t="shared" si="317"/>
        <v>0.20065988647559618</v>
      </c>
      <c r="HV169" s="32">
        <f t="shared" si="318"/>
        <v>0.20065988647559618</v>
      </c>
      <c r="HW169" s="32" t="e">
        <f t="shared" si="319"/>
        <v>#N/A</v>
      </c>
      <c r="HX169" s="45" t="str">
        <f t="shared" si="320"/>
        <v/>
      </c>
    </row>
    <row r="170" spans="78:232" x14ac:dyDescent="0.2">
      <c r="BZ170" s="32">
        <f t="shared" si="247"/>
        <v>160</v>
      </c>
      <c r="CA170" s="32">
        <f>Eu_tabel_g[[#This Row],[Indeks]]+1</f>
        <v>161</v>
      </c>
      <c r="CB170" s="32">
        <f t="shared" si="248"/>
        <v>0.74261396504807919</v>
      </c>
      <c r="CC170" s="32">
        <f t="shared" si="249"/>
        <v>0.30280196023421319</v>
      </c>
      <c r="CD170" s="32" t="e">
        <f t="shared" si="250"/>
        <v>#N/A</v>
      </c>
      <c r="CE170" s="32" t="e">
        <f t="shared" si="251"/>
        <v>#N/A</v>
      </c>
      <c r="CF170" s="32" t="e">
        <f t="shared" si="252"/>
        <v>#N/A</v>
      </c>
      <c r="CG170" s="32" t="b">
        <f t="shared" si="253"/>
        <v>0</v>
      </c>
      <c r="CH170" s="32" t="b">
        <f t="shared" si="254"/>
        <v>1</v>
      </c>
      <c r="CI170" s="32" t="b">
        <f t="shared" si="255"/>
        <v>0</v>
      </c>
      <c r="CJ170" s="32" t="b">
        <f t="shared" si="256"/>
        <v>1</v>
      </c>
      <c r="CK170" s="32">
        <f t="shared" si="321"/>
        <v>0.30280196023421319</v>
      </c>
      <c r="CL170" s="32" t="e">
        <f t="shared" si="257"/>
        <v>#N/A</v>
      </c>
      <c r="CM170" s="32">
        <f t="shared" si="258"/>
        <v>0.30280196023421319</v>
      </c>
      <c r="CN170" s="45" t="str">
        <f t="shared" si="259"/>
        <v/>
      </c>
      <c r="CO170" s="32">
        <f>_xlfn.NORM.DIST(_xlfn.NORM.INV(1-Eu_g_konfidensniveau,0,1)-Eu_tabel_g[[#This Row],[x base]],0,1,TRUE)</f>
        <v>8.4824492137562831E-3</v>
      </c>
      <c r="CP170" s="32">
        <f>1-_xlfn.NORM.DIST(_xlfn.NORM.INV(Eu_g_konfidensniveau,0,1)-Eu_tabel_g[[#This Row],[x base]],0,1,TRUE)</f>
        <v>0.18346478506147446</v>
      </c>
      <c r="CQ170" s="32">
        <f>_xlfn.NORM.DIST(_xlfn.NORM.INV((1-Eu_g_konfidensniveau)/2,0,1)-Eu_tabel_g[[#This Row],[x base]],0,1,TRUE)+1-_xlfn.NORM.DIST(_xlfn.NORM.INV(1-(1-Eu_g_konfidensniveau)/2,0,1)-Eu_tabel_g[[#This Row],[x base]],0,1,TRUE)</f>
        <v>0.11517573781410362</v>
      </c>
      <c r="CR170" s="32" t="e" cm="1">
        <f t="array" ref="CR170">IF($CR$3,INDEX(Eu_tabel_g[[#This Row],[Styrke venstre]:[Styrke tosidet]],CR$7),NA())</f>
        <v>#N/A</v>
      </c>
      <c r="CS170" s="52" t="e">
        <f>Eu_tabel_g[[#This Row],[Falsk positiv
Nulhypotese accepteres
Fejltype 1]]</f>
        <v>#N/A</v>
      </c>
      <c r="CT170" s="52" t="e">
        <f>IF(CHOOSE(CR$7,Eu_tabel_g[[#This Row],[x base]]&gt;0,Eu_tabel_g[[#This Row],[x base]]&lt;0,Eu_tabel_g[[#This Row],[x base]]=0),Eu_tabel_g[[#This Row],[Styrke, aktiv]],NA())</f>
        <v>#N/A</v>
      </c>
      <c r="CU170" s="52" t="e">
        <f>IFERROR(IF($CR$3,Eu_tabel_g[[#This Row],[Styrke, aktiv]],NA()),NA())</f>
        <v>#N/A</v>
      </c>
      <c r="CV170" s="52" t="e">
        <f>IF(ISNA(Eu_tabel_g[[#This Row],[Sand negativ
Nulhypotese afvises
Korrekt]]),NA(),IF($CR$3,1,NA()))</f>
        <v>#N/A</v>
      </c>
      <c r="CW170" s="34" t="str" cm="1">
        <f t="array" ref="CW170">_xlfn.SWITCH(BZ170,_xlfn.IFNA(CU$2,-99),CU$5,_xlfn.IFNA(CU$3,-99),CU$6,_xlfn.IFNA(CU$4,-99),CU$7,"")</f>
        <v/>
      </c>
      <c r="DA170" s="7">
        <f t="shared" si="260"/>
        <v>0.8</v>
      </c>
      <c r="DB170">
        <f>IF(ROW(Styrkeberegning_G[[#This Row],[X base venstre]])=ROW(Styrkeberegning_G[[#Headers],[X base venstre]])+1,DB$7/(DA$7/$B$67),DB169/(DA169/$B$67))</f>
        <v>-2.8015817870135784</v>
      </c>
      <c r="DC170">
        <f>Styrkeberegning_G[[#This Row],[X base venstre]]*-1</f>
        <v>2.8015817870135784</v>
      </c>
      <c r="DN170" s="32">
        <f t="shared" si="261"/>
        <v>160</v>
      </c>
      <c r="DO170" s="32">
        <f t="shared" si="262"/>
        <v>161</v>
      </c>
      <c r="DP170" s="32">
        <f t="shared" si="263"/>
        <v>20.085189691373852</v>
      </c>
      <c r="DQ170" s="32" t="e">
        <f t="shared" si="264"/>
        <v>#N/A</v>
      </c>
      <c r="DR170" s="32" t="e">
        <f t="shared" si="265"/>
        <v>#N/A</v>
      </c>
      <c r="DS170" s="32">
        <f t="shared" si="266"/>
        <v>1.3396040490129536E-2</v>
      </c>
      <c r="DT170" s="32" t="e">
        <f t="shared" si="267"/>
        <v>#N/A</v>
      </c>
      <c r="DU170" s="32" t="b">
        <f t="shared" si="268"/>
        <v>0</v>
      </c>
      <c r="DV170" s="32" t="b">
        <f t="shared" si="269"/>
        <v>1</v>
      </c>
      <c r="DW170" s="32" t="b">
        <f t="shared" si="270"/>
        <v>0</v>
      </c>
      <c r="DX170" s="32" t="b">
        <f t="shared" si="271"/>
        <v>1</v>
      </c>
      <c r="DY170" s="32">
        <f t="shared" si="272"/>
        <v>1.3396040490129536E-2</v>
      </c>
      <c r="DZ170" s="32" t="e">
        <f t="shared" si="273"/>
        <v>#N/A</v>
      </c>
      <c r="EA170" s="32">
        <f t="shared" si="274"/>
        <v>1.3396040490129536E-2</v>
      </c>
      <c r="EB170" s="45" t="str">
        <f t="shared" si="275"/>
        <v/>
      </c>
      <c r="EG170" s="32">
        <f t="shared" si="276"/>
        <v>160</v>
      </c>
      <c r="EH170" s="32">
        <f t="shared" si="277"/>
        <v>161</v>
      </c>
      <c r="EI170" s="32">
        <f t="shared" si="278"/>
        <v>0.74261396504807919</v>
      </c>
      <c r="EJ170" s="32">
        <f t="shared" si="279"/>
        <v>0.30280196023421319</v>
      </c>
      <c r="EK170" s="32" t="e">
        <f t="shared" si="280"/>
        <v>#N/A</v>
      </c>
      <c r="EL170" s="32" t="e">
        <f t="shared" si="281"/>
        <v>#N/A</v>
      </c>
      <c r="EM170" s="32" t="e">
        <f t="shared" si="282"/>
        <v>#N/A</v>
      </c>
      <c r="EN170" s="32" t="b">
        <f t="shared" si="283"/>
        <v>0</v>
      </c>
      <c r="EO170" s="32" t="b">
        <f t="shared" si="284"/>
        <v>1</v>
      </c>
      <c r="EP170" s="32" t="b">
        <f t="shared" si="285"/>
        <v>0</v>
      </c>
      <c r="EQ170" s="32" t="b">
        <f t="shared" si="286"/>
        <v>1</v>
      </c>
      <c r="ER170" s="32">
        <f t="shared" si="287"/>
        <v>0.30280196023421319</v>
      </c>
      <c r="ES170" s="32" t="e">
        <f t="shared" si="288"/>
        <v>#N/A</v>
      </c>
      <c r="ET170" s="32">
        <f t="shared" si="289"/>
        <v>0.30280196023421319</v>
      </c>
      <c r="EU170" s="45" t="str">
        <f t="shared" si="290"/>
        <v/>
      </c>
      <c r="EV17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0" s="32" t="e" cm="1">
        <f t="array" ref="EY170">IF($CR$3,INDEX(Eu_tabel_a[[#This Row],[Styrke venstre]:[Styrke tosidet]],EY$7),NA())</f>
        <v>#N/A</v>
      </c>
      <c r="EZ170" s="32" t="e">
        <f>IF(EY$3,IF(CHOOSE(EY$7,Eu_tabel_a[[#This Row],[x base]]&gt;0,Eu_tabel_a[[#This Row],[x base]]&lt;0,Eu_tabel_a[[#This Row],[x base]]=0),1,NA()),NA())</f>
        <v>#N/A</v>
      </c>
      <c r="FA170" s="32" t="e">
        <f>IF(CHOOSE(EY$7,Eu_tabel_a[[#This Row],[x base]]&gt;0,Eu_tabel_a[[#This Row],[x base]]&lt;0,Eu_tabel_a[[#This Row],[x base]]=0),Eu_tabel_a[[#This Row],[Styrke, aktiv]],NA())</f>
        <v>#N/A</v>
      </c>
      <c r="FB170" s="32" t="e">
        <f>IFERROR(IF($EY$3,Eu_tabel_a[[#This Row],[Styrke, aktiv]],NA()),NA())</f>
        <v>#N/A</v>
      </c>
      <c r="FC170" s="32" t="e">
        <f>IF(ISNA(Eu_tabel_a[[#This Row],[Sand negativ
Nulhypotese afvises
Korrekt]]),NA(),IF(EY$3,1,NA()))</f>
        <v>#N/A</v>
      </c>
      <c r="FD170" s="33" t="str" cm="1">
        <f t="array" ref="FD170">IFERROR(_xlfn.SWITCH(Eu_tabel_a[[#This Row],[Indeks]],_xlfn.IFNA(FB$2,-99),FB$5,_xlfn.IFNA(FB$3,-99),FB$6,_xlfn.IFNA(FB$4,-99),FB$7,""),"")</f>
        <v/>
      </c>
      <c r="FE170" s="32">
        <f>Eu_tabel_a[[#This Row],[x base]]*SQRT(Eu_a_h0_x*(1-Eu_a_h0_x)/Eu_a_n_x)+Eu_a_h0_x</f>
        <v>0</v>
      </c>
      <c r="FJ170" s="74" t="e">
        <f t="shared" si="234"/>
        <v>#N/A</v>
      </c>
      <c r="FK170" s="82" t="e">
        <f t="shared" si="322"/>
        <v>#DIV/0!</v>
      </c>
      <c r="FL170" s="7" t="e">
        <f t="shared" si="228"/>
        <v>#DIV/0!</v>
      </c>
      <c r="FM170" t="e">
        <f t="shared" si="323"/>
        <v>#DIV/0!</v>
      </c>
      <c r="FN170" s="8" t="e">
        <f t="shared" si="324"/>
        <v>#DIV/0!</v>
      </c>
      <c r="FO170" s="8" t="e">
        <f t="shared" si="325"/>
        <v>#DIV/0!</v>
      </c>
      <c r="FP170" s="81" t="e">
        <f t="shared" si="326"/>
        <v>#DIV/0!</v>
      </c>
      <c r="FQ170" s="74" t="e">
        <f t="shared" ca="1" si="229"/>
        <v>#N/A</v>
      </c>
      <c r="FR170" s="82" t="e" vm="3">
        <f t="shared" ca="1" si="235"/>
        <v>#VALUE!</v>
      </c>
      <c r="FS170" s="7" t="e" vm="3">
        <f t="shared" ca="1" si="230"/>
        <v>#VALUE!</v>
      </c>
      <c r="FT170" t="e" vm="3">
        <f t="shared" ca="1" si="224"/>
        <v>#VALUE!</v>
      </c>
      <c r="FU170" s="8" t="e" vm="3">
        <f t="shared" ca="1" si="225"/>
        <v>#VALUE!</v>
      </c>
      <c r="FV170" s="8" t="e" vm="3">
        <f t="shared" ca="1" si="226"/>
        <v>#VALUE!</v>
      </c>
      <c r="FW170" s="81" t="e" vm="3">
        <f t="shared" ca="1" si="227"/>
        <v>#VALUE!</v>
      </c>
      <c r="FX170" s="74" t="e">
        <f t="shared" si="231"/>
        <v>#N/A</v>
      </c>
      <c r="FY170" s="82" t="e">
        <f t="shared" si="236"/>
        <v>#N/A</v>
      </c>
      <c r="FZ170" s="7" t="e">
        <f t="shared" si="232"/>
        <v>#N/A</v>
      </c>
      <c r="GA170" t="e">
        <f t="shared" si="237"/>
        <v>#N/A</v>
      </c>
      <c r="GB170" s="8" t="e">
        <f t="shared" si="238"/>
        <v>#N/A</v>
      </c>
      <c r="GC170" s="8" t="e">
        <f t="shared" si="239"/>
        <v>#N/A</v>
      </c>
      <c r="GD170" s="81" t="e">
        <f t="shared" si="240"/>
        <v>#N/A</v>
      </c>
      <c r="GE170" s="74" t="e">
        <f t="shared" si="241"/>
        <v>#N/A</v>
      </c>
      <c r="GF170" s="82" t="e">
        <f t="shared" si="242"/>
        <v>#N/A</v>
      </c>
      <c r="GG170" s="7" t="e">
        <f t="shared" si="233"/>
        <v>#N/A</v>
      </c>
      <c r="GH170" t="e">
        <f t="shared" si="243"/>
        <v>#N/A</v>
      </c>
      <c r="GI170" s="8" t="e">
        <f t="shared" si="244"/>
        <v>#N/A</v>
      </c>
      <c r="GJ170" s="8" t="e">
        <f t="shared" si="245"/>
        <v>#N/A</v>
      </c>
      <c r="GK170" s="81" t="e">
        <f t="shared" si="246"/>
        <v>#N/A</v>
      </c>
      <c r="GL170" s="81"/>
      <c r="GM170" s="81"/>
      <c r="GP170" s="32">
        <f t="shared" si="291"/>
        <v>160</v>
      </c>
      <c r="GQ170" s="32">
        <f t="shared" si="292"/>
        <v>161</v>
      </c>
      <c r="GR170" s="32">
        <f t="shared" si="293"/>
        <v>0.74261396504807919</v>
      </c>
      <c r="GS170" s="32">
        <f t="shared" si="294"/>
        <v>0.30280196023421319</v>
      </c>
      <c r="GT170" s="32" t="e">
        <f t="shared" si="295"/>
        <v>#N/A</v>
      </c>
      <c r="GU170" s="32" t="e">
        <f t="shared" si="296"/>
        <v>#N/A</v>
      </c>
      <c r="GV170" s="32" t="e">
        <f t="shared" si="297"/>
        <v>#N/A</v>
      </c>
      <c r="GW170" s="32" t="b">
        <f t="shared" si="298"/>
        <v>0</v>
      </c>
      <c r="GX170" s="32" t="b">
        <f t="shared" si="299"/>
        <v>1</v>
      </c>
      <c r="GY170" s="32" t="b">
        <f t="shared" si="300"/>
        <v>0</v>
      </c>
      <c r="GZ170" s="32" t="b">
        <f t="shared" si="301"/>
        <v>1</v>
      </c>
      <c r="HA170" s="32">
        <f t="shared" si="302"/>
        <v>0.30280196023421319</v>
      </c>
      <c r="HB170" s="32" t="e">
        <f t="shared" si="303"/>
        <v>#N/A</v>
      </c>
      <c r="HC170" s="32">
        <f t="shared" si="304"/>
        <v>0.30280196023421319</v>
      </c>
      <c r="HD170" s="45" t="str">
        <f t="shared" si="305"/>
        <v/>
      </c>
      <c r="HJ170" s="32">
        <f t="shared" si="306"/>
        <v>160</v>
      </c>
      <c r="HK170" s="32">
        <f t="shared" si="307"/>
        <v>161</v>
      </c>
      <c r="HL170" s="32">
        <f t="shared" si="308"/>
        <v>1.1499533216107629</v>
      </c>
      <c r="HM170" s="32" t="e">
        <f t="shared" si="309"/>
        <v>#N/A</v>
      </c>
      <c r="HN170" s="32">
        <f t="shared" si="310"/>
        <v>0.19268612352727185</v>
      </c>
      <c r="HO170" s="32" t="e">
        <f t="shared" si="311"/>
        <v>#N/A</v>
      </c>
      <c r="HP170" s="32" t="e">
        <f t="shared" si="312"/>
        <v>#N/A</v>
      </c>
      <c r="HQ170" s="32" t="b">
        <f t="shared" si="313"/>
        <v>1</v>
      </c>
      <c r="HR170" s="32" t="b">
        <f t="shared" si="314"/>
        <v>0</v>
      </c>
      <c r="HS170" s="32" t="b">
        <f t="shared" si="315"/>
        <v>0</v>
      </c>
      <c r="HT170" s="32" t="b">
        <f t="shared" si="316"/>
        <v>1</v>
      </c>
      <c r="HU170" s="32">
        <f t="shared" si="317"/>
        <v>0.19268612352727185</v>
      </c>
      <c r="HV170" s="32">
        <f t="shared" si="318"/>
        <v>0.19268612352727185</v>
      </c>
      <c r="HW170" s="32" t="e">
        <f t="shared" si="319"/>
        <v>#N/A</v>
      </c>
      <c r="HX170" s="45" t="str">
        <f t="shared" si="320"/>
        <v/>
      </c>
    </row>
    <row r="171" spans="78:232" x14ac:dyDescent="0.2">
      <c r="BZ171" s="32">
        <f t="shared" si="247"/>
        <v>161</v>
      </c>
      <c r="CA171" s="32">
        <f>Eu_tabel_g[[#This Row],[Indeks]]+1</f>
        <v>162</v>
      </c>
      <c r="CB171" s="32">
        <f t="shared" si="248"/>
        <v>0.76656925424317857</v>
      </c>
      <c r="CC171" s="32">
        <f t="shared" si="249"/>
        <v>0.29737754743782796</v>
      </c>
      <c r="CD171" s="32" t="e">
        <f t="shared" si="250"/>
        <v>#N/A</v>
      </c>
      <c r="CE171" s="32" t="e">
        <f t="shared" si="251"/>
        <v>#N/A</v>
      </c>
      <c r="CF171" s="32" t="e">
        <f t="shared" si="252"/>
        <v>#N/A</v>
      </c>
      <c r="CG171" s="32" t="b">
        <f t="shared" si="253"/>
        <v>0</v>
      </c>
      <c r="CH171" s="32" t="b">
        <f t="shared" si="254"/>
        <v>1</v>
      </c>
      <c r="CI171" s="32" t="b">
        <f t="shared" si="255"/>
        <v>0</v>
      </c>
      <c r="CJ171" s="32" t="b">
        <f t="shared" si="256"/>
        <v>1</v>
      </c>
      <c r="CK171" s="32">
        <f t="shared" si="321"/>
        <v>0.29737754743782796</v>
      </c>
      <c r="CL171" s="32" t="e">
        <f t="shared" si="257"/>
        <v>#N/A</v>
      </c>
      <c r="CM171" s="32">
        <f t="shared" si="258"/>
        <v>0.29737754743782796</v>
      </c>
      <c r="CN171" s="45" t="str">
        <f t="shared" si="259"/>
        <v/>
      </c>
      <c r="CO171" s="32">
        <f>_xlfn.NORM.DIST(_xlfn.NORM.INV(1-Eu_g_konfidensniveau,0,1)-Eu_tabel_g[[#This Row],[x base]],0,1,TRUE)</f>
        <v>7.9452059958896593E-3</v>
      </c>
      <c r="CP171" s="32">
        <f>1-_xlfn.NORM.DIST(_xlfn.NORM.INV(Eu_g_konfidensniveau,0,1)-Eu_tabel_g[[#This Row],[x base]],0,1,TRUE)</f>
        <v>0.1898947071395547</v>
      </c>
      <c r="CQ171" s="32">
        <f>_xlfn.NORM.DIST(_xlfn.NORM.INV((1-Eu_g_konfidensniveau)/2,0,1)-Eu_tabel_g[[#This Row],[x base]],0,1,TRUE)+1-_xlfn.NORM.DIST(_xlfn.NORM.INV(1-(1-Eu_g_konfidensniveau)/2,0,1)-Eu_tabel_g[[#This Row],[x base]],0,1,TRUE)</f>
        <v>0.11955758421374829</v>
      </c>
      <c r="CR171" s="32" t="e" cm="1">
        <f t="array" ref="CR171">IF($CR$3,INDEX(Eu_tabel_g[[#This Row],[Styrke venstre]:[Styrke tosidet]],CR$7),NA())</f>
        <v>#N/A</v>
      </c>
      <c r="CS171" s="52" t="e">
        <f>Eu_tabel_g[[#This Row],[Falsk positiv
Nulhypotese accepteres
Fejltype 1]]</f>
        <v>#N/A</v>
      </c>
      <c r="CT171" s="52" t="e">
        <f>IF(CHOOSE(CR$7,Eu_tabel_g[[#This Row],[x base]]&gt;0,Eu_tabel_g[[#This Row],[x base]]&lt;0,Eu_tabel_g[[#This Row],[x base]]=0),Eu_tabel_g[[#This Row],[Styrke, aktiv]],NA())</f>
        <v>#N/A</v>
      </c>
      <c r="CU171" s="52" t="e">
        <f>IFERROR(IF($CR$3,Eu_tabel_g[[#This Row],[Styrke, aktiv]],NA()),NA())</f>
        <v>#N/A</v>
      </c>
      <c r="CV171" s="52" t="e">
        <f>IF(ISNA(Eu_tabel_g[[#This Row],[Sand negativ
Nulhypotese afvises
Korrekt]]),NA(),IF($CR$3,1,NA()))</f>
        <v>#N/A</v>
      </c>
      <c r="CW171" s="34" t="str" cm="1">
        <f t="array" ref="CW171">_xlfn.SWITCH(BZ171,_xlfn.IFNA(CU$2,-99),CU$5,_xlfn.IFNA(CU$3,-99),CU$6,_xlfn.IFNA(CU$4,-99),CU$7,"")</f>
        <v/>
      </c>
      <c r="DA171" s="7">
        <f t="shared" si="260"/>
        <v>0.8</v>
      </c>
      <c r="DB171">
        <f>IF(ROW(Styrkeberegning_G[[#This Row],[X base venstre]])=ROW(Styrkeberegning_G[[#Headers],[X base venstre]])+1,DB$7/(DA$7/$B$67),DB170/(DA170/$B$67))</f>
        <v>-2.8015817870135784</v>
      </c>
      <c r="DC171">
        <f>Styrkeberegning_G[[#This Row],[X base venstre]]*-1</f>
        <v>2.8015817870135784</v>
      </c>
      <c r="DN171" s="32">
        <f t="shared" si="261"/>
        <v>161</v>
      </c>
      <c r="DO171" s="32">
        <f t="shared" si="262"/>
        <v>162</v>
      </c>
      <c r="DP171" s="32">
        <f t="shared" si="263"/>
        <v>20.199260547790853</v>
      </c>
      <c r="DQ171" s="32" t="e">
        <f t="shared" si="264"/>
        <v>#N/A</v>
      </c>
      <c r="DR171" s="32" t="e">
        <f t="shared" si="265"/>
        <v>#N/A</v>
      </c>
      <c r="DS171" s="32">
        <f t="shared" si="266"/>
        <v>1.2979984689798841E-2</v>
      </c>
      <c r="DT171" s="32" t="e">
        <f t="shared" si="267"/>
        <v>#N/A</v>
      </c>
      <c r="DU171" s="32" t="b">
        <f t="shared" si="268"/>
        <v>0</v>
      </c>
      <c r="DV171" s="32" t="b">
        <f t="shared" si="269"/>
        <v>1</v>
      </c>
      <c r="DW171" s="32" t="b">
        <f t="shared" si="270"/>
        <v>0</v>
      </c>
      <c r="DX171" s="32" t="b">
        <f t="shared" si="271"/>
        <v>1</v>
      </c>
      <c r="DY171" s="32">
        <f t="shared" si="272"/>
        <v>1.2979984689798841E-2</v>
      </c>
      <c r="DZ171" s="32" t="e">
        <f t="shared" si="273"/>
        <v>#N/A</v>
      </c>
      <c r="EA171" s="32">
        <f t="shared" si="274"/>
        <v>1.2979984689798841E-2</v>
      </c>
      <c r="EB171" s="45" t="str">
        <f t="shared" si="275"/>
        <v/>
      </c>
      <c r="EG171" s="32">
        <f t="shared" si="276"/>
        <v>161</v>
      </c>
      <c r="EH171" s="32">
        <f t="shared" si="277"/>
        <v>162</v>
      </c>
      <c r="EI171" s="32">
        <f t="shared" si="278"/>
        <v>0.76656925424317857</v>
      </c>
      <c r="EJ171" s="32">
        <f t="shared" si="279"/>
        <v>0.29737754743782796</v>
      </c>
      <c r="EK171" s="32" t="e">
        <f t="shared" si="280"/>
        <v>#N/A</v>
      </c>
      <c r="EL171" s="32" t="e">
        <f t="shared" si="281"/>
        <v>#N/A</v>
      </c>
      <c r="EM171" s="32" t="e">
        <f t="shared" si="282"/>
        <v>#N/A</v>
      </c>
      <c r="EN171" s="32" t="b">
        <f t="shared" si="283"/>
        <v>0</v>
      </c>
      <c r="EO171" s="32" t="b">
        <f t="shared" si="284"/>
        <v>1</v>
      </c>
      <c r="EP171" s="32" t="b">
        <f t="shared" si="285"/>
        <v>0</v>
      </c>
      <c r="EQ171" s="32" t="b">
        <f t="shared" si="286"/>
        <v>1</v>
      </c>
      <c r="ER171" s="32">
        <f t="shared" si="287"/>
        <v>0.29737754743782796</v>
      </c>
      <c r="ES171" s="32" t="e">
        <f t="shared" si="288"/>
        <v>#N/A</v>
      </c>
      <c r="ET171" s="32">
        <f t="shared" si="289"/>
        <v>0.29737754743782796</v>
      </c>
      <c r="EU171" s="45" t="str">
        <f t="shared" si="290"/>
        <v/>
      </c>
      <c r="EV17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1" s="32" t="e" cm="1">
        <f t="array" ref="EY171">IF($CR$3,INDEX(Eu_tabel_a[[#This Row],[Styrke venstre]:[Styrke tosidet]],EY$7),NA())</f>
        <v>#N/A</v>
      </c>
      <c r="EZ171" s="32" t="e">
        <f>IF(EY$3,IF(CHOOSE(EY$7,Eu_tabel_a[[#This Row],[x base]]&gt;0,Eu_tabel_a[[#This Row],[x base]]&lt;0,Eu_tabel_a[[#This Row],[x base]]=0),1,NA()),NA())</f>
        <v>#N/A</v>
      </c>
      <c r="FA171" s="32" t="e">
        <f>IF(CHOOSE(EY$7,Eu_tabel_a[[#This Row],[x base]]&gt;0,Eu_tabel_a[[#This Row],[x base]]&lt;0,Eu_tabel_a[[#This Row],[x base]]=0),Eu_tabel_a[[#This Row],[Styrke, aktiv]],NA())</f>
        <v>#N/A</v>
      </c>
      <c r="FB171" s="32" t="e">
        <f>IFERROR(IF($EY$3,Eu_tabel_a[[#This Row],[Styrke, aktiv]],NA()),NA())</f>
        <v>#N/A</v>
      </c>
      <c r="FC171" s="32" t="e">
        <f>IF(ISNA(Eu_tabel_a[[#This Row],[Sand negativ
Nulhypotese afvises
Korrekt]]),NA(),IF(EY$3,1,NA()))</f>
        <v>#N/A</v>
      </c>
      <c r="FD171" s="33" t="str" cm="1">
        <f t="array" ref="FD171">IFERROR(_xlfn.SWITCH(Eu_tabel_a[[#This Row],[Indeks]],_xlfn.IFNA(FB$2,-99),FB$5,_xlfn.IFNA(FB$3,-99),FB$6,_xlfn.IFNA(FB$4,-99),FB$7,""),"")</f>
        <v/>
      </c>
      <c r="FE171" s="32">
        <f>Eu_tabel_a[[#This Row],[x base]]*SQRT(Eu_a_h0_x*(1-Eu_a_h0_x)/Eu_a_n_x)+Eu_a_h0_x</f>
        <v>0</v>
      </c>
      <c r="FJ171" s="74" t="e">
        <f t="shared" si="234"/>
        <v>#N/A</v>
      </c>
      <c r="FK171" s="82" t="e">
        <f t="shared" si="322"/>
        <v>#DIV/0!</v>
      </c>
      <c r="FL171" s="7" t="e">
        <f t="shared" si="228"/>
        <v>#DIV/0!</v>
      </c>
      <c r="FM171" t="e">
        <f t="shared" si="323"/>
        <v>#DIV/0!</v>
      </c>
      <c r="FN171" s="8" t="e">
        <f t="shared" si="324"/>
        <v>#DIV/0!</v>
      </c>
      <c r="FO171" s="8" t="e">
        <f t="shared" si="325"/>
        <v>#DIV/0!</v>
      </c>
      <c r="FP171" s="81" t="e">
        <f t="shared" si="326"/>
        <v>#DIV/0!</v>
      </c>
      <c r="FQ171" s="74" t="e">
        <f t="shared" ca="1" si="229"/>
        <v>#N/A</v>
      </c>
      <c r="FR171" s="82" t="e" vm="3">
        <f t="shared" ca="1" si="235"/>
        <v>#VALUE!</v>
      </c>
      <c r="FS171" s="7" t="e" vm="3">
        <f t="shared" ca="1" si="230"/>
        <v>#VALUE!</v>
      </c>
      <c r="FT171" t="e" vm="3">
        <f t="shared" ca="1" si="224"/>
        <v>#VALUE!</v>
      </c>
      <c r="FU171" s="8" t="e" vm="3">
        <f t="shared" ca="1" si="225"/>
        <v>#VALUE!</v>
      </c>
      <c r="FV171" s="8" t="e" vm="3">
        <f t="shared" ca="1" si="226"/>
        <v>#VALUE!</v>
      </c>
      <c r="FW171" s="81" t="e" vm="3">
        <f t="shared" ca="1" si="227"/>
        <v>#VALUE!</v>
      </c>
      <c r="FX171" s="74" t="e">
        <f t="shared" si="231"/>
        <v>#N/A</v>
      </c>
      <c r="FY171" s="82" t="e">
        <f t="shared" si="236"/>
        <v>#N/A</v>
      </c>
      <c r="FZ171" s="7" t="e">
        <f t="shared" si="232"/>
        <v>#N/A</v>
      </c>
      <c r="GA171" t="e">
        <f t="shared" si="237"/>
        <v>#N/A</v>
      </c>
      <c r="GB171" s="8" t="e">
        <f t="shared" si="238"/>
        <v>#N/A</v>
      </c>
      <c r="GC171" s="8" t="e">
        <f t="shared" si="239"/>
        <v>#N/A</v>
      </c>
      <c r="GD171" s="81" t="e">
        <f t="shared" si="240"/>
        <v>#N/A</v>
      </c>
      <c r="GE171" s="74" t="e">
        <f t="shared" si="241"/>
        <v>#N/A</v>
      </c>
      <c r="GF171" s="82" t="e">
        <f t="shared" si="242"/>
        <v>#N/A</v>
      </c>
      <c r="GG171" s="7" t="e">
        <f t="shared" si="233"/>
        <v>#N/A</v>
      </c>
      <c r="GH171" t="e">
        <f t="shared" si="243"/>
        <v>#N/A</v>
      </c>
      <c r="GI171" s="8" t="e">
        <f t="shared" si="244"/>
        <v>#N/A</v>
      </c>
      <c r="GJ171" s="8" t="e">
        <f t="shared" si="245"/>
        <v>#N/A</v>
      </c>
      <c r="GK171" s="81" t="e">
        <f t="shared" si="246"/>
        <v>#N/A</v>
      </c>
      <c r="GL171" s="81"/>
      <c r="GM171" s="81"/>
      <c r="GP171" s="32">
        <f t="shared" si="291"/>
        <v>161</v>
      </c>
      <c r="GQ171" s="32">
        <f t="shared" si="292"/>
        <v>162</v>
      </c>
      <c r="GR171" s="32">
        <f t="shared" si="293"/>
        <v>0.76656925424317857</v>
      </c>
      <c r="GS171" s="32">
        <f t="shared" si="294"/>
        <v>0.29737754743782796</v>
      </c>
      <c r="GT171" s="32" t="e">
        <f t="shared" si="295"/>
        <v>#N/A</v>
      </c>
      <c r="GU171" s="32" t="e">
        <f t="shared" si="296"/>
        <v>#N/A</v>
      </c>
      <c r="GV171" s="32" t="e">
        <f t="shared" si="297"/>
        <v>#N/A</v>
      </c>
      <c r="GW171" s="32" t="b">
        <f t="shared" si="298"/>
        <v>0</v>
      </c>
      <c r="GX171" s="32" t="b">
        <f t="shared" si="299"/>
        <v>1</v>
      </c>
      <c r="GY171" s="32" t="b">
        <f t="shared" si="300"/>
        <v>0</v>
      </c>
      <c r="GZ171" s="32" t="b">
        <f t="shared" si="301"/>
        <v>1</v>
      </c>
      <c r="HA171" s="32">
        <f t="shared" si="302"/>
        <v>0.29737754743782796</v>
      </c>
      <c r="HB171" s="32" t="e">
        <f t="shared" si="303"/>
        <v>#N/A</v>
      </c>
      <c r="HC171" s="32">
        <f t="shared" si="304"/>
        <v>0.29737754743782796</v>
      </c>
      <c r="HD171" s="45" t="str">
        <f t="shared" si="305"/>
        <v/>
      </c>
      <c r="HJ171" s="32">
        <f t="shared" si="306"/>
        <v>161</v>
      </c>
      <c r="HK171" s="32">
        <f t="shared" si="307"/>
        <v>162</v>
      </c>
      <c r="HL171" s="32">
        <f t="shared" si="308"/>
        <v>1.1870485900498196</v>
      </c>
      <c r="HM171" s="32" t="e">
        <f t="shared" si="309"/>
        <v>#N/A</v>
      </c>
      <c r="HN171" s="32">
        <f t="shared" si="310"/>
        <v>0.18486232434663508</v>
      </c>
      <c r="HO171" s="32" t="e">
        <f t="shared" si="311"/>
        <v>#N/A</v>
      </c>
      <c r="HP171" s="32" t="e">
        <f t="shared" si="312"/>
        <v>#N/A</v>
      </c>
      <c r="HQ171" s="32" t="b">
        <f t="shared" si="313"/>
        <v>1</v>
      </c>
      <c r="HR171" s="32" t="b">
        <f t="shared" si="314"/>
        <v>0</v>
      </c>
      <c r="HS171" s="32" t="b">
        <f t="shared" si="315"/>
        <v>0</v>
      </c>
      <c r="HT171" s="32" t="b">
        <f t="shared" si="316"/>
        <v>1</v>
      </c>
      <c r="HU171" s="32">
        <f t="shared" si="317"/>
        <v>0.18486232434663508</v>
      </c>
      <c r="HV171" s="32">
        <f t="shared" si="318"/>
        <v>0.18486232434663508</v>
      </c>
      <c r="HW171" s="32" t="e">
        <f t="shared" si="319"/>
        <v>#N/A</v>
      </c>
      <c r="HX171" s="45" t="str">
        <f t="shared" si="320"/>
        <v/>
      </c>
    </row>
    <row r="172" spans="78:232" x14ac:dyDescent="0.2">
      <c r="BZ172" s="32">
        <f t="shared" si="247"/>
        <v>162</v>
      </c>
      <c r="CA172" s="32">
        <f>Eu_tabel_g[[#This Row],[Indeks]]+1</f>
        <v>163</v>
      </c>
      <c r="CB172" s="32">
        <f t="shared" si="248"/>
        <v>0.79052454343827794</v>
      </c>
      <c r="CC172" s="32">
        <f t="shared" si="249"/>
        <v>0.29188276119520318</v>
      </c>
      <c r="CD172" s="32" t="e">
        <f t="shared" si="250"/>
        <v>#N/A</v>
      </c>
      <c r="CE172" s="32" t="e">
        <f t="shared" si="251"/>
        <v>#N/A</v>
      </c>
      <c r="CF172" s="32" t="e">
        <f t="shared" si="252"/>
        <v>#N/A</v>
      </c>
      <c r="CG172" s="32" t="b">
        <f t="shared" si="253"/>
        <v>0</v>
      </c>
      <c r="CH172" s="32" t="b">
        <f t="shared" si="254"/>
        <v>1</v>
      </c>
      <c r="CI172" s="32" t="b">
        <f t="shared" si="255"/>
        <v>0</v>
      </c>
      <c r="CJ172" s="32" t="b">
        <f t="shared" si="256"/>
        <v>1</v>
      </c>
      <c r="CK172" s="32">
        <f t="shared" si="321"/>
        <v>0.29188276119520318</v>
      </c>
      <c r="CL172" s="32" t="e">
        <f t="shared" si="257"/>
        <v>#N/A</v>
      </c>
      <c r="CM172" s="32">
        <f t="shared" si="258"/>
        <v>0.29188276119520318</v>
      </c>
      <c r="CN172" s="45" t="str">
        <f t="shared" si="259"/>
        <v/>
      </c>
      <c r="CO172" s="32">
        <f>_xlfn.NORM.DIST(_xlfn.NORM.INV(1-Eu_g_konfidensniveau,0,1)-Eu_tabel_g[[#This Row],[x base]],0,1,TRUE)</f>
        <v>7.4381165847303534E-3</v>
      </c>
      <c r="CP172" s="32">
        <f>1-_xlfn.NORM.DIST(_xlfn.NORM.INV(Eu_g_konfidensniveau,0,1)-Eu_tabel_g[[#This Row],[x base]],0,1,TRUE)</f>
        <v>0.1964613384949645</v>
      </c>
      <c r="CQ172" s="32">
        <f>_xlfn.NORM.DIST(_xlfn.NORM.INV((1-Eu_g_konfidensniveau)/2,0,1)-Eu_tabel_g[[#This Row],[x base]],0,1,TRUE)+1-_xlfn.NORM.DIST(_xlfn.NORM.INV(1-(1-Eu_g_konfidensniveau)/2,0,1)-Eu_tabel_g[[#This Row],[x base]],0,1,TRUE)</f>
        <v>0.12408863721087615</v>
      </c>
      <c r="CR172" s="32" t="e" cm="1">
        <f t="array" ref="CR172">IF($CR$3,INDEX(Eu_tabel_g[[#This Row],[Styrke venstre]:[Styrke tosidet]],CR$7),NA())</f>
        <v>#N/A</v>
      </c>
      <c r="CS172" s="52" t="e">
        <f>Eu_tabel_g[[#This Row],[Falsk positiv
Nulhypotese accepteres
Fejltype 1]]</f>
        <v>#N/A</v>
      </c>
      <c r="CT172" s="52" t="e">
        <f>IF(CHOOSE(CR$7,Eu_tabel_g[[#This Row],[x base]]&gt;0,Eu_tabel_g[[#This Row],[x base]]&lt;0,Eu_tabel_g[[#This Row],[x base]]=0),Eu_tabel_g[[#This Row],[Styrke, aktiv]],NA())</f>
        <v>#N/A</v>
      </c>
      <c r="CU172" s="52" t="e">
        <f>IFERROR(IF($CR$3,Eu_tabel_g[[#This Row],[Styrke, aktiv]],NA()),NA())</f>
        <v>#N/A</v>
      </c>
      <c r="CV172" s="52" t="e">
        <f>IF(ISNA(Eu_tabel_g[[#This Row],[Sand negativ
Nulhypotese afvises
Korrekt]]),NA(),IF($CR$3,1,NA()))</f>
        <v>#N/A</v>
      </c>
      <c r="CW172" s="34" t="str" cm="1">
        <f t="array" ref="CW172">_xlfn.SWITCH(BZ172,_xlfn.IFNA(CU$2,-99),CU$5,_xlfn.IFNA(CU$3,-99),CU$6,_xlfn.IFNA(CU$4,-99),CU$7,"")</f>
        <v/>
      </c>
      <c r="DA172" s="7">
        <f t="shared" si="260"/>
        <v>0.8</v>
      </c>
      <c r="DB172">
        <f>IF(ROW(Styrkeberegning_G[[#This Row],[X base venstre]])=ROW(Styrkeberegning_G[[#Headers],[X base venstre]])+1,DB$7/(DA$7/$B$67),DB171/(DA171/$B$67))</f>
        <v>-2.8015817870135784</v>
      </c>
      <c r="DC172">
        <f>Styrkeberegning_G[[#This Row],[X base venstre]]*-1</f>
        <v>2.8015817870135784</v>
      </c>
      <c r="DN172" s="32">
        <f t="shared" si="261"/>
        <v>162</v>
      </c>
      <c r="DO172" s="32">
        <f t="shared" si="262"/>
        <v>163</v>
      </c>
      <c r="DP172" s="32">
        <f t="shared" si="263"/>
        <v>20.313331404207855</v>
      </c>
      <c r="DQ172" s="32" t="e">
        <f t="shared" si="264"/>
        <v>#N/A</v>
      </c>
      <c r="DR172" s="32" t="e">
        <f t="shared" si="265"/>
        <v>#N/A</v>
      </c>
      <c r="DS172" s="32">
        <f t="shared" si="266"/>
        <v>1.2575045959678788E-2</v>
      </c>
      <c r="DT172" s="32" t="e">
        <f t="shared" si="267"/>
        <v>#N/A</v>
      </c>
      <c r="DU172" s="32" t="b">
        <f t="shared" si="268"/>
        <v>0</v>
      </c>
      <c r="DV172" s="32" t="b">
        <f t="shared" si="269"/>
        <v>1</v>
      </c>
      <c r="DW172" s="32" t="b">
        <f t="shared" si="270"/>
        <v>0</v>
      </c>
      <c r="DX172" s="32" t="b">
        <f t="shared" si="271"/>
        <v>1</v>
      </c>
      <c r="DY172" s="32">
        <f t="shared" si="272"/>
        <v>1.2575045959678788E-2</v>
      </c>
      <c r="DZ172" s="32" t="e">
        <f t="shared" si="273"/>
        <v>#N/A</v>
      </c>
      <c r="EA172" s="32">
        <f t="shared" si="274"/>
        <v>1.2575045959678788E-2</v>
      </c>
      <c r="EB172" s="45" t="str">
        <f t="shared" si="275"/>
        <v/>
      </c>
      <c r="EG172" s="32">
        <f t="shared" si="276"/>
        <v>162</v>
      </c>
      <c r="EH172" s="32">
        <f t="shared" si="277"/>
        <v>163</v>
      </c>
      <c r="EI172" s="32">
        <f t="shared" si="278"/>
        <v>0.79052454343827794</v>
      </c>
      <c r="EJ172" s="32">
        <f t="shared" si="279"/>
        <v>0.29188276119520318</v>
      </c>
      <c r="EK172" s="32" t="e">
        <f t="shared" si="280"/>
        <v>#N/A</v>
      </c>
      <c r="EL172" s="32" t="e">
        <f t="shared" si="281"/>
        <v>#N/A</v>
      </c>
      <c r="EM172" s="32" t="e">
        <f t="shared" si="282"/>
        <v>#N/A</v>
      </c>
      <c r="EN172" s="32" t="b">
        <f t="shared" si="283"/>
        <v>0</v>
      </c>
      <c r="EO172" s="32" t="b">
        <f t="shared" si="284"/>
        <v>1</v>
      </c>
      <c r="EP172" s="32" t="b">
        <f t="shared" si="285"/>
        <v>0</v>
      </c>
      <c r="EQ172" s="32" t="b">
        <f t="shared" si="286"/>
        <v>1</v>
      </c>
      <c r="ER172" s="32">
        <f t="shared" si="287"/>
        <v>0.29188276119520318</v>
      </c>
      <c r="ES172" s="32" t="e">
        <f t="shared" si="288"/>
        <v>#N/A</v>
      </c>
      <c r="ET172" s="32">
        <f t="shared" si="289"/>
        <v>0.29188276119520318</v>
      </c>
      <c r="EU172" s="45" t="str">
        <f t="shared" si="290"/>
        <v/>
      </c>
      <c r="EV17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2" s="32" t="e" cm="1">
        <f t="array" ref="EY172">IF($CR$3,INDEX(Eu_tabel_a[[#This Row],[Styrke venstre]:[Styrke tosidet]],EY$7),NA())</f>
        <v>#N/A</v>
      </c>
      <c r="EZ172" s="32" t="e">
        <f>IF(EY$3,IF(CHOOSE(EY$7,Eu_tabel_a[[#This Row],[x base]]&gt;0,Eu_tabel_a[[#This Row],[x base]]&lt;0,Eu_tabel_a[[#This Row],[x base]]=0),1,NA()),NA())</f>
        <v>#N/A</v>
      </c>
      <c r="FA172" s="32" t="e">
        <f>IF(CHOOSE(EY$7,Eu_tabel_a[[#This Row],[x base]]&gt;0,Eu_tabel_a[[#This Row],[x base]]&lt;0,Eu_tabel_a[[#This Row],[x base]]=0),Eu_tabel_a[[#This Row],[Styrke, aktiv]],NA())</f>
        <v>#N/A</v>
      </c>
      <c r="FB172" s="32" t="e">
        <f>IFERROR(IF($EY$3,Eu_tabel_a[[#This Row],[Styrke, aktiv]],NA()),NA())</f>
        <v>#N/A</v>
      </c>
      <c r="FC172" s="32" t="e">
        <f>IF(ISNA(Eu_tabel_a[[#This Row],[Sand negativ
Nulhypotese afvises
Korrekt]]),NA(),IF(EY$3,1,NA()))</f>
        <v>#N/A</v>
      </c>
      <c r="FD172" s="33" t="str" cm="1">
        <f t="array" ref="FD172">IFERROR(_xlfn.SWITCH(Eu_tabel_a[[#This Row],[Indeks]],_xlfn.IFNA(FB$2,-99),FB$5,_xlfn.IFNA(FB$3,-99),FB$6,_xlfn.IFNA(FB$4,-99),FB$7,""),"")</f>
        <v/>
      </c>
      <c r="FE172" s="32">
        <f>Eu_tabel_a[[#This Row],[x base]]*SQRT(Eu_a_h0_x*(1-Eu_a_h0_x)/Eu_a_n_x)+Eu_a_h0_x</f>
        <v>0</v>
      </c>
      <c r="FJ172" s="74" t="e">
        <f t="shared" si="234"/>
        <v>#N/A</v>
      </c>
      <c r="FK172" s="82" t="e">
        <f t="shared" si="322"/>
        <v>#DIV/0!</v>
      </c>
      <c r="FL172" s="7" t="e">
        <f t="shared" si="228"/>
        <v>#DIV/0!</v>
      </c>
      <c r="FM172" t="e">
        <f t="shared" si="323"/>
        <v>#DIV/0!</v>
      </c>
      <c r="FN172" s="8" t="e">
        <f t="shared" si="324"/>
        <v>#DIV/0!</v>
      </c>
      <c r="FO172" s="8" t="e">
        <f t="shared" si="325"/>
        <v>#DIV/0!</v>
      </c>
      <c r="FP172" s="81" t="e">
        <f t="shared" si="326"/>
        <v>#DIV/0!</v>
      </c>
      <c r="FQ172" s="74" t="e">
        <f t="shared" ca="1" si="229"/>
        <v>#N/A</v>
      </c>
      <c r="FR172" s="82" t="e" vm="3">
        <f t="shared" ca="1" si="235"/>
        <v>#VALUE!</v>
      </c>
      <c r="FS172" s="7" t="e" vm="3">
        <f t="shared" ca="1" si="230"/>
        <v>#VALUE!</v>
      </c>
      <c r="FT172" t="e" vm="3">
        <f t="shared" ca="1" si="224"/>
        <v>#VALUE!</v>
      </c>
      <c r="FU172" s="8" t="e" vm="3">
        <f t="shared" ca="1" si="225"/>
        <v>#VALUE!</v>
      </c>
      <c r="FV172" s="8" t="e" vm="3">
        <f t="shared" ca="1" si="226"/>
        <v>#VALUE!</v>
      </c>
      <c r="FW172" s="81" t="e" vm="3">
        <f t="shared" ca="1" si="227"/>
        <v>#VALUE!</v>
      </c>
      <c r="FX172" s="74" t="e">
        <f t="shared" si="231"/>
        <v>#N/A</v>
      </c>
      <c r="FY172" s="82" t="e">
        <f t="shared" si="236"/>
        <v>#N/A</v>
      </c>
      <c r="FZ172" s="7" t="e">
        <f t="shared" si="232"/>
        <v>#N/A</v>
      </c>
      <c r="GA172" t="e">
        <f t="shared" si="237"/>
        <v>#N/A</v>
      </c>
      <c r="GB172" s="8" t="e">
        <f t="shared" si="238"/>
        <v>#N/A</v>
      </c>
      <c r="GC172" s="8" t="e">
        <f t="shared" si="239"/>
        <v>#N/A</v>
      </c>
      <c r="GD172" s="81" t="e">
        <f t="shared" si="240"/>
        <v>#N/A</v>
      </c>
      <c r="GE172" s="74" t="e">
        <f t="shared" si="241"/>
        <v>#N/A</v>
      </c>
      <c r="GF172" s="82" t="e">
        <f t="shared" si="242"/>
        <v>#N/A</v>
      </c>
      <c r="GG172" s="7" t="e">
        <f t="shared" si="233"/>
        <v>#N/A</v>
      </c>
      <c r="GH172" t="e">
        <f t="shared" si="243"/>
        <v>#N/A</v>
      </c>
      <c r="GI172" s="8" t="e">
        <f t="shared" si="244"/>
        <v>#N/A</v>
      </c>
      <c r="GJ172" s="8" t="e">
        <f t="shared" si="245"/>
        <v>#N/A</v>
      </c>
      <c r="GK172" s="81" t="e">
        <f t="shared" si="246"/>
        <v>#N/A</v>
      </c>
      <c r="GL172" s="81"/>
      <c r="GM172" s="81"/>
      <c r="GP172" s="32">
        <f t="shared" si="291"/>
        <v>162</v>
      </c>
      <c r="GQ172" s="32">
        <f t="shared" si="292"/>
        <v>163</v>
      </c>
      <c r="GR172" s="32">
        <f t="shared" si="293"/>
        <v>0.79052454343827794</v>
      </c>
      <c r="GS172" s="32">
        <f t="shared" si="294"/>
        <v>0.29188276119520318</v>
      </c>
      <c r="GT172" s="32" t="e">
        <f t="shared" si="295"/>
        <v>#N/A</v>
      </c>
      <c r="GU172" s="32" t="e">
        <f t="shared" si="296"/>
        <v>#N/A</v>
      </c>
      <c r="GV172" s="32" t="e">
        <f t="shared" si="297"/>
        <v>#N/A</v>
      </c>
      <c r="GW172" s="32" t="b">
        <f t="shared" si="298"/>
        <v>0</v>
      </c>
      <c r="GX172" s="32" t="b">
        <f t="shared" si="299"/>
        <v>1</v>
      </c>
      <c r="GY172" s="32" t="b">
        <f t="shared" si="300"/>
        <v>0</v>
      </c>
      <c r="GZ172" s="32" t="b">
        <f t="shared" si="301"/>
        <v>1</v>
      </c>
      <c r="HA172" s="32">
        <f t="shared" si="302"/>
        <v>0.29188276119520318</v>
      </c>
      <c r="HB172" s="32" t="e">
        <f t="shared" si="303"/>
        <v>#N/A</v>
      </c>
      <c r="HC172" s="32">
        <f t="shared" si="304"/>
        <v>0.29188276119520318</v>
      </c>
      <c r="HD172" s="45" t="str">
        <f t="shared" si="305"/>
        <v/>
      </c>
      <c r="HJ172" s="32">
        <f t="shared" si="306"/>
        <v>162</v>
      </c>
      <c r="HK172" s="32">
        <f t="shared" si="307"/>
        <v>163</v>
      </c>
      <c r="HL172" s="32">
        <f t="shared" si="308"/>
        <v>1.2241438584888762</v>
      </c>
      <c r="HM172" s="32" t="e">
        <f t="shared" si="309"/>
        <v>#N/A</v>
      </c>
      <c r="HN172" s="32">
        <f t="shared" si="310"/>
        <v>0.1772018979410506</v>
      </c>
      <c r="HO172" s="32" t="e">
        <f t="shared" si="311"/>
        <v>#N/A</v>
      </c>
      <c r="HP172" s="32" t="e">
        <f t="shared" si="312"/>
        <v>#N/A</v>
      </c>
      <c r="HQ172" s="32" t="b">
        <f t="shared" si="313"/>
        <v>1</v>
      </c>
      <c r="HR172" s="32" t="b">
        <f t="shared" si="314"/>
        <v>0</v>
      </c>
      <c r="HS172" s="32" t="b">
        <f t="shared" si="315"/>
        <v>0</v>
      </c>
      <c r="HT172" s="32" t="b">
        <f t="shared" si="316"/>
        <v>1</v>
      </c>
      <c r="HU172" s="32">
        <f t="shared" si="317"/>
        <v>0.1772018979410506</v>
      </c>
      <c r="HV172" s="32">
        <f t="shared" si="318"/>
        <v>0.1772018979410506</v>
      </c>
      <c r="HW172" s="32" t="e">
        <f t="shared" si="319"/>
        <v>#N/A</v>
      </c>
      <c r="HX172" s="45" t="str">
        <f t="shared" si="320"/>
        <v/>
      </c>
    </row>
    <row r="173" spans="78:232" x14ac:dyDescent="0.2">
      <c r="BZ173" s="32">
        <f t="shared" si="247"/>
        <v>163</v>
      </c>
      <c r="CA173" s="32">
        <f>Eu_tabel_g[[#This Row],[Indeks]]+1</f>
        <v>164</v>
      </c>
      <c r="CB173" s="32">
        <f t="shared" si="248"/>
        <v>0.81447983263337687</v>
      </c>
      <c r="CC173" s="32">
        <f t="shared" si="249"/>
        <v>0.28632514820484689</v>
      </c>
      <c r="CD173" s="32" t="e">
        <f t="shared" si="250"/>
        <v>#N/A</v>
      </c>
      <c r="CE173" s="32" t="e">
        <f t="shared" si="251"/>
        <v>#N/A</v>
      </c>
      <c r="CF173" s="32" t="e">
        <f t="shared" si="252"/>
        <v>#N/A</v>
      </c>
      <c r="CG173" s="32" t="b">
        <f t="shared" si="253"/>
        <v>0</v>
      </c>
      <c r="CH173" s="32" t="b">
        <f t="shared" si="254"/>
        <v>1</v>
      </c>
      <c r="CI173" s="32" t="b">
        <f t="shared" si="255"/>
        <v>0</v>
      </c>
      <c r="CJ173" s="32" t="b">
        <f t="shared" si="256"/>
        <v>1</v>
      </c>
      <c r="CK173" s="32">
        <f t="shared" si="321"/>
        <v>0.28632514820484689</v>
      </c>
      <c r="CL173" s="32" t="e">
        <f t="shared" si="257"/>
        <v>#N/A</v>
      </c>
      <c r="CM173" s="32">
        <f t="shared" si="258"/>
        <v>0.28632514820484689</v>
      </c>
      <c r="CN173" s="45" t="str">
        <f t="shared" si="259"/>
        <v/>
      </c>
      <c r="CO173" s="32">
        <f>_xlfn.NORM.DIST(_xlfn.NORM.INV(1-Eu_g_konfidensniveau,0,1)-Eu_tabel_g[[#This Row],[x base]],0,1,TRUE)</f>
        <v>6.9597631116038684E-3</v>
      </c>
      <c r="CP173" s="32">
        <f>1-_xlfn.NORM.DIST(_xlfn.NORM.INV(Eu_g_konfidensniveau,0,1)-Eu_tabel_g[[#This Row],[x base]],0,1,TRUE)</f>
        <v>0.20316373862964221</v>
      </c>
      <c r="CQ173" s="32">
        <f>_xlfn.NORM.DIST(_xlfn.NORM.INV((1-Eu_g_konfidensniveau)/2,0,1)-Eu_tabel_g[[#This Row],[x base]],0,1,TRUE)+1-_xlfn.NORM.DIST(_xlfn.NORM.INV(1-(1-Eu_g_konfidensniveau)/2,0,1)-Eu_tabel_g[[#This Row],[x base]],0,1,TRUE)</f>
        <v>0.12876913755707764</v>
      </c>
      <c r="CR173" s="32" t="e" cm="1">
        <f t="array" ref="CR173">IF($CR$3,INDEX(Eu_tabel_g[[#This Row],[Styrke venstre]:[Styrke tosidet]],CR$7),NA())</f>
        <v>#N/A</v>
      </c>
      <c r="CS173" s="52" t="e">
        <f>Eu_tabel_g[[#This Row],[Falsk positiv
Nulhypotese accepteres
Fejltype 1]]</f>
        <v>#N/A</v>
      </c>
      <c r="CT173" s="52" t="e">
        <f>IF(CHOOSE(CR$7,Eu_tabel_g[[#This Row],[x base]]&gt;0,Eu_tabel_g[[#This Row],[x base]]&lt;0,Eu_tabel_g[[#This Row],[x base]]=0),Eu_tabel_g[[#This Row],[Styrke, aktiv]],NA())</f>
        <v>#N/A</v>
      </c>
      <c r="CU173" s="52" t="e">
        <f>IFERROR(IF($CR$3,Eu_tabel_g[[#This Row],[Styrke, aktiv]],NA()),NA())</f>
        <v>#N/A</v>
      </c>
      <c r="CV173" s="52" t="e">
        <f>IF(ISNA(Eu_tabel_g[[#This Row],[Sand negativ
Nulhypotese afvises
Korrekt]]),NA(),IF($CR$3,1,NA()))</f>
        <v>#N/A</v>
      </c>
      <c r="CW173" s="34" t="str" cm="1">
        <f t="array" ref="CW173">_xlfn.SWITCH(BZ173,_xlfn.IFNA(CU$2,-99),CU$5,_xlfn.IFNA(CU$3,-99),CU$6,_xlfn.IFNA(CU$4,-99),CU$7,"")</f>
        <v/>
      </c>
      <c r="DA173" s="7">
        <f t="shared" si="260"/>
        <v>0.8</v>
      </c>
      <c r="DB173">
        <f>IF(ROW(Styrkeberegning_G[[#This Row],[X base venstre]])=ROW(Styrkeberegning_G[[#Headers],[X base venstre]])+1,DB$7/(DA$7/$B$67),DB172/(DA172/$B$67))</f>
        <v>-2.8015817870135784</v>
      </c>
      <c r="DC173">
        <f>Styrkeberegning_G[[#This Row],[X base venstre]]*-1</f>
        <v>2.8015817870135784</v>
      </c>
      <c r="DN173" s="32">
        <f t="shared" si="261"/>
        <v>163</v>
      </c>
      <c r="DO173" s="32">
        <f t="shared" si="262"/>
        <v>164</v>
      </c>
      <c r="DP173" s="32">
        <f t="shared" si="263"/>
        <v>20.427402260624852</v>
      </c>
      <c r="DQ173" s="32" t="e">
        <f t="shared" si="264"/>
        <v>#N/A</v>
      </c>
      <c r="DR173" s="32" t="e">
        <f t="shared" si="265"/>
        <v>#N/A</v>
      </c>
      <c r="DS173" s="32">
        <f t="shared" si="266"/>
        <v>1.2181011466172601E-2</v>
      </c>
      <c r="DT173" s="32" t="e">
        <f t="shared" si="267"/>
        <v>#N/A</v>
      </c>
      <c r="DU173" s="32" t="b">
        <f t="shared" si="268"/>
        <v>0</v>
      </c>
      <c r="DV173" s="32" t="b">
        <f t="shared" si="269"/>
        <v>1</v>
      </c>
      <c r="DW173" s="32" t="b">
        <f t="shared" si="270"/>
        <v>0</v>
      </c>
      <c r="DX173" s="32" t="b">
        <f t="shared" si="271"/>
        <v>1</v>
      </c>
      <c r="DY173" s="32">
        <f t="shared" si="272"/>
        <v>1.2181011466172601E-2</v>
      </c>
      <c r="DZ173" s="32" t="e">
        <f t="shared" si="273"/>
        <v>#N/A</v>
      </c>
      <c r="EA173" s="32">
        <f t="shared" si="274"/>
        <v>1.2181011466172601E-2</v>
      </c>
      <c r="EB173" s="45" t="str">
        <f t="shared" si="275"/>
        <v/>
      </c>
      <c r="EG173" s="32">
        <f t="shared" si="276"/>
        <v>163</v>
      </c>
      <c r="EH173" s="32">
        <f t="shared" si="277"/>
        <v>164</v>
      </c>
      <c r="EI173" s="32">
        <f t="shared" si="278"/>
        <v>0.81447983263337687</v>
      </c>
      <c r="EJ173" s="32">
        <f t="shared" si="279"/>
        <v>0.28632514820484689</v>
      </c>
      <c r="EK173" s="32" t="e">
        <f t="shared" si="280"/>
        <v>#N/A</v>
      </c>
      <c r="EL173" s="32" t="e">
        <f t="shared" si="281"/>
        <v>#N/A</v>
      </c>
      <c r="EM173" s="32" t="e">
        <f t="shared" si="282"/>
        <v>#N/A</v>
      </c>
      <c r="EN173" s="32" t="b">
        <f t="shared" si="283"/>
        <v>0</v>
      </c>
      <c r="EO173" s="32" t="b">
        <f t="shared" si="284"/>
        <v>1</v>
      </c>
      <c r="EP173" s="32" t="b">
        <f t="shared" si="285"/>
        <v>0</v>
      </c>
      <c r="EQ173" s="32" t="b">
        <f t="shared" si="286"/>
        <v>1</v>
      </c>
      <c r="ER173" s="32">
        <f t="shared" si="287"/>
        <v>0.28632514820484689</v>
      </c>
      <c r="ES173" s="32" t="e">
        <f t="shared" si="288"/>
        <v>#N/A</v>
      </c>
      <c r="ET173" s="32">
        <f t="shared" si="289"/>
        <v>0.28632514820484689</v>
      </c>
      <c r="EU173" s="45" t="str">
        <f t="shared" si="290"/>
        <v/>
      </c>
      <c r="EV17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3" s="32" t="e" cm="1">
        <f t="array" ref="EY173">IF($CR$3,INDEX(Eu_tabel_a[[#This Row],[Styrke venstre]:[Styrke tosidet]],EY$7),NA())</f>
        <v>#N/A</v>
      </c>
      <c r="EZ173" s="32" t="e">
        <f>IF(EY$3,IF(CHOOSE(EY$7,Eu_tabel_a[[#This Row],[x base]]&gt;0,Eu_tabel_a[[#This Row],[x base]]&lt;0,Eu_tabel_a[[#This Row],[x base]]=0),1,NA()),NA())</f>
        <v>#N/A</v>
      </c>
      <c r="FA173" s="32" t="e">
        <f>IF(CHOOSE(EY$7,Eu_tabel_a[[#This Row],[x base]]&gt;0,Eu_tabel_a[[#This Row],[x base]]&lt;0,Eu_tabel_a[[#This Row],[x base]]=0),Eu_tabel_a[[#This Row],[Styrke, aktiv]],NA())</f>
        <v>#N/A</v>
      </c>
      <c r="FB173" s="32" t="e">
        <f>IFERROR(IF($EY$3,Eu_tabel_a[[#This Row],[Styrke, aktiv]],NA()),NA())</f>
        <v>#N/A</v>
      </c>
      <c r="FC173" s="32" t="e">
        <f>IF(ISNA(Eu_tabel_a[[#This Row],[Sand negativ
Nulhypotese afvises
Korrekt]]),NA(),IF(EY$3,1,NA()))</f>
        <v>#N/A</v>
      </c>
      <c r="FD173" s="33" t="str" cm="1">
        <f t="array" ref="FD173">IFERROR(_xlfn.SWITCH(Eu_tabel_a[[#This Row],[Indeks]],_xlfn.IFNA(FB$2,-99),FB$5,_xlfn.IFNA(FB$3,-99),FB$6,_xlfn.IFNA(FB$4,-99),FB$7,""),"")</f>
        <v/>
      </c>
      <c r="FE173" s="32">
        <f>Eu_tabel_a[[#This Row],[x base]]*SQRT(Eu_a_h0_x*(1-Eu_a_h0_x)/Eu_a_n_x)+Eu_a_h0_x</f>
        <v>0</v>
      </c>
      <c r="FJ173" s="74" t="e">
        <f t="shared" si="234"/>
        <v>#N/A</v>
      </c>
      <c r="FK173" s="82" t="e">
        <f t="shared" si="322"/>
        <v>#DIV/0!</v>
      </c>
      <c r="FL173" s="7" t="e">
        <f t="shared" si="228"/>
        <v>#DIV/0!</v>
      </c>
      <c r="FM173" t="e">
        <f t="shared" si="323"/>
        <v>#DIV/0!</v>
      </c>
      <c r="FN173" s="8" t="e">
        <f t="shared" si="324"/>
        <v>#DIV/0!</v>
      </c>
      <c r="FO173" s="8" t="e">
        <f t="shared" si="325"/>
        <v>#DIV/0!</v>
      </c>
      <c r="FP173" s="81" t="e">
        <f t="shared" si="326"/>
        <v>#DIV/0!</v>
      </c>
      <c r="FQ173" s="74" t="e">
        <f t="shared" ca="1" si="229"/>
        <v>#N/A</v>
      </c>
      <c r="FR173" s="82" t="e" vm="3">
        <f t="shared" ca="1" si="235"/>
        <v>#VALUE!</v>
      </c>
      <c r="FS173" s="7" t="e" vm="3">
        <f t="shared" ca="1" si="230"/>
        <v>#VALUE!</v>
      </c>
      <c r="FT173" t="e" vm="3">
        <f t="shared" ca="1" si="224"/>
        <v>#VALUE!</v>
      </c>
      <c r="FU173" s="8" t="e" vm="3">
        <f t="shared" ca="1" si="225"/>
        <v>#VALUE!</v>
      </c>
      <c r="FV173" s="8" t="e" vm="3">
        <f t="shared" ca="1" si="226"/>
        <v>#VALUE!</v>
      </c>
      <c r="FW173" s="81" t="e" vm="3">
        <f t="shared" ca="1" si="227"/>
        <v>#VALUE!</v>
      </c>
      <c r="FX173" s="74" t="e">
        <f t="shared" si="231"/>
        <v>#N/A</v>
      </c>
      <c r="FY173" s="82" t="e">
        <f t="shared" si="236"/>
        <v>#N/A</v>
      </c>
      <c r="FZ173" s="7" t="e">
        <f t="shared" si="232"/>
        <v>#N/A</v>
      </c>
      <c r="GA173" t="e">
        <f t="shared" si="237"/>
        <v>#N/A</v>
      </c>
      <c r="GB173" s="8" t="e">
        <f t="shared" si="238"/>
        <v>#N/A</v>
      </c>
      <c r="GC173" s="8" t="e">
        <f t="shared" si="239"/>
        <v>#N/A</v>
      </c>
      <c r="GD173" s="81" t="e">
        <f t="shared" si="240"/>
        <v>#N/A</v>
      </c>
      <c r="GE173" s="74" t="e">
        <f t="shared" si="241"/>
        <v>#N/A</v>
      </c>
      <c r="GF173" s="82" t="e">
        <f t="shared" si="242"/>
        <v>#N/A</v>
      </c>
      <c r="GG173" s="7" t="e">
        <f t="shared" si="233"/>
        <v>#N/A</v>
      </c>
      <c r="GH173" t="e">
        <f t="shared" si="243"/>
        <v>#N/A</v>
      </c>
      <c r="GI173" s="8" t="e">
        <f t="shared" si="244"/>
        <v>#N/A</v>
      </c>
      <c r="GJ173" s="8" t="e">
        <f t="shared" si="245"/>
        <v>#N/A</v>
      </c>
      <c r="GK173" s="81" t="e">
        <f t="shared" si="246"/>
        <v>#N/A</v>
      </c>
      <c r="GL173" s="81"/>
      <c r="GM173" s="81"/>
      <c r="GP173" s="32">
        <f t="shared" si="291"/>
        <v>163</v>
      </c>
      <c r="GQ173" s="32">
        <f t="shared" si="292"/>
        <v>164</v>
      </c>
      <c r="GR173" s="32">
        <f t="shared" si="293"/>
        <v>0.81447983263337687</v>
      </c>
      <c r="GS173" s="32">
        <f t="shared" si="294"/>
        <v>0.28632514820484689</v>
      </c>
      <c r="GT173" s="32" t="e">
        <f t="shared" si="295"/>
        <v>#N/A</v>
      </c>
      <c r="GU173" s="32" t="e">
        <f t="shared" si="296"/>
        <v>#N/A</v>
      </c>
      <c r="GV173" s="32" t="e">
        <f t="shared" si="297"/>
        <v>#N/A</v>
      </c>
      <c r="GW173" s="32" t="b">
        <f t="shared" si="298"/>
        <v>0</v>
      </c>
      <c r="GX173" s="32" t="b">
        <f t="shared" si="299"/>
        <v>1</v>
      </c>
      <c r="GY173" s="32" t="b">
        <f t="shared" si="300"/>
        <v>0</v>
      </c>
      <c r="GZ173" s="32" t="b">
        <f t="shared" si="301"/>
        <v>1</v>
      </c>
      <c r="HA173" s="32">
        <f t="shared" si="302"/>
        <v>0.28632514820484689</v>
      </c>
      <c r="HB173" s="32" t="e">
        <f t="shared" si="303"/>
        <v>#N/A</v>
      </c>
      <c r="HC173" s="32">
        <f t="shared" si="304"/>
        <v>0.28632514820484689</v>
      </c>
      <c r="HD173" s="45" t="str">
        <f t="shared" si="305"/>
        <v/>
      </c>
      <c r="HJ173" s="32">
        <f t="shared" si="306"/>
        <v>163</v>
      </c>
      <c r="HK173" s="32">
        <f t="shared" si="307"/>
        <v>164</v>
      </c>
      <c r="HL173" s="32">
        <f t="shared" si="308"/>
        <v>1.2612391269279328</v>
      </c>
      <c r="HM173" s="32" t="e">
        <f t="shared" si="309"/>
        <v>#N/A</v>
      </c>
      <c r="HN173" s="32">
        <f t="shared" si="310"/>
        <v>0.16971653355867558</v>
      </c>
      <c r="HO173" s="32" t="e">
        <f t="shared" si="311"/>
        <v>#N/A</v>
      </c>
      <c r="HP173" s="32" t="e">
        <f t="shared" si="312"/>
        <v>#N/A</v>
      </c>
      <c r="HQ173" s="32" t="b">
        <f t="shared" si="313"/>
        <v>1</v>
      </c>
      <c r="HR173" s="32" t="b">
        <f t="shared" si="314"/>
        <v>0</v>
      </c>
      <c r="HS173" s="32" t="b">
        <f t="shared" si="315"/>
        <v>0</v>
      </c>
      <c r="HT173" s="32" t="b">
        <f t="shared" si="316"/>
        <v>1</v>
      </c>
      <c r="HU173" s="32">
        <f t="shared" si="317"/>
        <v>0.16971653355867558</v>
      </c>
      <c r="HV173" s="32">
        <f t="shared" si="318"/>
        <v>0.16971653355867558</v>
      </c>
      <c r="HW173" s="32" t="e">
        <f t="shared" si="319"/>
        <v>#N/A</v>
      </c>
      <c r="HX173" s="45" t="str">
        <f t="shared" si="320"/>
        <v/>
      </c>
    </row>
    <row r="174" spans="78:232" x14ac:dyDescent="0.2">
      <c r="BZ174" s="32">
        <f t="shared" si="247"/>
        <v>164</v>
      </c>
      <c r="CA174" s="32">
        <f>Eu_tabel_g[[#This Row],[Indeks]]+1</f>
        <v>165</v>
      </c>
      <c r="CB174" s="32">
        <f t="shared" si="248"/>
        <v>0.83843512182847624</v>
      </c>
      <c r="CC174" s="32">
        <f t="shared" si="249"/>
        <v>0.28071222072349422</v>
      </c>
      <c r="CD174" s="32" t="e">
        <f t="shared" si="250"/>
        <v>#N/A</v>
      </c>
      <c r="CE174" s="32" t="e">
        <f t="shared" si="251"/>
        <v>#N/A</v>
      </c>
      <c r="CF174" s="32" t="e">
        <f t="shared" si="252"/>
        <v>#N/A</v>
      </c>
      <c r="CG174" s="32" t="b">
        <f t="shared" si="253"/>
        <v>0</v>
      </c>
      <c r="CH174" s="32" t="b">
        <f t="shared" si="254"/>
        <v>1</v>
      </c>
      <c r="CI174" s="32" t="b">
        <f t="shared" si="255"/>
        <v>0</v>
      </c>
      <c r="CJ174" s="32" t="b">
        <f t="shared" si="256"/>
        <v>1</v>
      </c>
      <c r="CK174" s="32">
        <f t="shared" si="321"/>
        <v>0.28071222072349422</v>
      </c>
      <c r="CL174" s="32" t="e">
        <f t="shared" si="257"/>
        <v>#N/A</v>
      </c>
      <c r="CM174" s="32">
        <f t="shared" si="258"/>
        <v>0.28071222072349422</v>
      </c>
      <c r="CN174" s="45" t="str">
        <f t="shared" si="259"/>
        <v/>
      </c>
      <c r="CO174" s="32">
        <f>_xlfn.NORM.DIST(_xlfn.NORM.INV(1-Eu_g_konfidensniveau,0,1)-Eu_tabel_g[[#This Row],[x base]],0,1,TRUE)</f>
        <v>6.5087760207921778E-3</v>
      </c>
      <c r="CP174" s="32">
        <f>1-_xlfn.NORM.DIST(_xlfn.NORM.INV(Eu_g_konfidensniveau,0,1)-Eu_tabel_g[[#This Row],[x base]],0,1,TRUE)</f>
        <v>0.21000079021859841</v>
      </c>
      <c r="CQ174" s="32">
        <f>_xlfn.NORM.DIST(_xlfn.NORM.INV((1-Eu_g_konfidensniveau)/2,0,1)-Eu_tabel_g[[#This Row],[x base]],0,1,TRUE)+1-_xlfn.NORM.DIST(_xlfn.NORM.INV(1-(1-Eu_g_konfidensniveau)/2,0,1)-Eu_tabel_g[[#This Row],[x base]],0,1,TRUE)</f>
        <v>0.13359923699915432</v>
      </c>
      <c r="CR174" s="32" t="e" cm="1">
        <f t="array" ref="CR174">IF($CR$3,INDEX(Eu_tabel_g[[#This Row],[Styrke venstre]:[Styrke tosidet]],CR$7),NA())</f>
        <v>#N/A</v>
      </c>
      <c r="CS174" s="52" t="e">
        <f>Eu_tabel_g[[#This Row],[Falsk positiv
Nulhypotese accepteres
Fejltype 1]]</f>
        <v>#N/A</v>
      </c>
      <c r="CT174" s="52" t="e">
        <f>IF(CHOOSE(CR$7,Eu_tabel_g[[#This Row],[x base]]&gt;0,Eu_tabel_g[[#This Row],[x base]]&lt;0,Eu_tabel_g[[#This Row],[x base]]=0),Eu_tabel_g[[#This Row],[Styrke, aktiv]],NA())</f>
        <v>#N/A</v>
      </c>
      <c r="CU174" s="52" t="e">
        <f>IFERROR(IF($CR$3,Eu_tabel_g[[#This Row],[Styrke, aktiv]],NA()),NA())</f>
        <v>#N/A</v>
      </c>
      <c r="CV174" s="52" t="e">
        <f>IF(ISNA(Eu_tabel_g[[#This Row],[Sand negativ
Nulhypotese afvises
Korrekt]]),NA(),IF($CR$3,1,NA()))</f>
        <v>#N/A</v>
      </c>
      <c r="CW174" s="34" t="str" cm="1">
        <f t="array" ref="CW174">_xlfn.SWITCH(BZ174,_xlfn.IFNA(CU$2,-99),CU$5,_xlfn.IFNA(CU$3,-99),CU$6,_xlfn.IFNA(CU$4,-99),CU$7,"")</f>
        <v/>
      </c>
      <c r="DA174" s="7">
        <f t="shared" si="260"/>
        <v>0.8</v>
      </c>
      <c r="DB174">
        <f>IF(ROW(Styrkeberegning_G[[#This Row],[X base venstre]])=ROW(Styrkeberegning_G[[#Headers],[X base venstre]])+1,DB$7/(DA$7/$B$67),DB173/(DA173/$B$67))</f>
        <v>-2.8015817870135784</v>
      </c>
      <c r="DC174">
        <f>Styrkeberegning_G[[#This Row],[X base venstre]]*-1</f>
        <v>2.8015817870135784</v>
      </c>
      <c r="DN174" s="32">
        <f t="shared" si="261"/>
        <v>164</v>
      </c>
      <c r="DO174" s="32">
        <f t="shared" si="262"/>
        <v>165</v>
      </c>
      <c r="DP174" s="32">
        <f t="shared" si="263"/>
        <v>20.541473117041853</v>
      </c>
      <c r="DQ174" s="32" t="e">
        <f t="shared" si="264"/>
        <v>#N/A</v>
      </c>
      <c r="DR174" s="32" t="e">
        <f t="shared" si="265"/>
        <v>#N/A</v>
      </c>
      <c r="DS174" s="32">
        <f t="shared" si="266"/>
        <v>1.1797668248267034E-2</v>
      </c>
      <c r="DT174" s="32" t="e">
        <f t="shared" si="267"/>
        <v>#N/A</v>
      </c>
      <c r="DU174" s="32" t="b">
        <f t="shared" si="268"/>
        <v>0</v>
      </c>
      <c r="DV174" s="32" t="b">
        <f t="shared" si="269"/>
        <v>1</v>
      </c>
      <c r="DW174" s="32" t="b">
        <f t="shared" si="270"/>
        <v>0</v>
      </c>
      <c r="DX174" s="32" t="b">
        <f t="shared" si="271"/>
        <v>1</v>
      </c>
      <c r="DY174" s="32">
        <f t="shared" si="272"/>
        <v>1.1797668248267034E-2</v>
      </c>
      <c r="DZ174" s="32" t="e">
        <f t="shared" si="273"/>
        <v>#N/A</v>
      </c>
      <c r="EA174" s="32">
        <f t="shared" si="274"/>
        <v>1.1797668248267034E-2</v>
      </c>
      <c r="EB174" s="45" t="str">
        <f t="shared" si="275"/>
        <v/>
      </c>
      <c r="EG174" s="32">
        <f t="shared" si="276"/>
        <v>164</v>
      </c>
      <c r="EH174" s="32">
        <f t="shared" si="277"/>
        <v>165</v>
      </c>
      <c r="EI174" s="32">
        <f t="shared" si="278"/>
        <v>0.83843512182847624</v>
      </c>
      <c r="EJ174" s="32">
        <f t="shared" si="279"/>
        <v>0.28071222072349422</v>
      </c>
      <c r="EK174" s="32" t="e">
        <f t="shared" si="280"/>
        <v>#N/A</v>
      </c>
      <c r="EL174" s="32" t="e">
        <f t="shared" si="281"/>
        <v>#N/A</v>
      </c>
      <c r="EM174" s="32" t="e">
        <f t="shared" si="282"/>
        <v>#N/A</v>
      </c>
      <c r="EN174" s="32" t="b">
        <f t="shared" si="283"/>
        <v>0</v>
      </c>
      <c r="EO174" s="32" t="b">
        <f t="shared" si="284"/>
        <v>1</v>
      </c>
      <c r="EP174" s="32" t="b">
        <f t="shared" si="285"/>
        <v>0</v>
      </c>
      <c r="EQ174" s="32" t="b">
        <f t="shared" si="286"/>
        <v>1</v>
      </c>
      <c r="ER174" s="32">
        <f t="shared" si="287"/>
        <v>0.28071222072349422</v>
      </c>
      <c r="ES174" s="32" t="e">
        <f t="shared" si="288"/>
        <v>#N/A</v>
      </c>
      <c r="ET174" s="32">
        <f t="shared" si="289"/>
        <v>0.28071222072349422</v>
      </c>
      <c r="EU174" s="45" t="str">
        <f t="shared" si="290"/>
        <v/>
      </c>
      <c r="EV17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4" s="32" t="e" cm="1">
        <f t="array" ref="EY174">IF($CR$3,INDEX(Eu_tabel_a[[#This Row],[Styrke venstre]:[Styrke tosidet]],EY$7),NA())</f>
        <v>#N/A</v>
      </c>
      <c r="EZ174" s="32" t="e">
        <f>IF(EY$3,IF(CHOOSE(EY$7,Eu_tabel_a[[#This Row],[x base]]&gt;0,Eu_tabel_a[[#This Row],[x base]]&lt;0,Eu_tabel_a[[#This Row],[x base]]=0),1,NA()),NA())</f>
        <v>#N/A</v>
      </c>
      <c r="FA174" s="32" t="e">
        <f>IF(CHOOSE(EY$7,Eu_tabel_a[[#This Row],[x base]]&gt;0,Eu_tabel_a[[#This Row],[x base]]&lt;0,Eu_tabel_a[[#This Row],[x base]]=0),Eu_tabel_a[[#This Row],[Styrke, aktiv]],NA())</f>
        <v>#N/A</v>
      </c>
      <c r="FB174" s="32" t="e">
        <f>IFERROR(IF($EY$3,Eu_tabel_a[[#This Row],[Styrke, aktiv]],NA()),NA())</f>
        <v>#N/A</v>
      </c>
      <c r="FC174" s="32" t="e">
        <f>IF(ISNA(Eu_tabel_a[[#This Row],[Sand negativ
Nulhypotese afvises
Korrekt]]),NA(),IF(EY$3,1,NA()))</f>
        <v>#N/A</v>
      </c>
      <c r="FD174" s="33" t="str" cm="1">
        <f t="array" ref="FD174">IFERROR(_xlfn.SWITCH(Eu_tabel_a[[#This Row],[Indeks]],_xlfn.IFNA(FB$2,-99),FB$5,_xlfn.IFNA(FB$3,-99),FB$6,_xlfn.IFNA(FB$4,-99),FB$7,""),"")</f>
        <v/>
      </c>
      <c r="FE174" s="32">
        <f>Eu_tabel_a[[#This Row],[x base]]*SQRT(Eu_a_h0_x*(1-Eu_a_h0_x)/Eu_a_n_x)+Eu_a_h0_x</f>
        <v>0</v>
      </c>
      <c r="FJ174" s="74" t="e">
        <f t="shared" si="234"/>
        <v>#N/A</v>
      </c>
      <c r="FK174" s="82" t="e">
        <f t="shared" si="322"/>
        <v>#DIV/0!</v>
      </c>
      <c r="FL174" s="7" t="e">
        <f t="shared" si="228"/>
        <v>#DIV/0!</v>
      </c>
      <c r="FM174" t="e">
        <f t="shared" si="323"/>
        <v>#DIV/0!</v>
      </c>
      <c r="FN174" s="8" t="e">
        <f t="shared" si="324"/>
        <v>#DIV/0!</v>
      </c>
      <c r="FO174" s="8" t="e">
        <f t="shared" si="325"/>
        <v>#DIV/0!</v>
      </c>
      <c r="FP174" s="81" t="e">
        <f t="shared" si="326"/>
        <v>#DIV/0!</v>
      </c>
      <c r="FQ174" s="74" t="e">
        <f t="shared" ca="1" si="229"/>
        <v>#N/A</v>
      </c>
      <c r="FR174" s="82" t="e" vm="3">
        <f t="shared" ca="1" si="235"/>
        <v>#VALUE!</v>
      </c>
      <c r="FS174" s="7" t="e" vm="3">
        <f t="shared" ca="1" si="230"/>
        <v>#VALUE!</v>
      </c>
      <c r="FT174" t="e" vm="3">
        <f t="shared" ca="1" si="224"/>
        <v>#VALUE!</v>
      </c>
      <c r="FU174" s="8" t="e" vm="3">
        <f t="shared" ca="1" si="225"/>
        <v>#VALUE!</v>
      </c>
      <c r="FV174" s="8" t="e" vm="3">
        <f t="shared" ca="1" si="226"/>
        <v>#VALUE!</v>
      </c>
      <c r="FW174" s="81" t="e" vm="3">
        <f t="shared" ca="1" si="227"/>
        <v>#VALUE!</v>
      </c>
      <c r="FX174" s="74" t="e">
        <f t="shared" si="231"/>
        <v>#N/A</v>
      </c>
      <c r="FY174" s="82" t="e">
        <f t="shared" si="236"/>
        <v>#N/A</v>
      </c>
      <c r="FZ174" s="7" t="e">
        <f t="shared" si="232"/>
        <v>#N/A</v>
      </c>
      <c r="GA174" t="e">
        <f t="shared" si="237"/>
        <v>#N/A</v>
      </c>
      <c r="GB174" s="8" t="e">
        <f t="shared" si="238"/>
        <v>#N/A</v>
      </c>
      <c r="GC174" s="8" t="e">
        <f t="shared" si="239"/>
        <v>#N/A</v>
      </c>
      <c r="GD174" s="81" t="e">
        <f t="shared" si="240"/>
        <v>#N/A</v>
      </c>
      <c r="GE174" s="74" t="e">
        <f t="shared" si="241"/>
        <v>#N/A</v>
      </c>
      <c r="GF174" s="82" t="e">
        <f t="shared" si="242"/>
        <v>#N/A</v>
      </c>
      <c r="GG174" s="7" t="e">
        <f t="shared" si="233"/>
        <v>#N/A</v>
      </c>
      <c r="GH174" t="e">
        <f t="shared" si="243"/>
        <v>#N/A</v>
      </c>
      <c r="GI174" s="8" t="e">
        <f t="shared" si="244"/>
        <v>#N/A</v>
      </c>
      <c r="GJ174" s="8" t="e">
        <f t="shared" si="245"/>
        <v>#N/A</v>
      </c>
      <c r="GK174" s="81" t="e">
        <f t="shared" si="246"/>
        <v>#N/A</v>
      </c>
      <c r="GL174" s="81"/>
      <c r="GM174" s="81"/>
      <c r="GP174" s="32">
        <f t="shared" si="291"/>
        <v>164</v>
      </c>
      <c r="GQ174" s="32">
        <f t="shared" si="292"/>
        <v>165</v>
      </c>
      <c r="GR174" s="32">
        <f t="shared" si="293"/>
        <v>0.83843512182847624</v>
      </c>
      <c r="GS174" s="32">
        <f t="shared" si="294"/>
        <v>0.28071222072349422</v>
      </c>
      <c r="GT174" s="32" t="e">
        <f t="shared" si="295"/>
        <v>#N/A</v>
      </c>
      <c r="GU174" s="32" t="e">
        <f t="shared" si="296"/>
        <v>#N/A</v>
      </c>
      <c r="GV174" s="32" t="e">
        <f t="shared" si="297"/>
        <v>#N/A</v>
      </c>
      <c r="GW174" s="32" t="b">
        <f t="shared" si="298"/>
        <v>0</v>
      </c>
      <c r="GX174" s="32" t="b">
        <f t="shared" si="299"/>
        <v>1</v>
      </c>
      <c r="GY174" s="32" t="b">
        <f t="shared" si="300"/>
        <v>0</v>
      </c>
      <c r="GZ174" s="32" t="b">
        <f t="shared" si="301"/>
        <v>1</v>
      </c>
      <c r="HA174" s="32">
        <f t="shared" si="302"/>
        <v>0.28071222072349422</v>
      </c>
      <c r="HB174" s="32" t="e">
        <f t="shared" si="303"/>
        <v>#N/A</v>
      </c>
      <c r="HC174" s="32">
        <f t="shared" si="304"/>
        <v>0.28071222072349422</v>
      </c>
      <c r="HD174" s="45" t="str">
        <f t="shared" si="305"/>
        <v/>
      </c>
      <c r="HJ174" s="32">
        <f t="shared" si="306"/>
        <v>164</v>
      </c>
      <c r="HK174" s="32">
        <f t="shared" si="307"/>
        <v>165</v>
      </c>
      <c r="HL174" s="32">
        <f t="shared" si="308"/>
        <v>1.2983343953669895</v>
      </c>
      <c r="HM174" s="32" t="e">
        <f t="shared" si="309"/>
        <v>#N/A</v>
      </c>
      <c r="HN174" s="32">
        <f t="shared" si="310"/>
        <v>0.16241625995329936</v>
      </c>
      <c r="HO174" s="32" t="e">
        <f t="shared" si="311"/>
        <v>#N/A</v>
      </c>
      <c r="HP174" s="32" t="e">
        <f t="shared" si="312"/>
        <v>#N/A</v>
      </c>
      <c r="HQ174" s="32" t="b">
        <f t="shared" si="313"/>
        <v>1</v>
      </c>
      <c r="HR174" s="32" t="b">
        <f t="shared" si="314"/>
        <v>0</v>
      </c>
      <c r="HS174" s="32" t="b">
        <f t="shared" si="315"/>
        <v>0</v>
      </c>
      <c r="HT174" s="32" t="b">
        <f t="shared" si="316"/>
        <v>1</v>
      </c>
      <c r="HU174" s="32">
        <f t="shared" si="317"/>
        <v>0.16241625995329936</v>
      </c>
      <c r="HV174" s="32">
        <f t="shared" si="318"/>
        <v>0.16241625995329936</v>
      </c>
      <c r="HW174" s="32" t="e">
        <f t="shared" si="319"/>
        <v>#N/A</v>
      </c>
      <c r="HX174" s="45" t="str">
        <f t="shared" si="320"/>
        <v/>
      </c>
    </row>
    <row r="175" spans="78:232" x14ac:dyDescent="0.2">
      <c r="BZ175" s="32">
        <f t="shared" si="247"/>
        <v>165</v>
      </c>
      <c r="CA175" s="32">
        <f>Eu_tabel_g[[#This Row],[Indeks]]+1</f>
        <v>166</v>
      </c>
      <c r="CB175" s="32">
        <f t="shared" si="248"/>
        <v>0.86239041102357561</v>
      </c>
      <c r="CC175" s="32">
        <f t="shared" si="249"/>
        <v>0.27505144014997257</v>
      </c>
      <c r="CD175" s="32" t="e">
        <f t="shared" si="250"/>
        <v>#N/A</v>
      </c>
      <c r="CE175" s="32" t="e">
        <f t="shared" si="251"/>
        <v>#N/A</v>
      </c>
      <c r="CF175" s="32" t="e">
        <f t="shared" si="252"/>
        <v>#N/A</v>
      </c>
      <c r="CG175" s="32" t="b">
        <f t="shared" si="253"/>
        <v>0</v>
      </c>
      <c r="CH175" s="32" t="b">
        <f t="shared" si="254"/>
        <v>1</v>
      </c>
      <c r="CI175" s="32" t="b">
        <f t="shared" si="255"/>
        <v>0</v>
      </c>
      <c r="CJ175" s="32" t="b">
        <f t="shared" si="256"/>
        <v>1</v>
      </c>
      <c r="CK175" s="32">
        <f t="shared" si="321"/>
        <v>0.27505144014997257</v>
      </c>
      <c r="CL175" s="32" t="e">
        <f t="shared" si="257"/>
        <v>#N/A</v>
      </c>
      <c r="CM175" s="32">
        <f t="shared" si="258"/>
        <v>0.27505144014997257</v>
      </c>
      <c r="CN175" s="45" t="str">
        <f t="shared" si="259"/>
        <v/>
      </c>
      <c r="CO175" s="32">
        <f>_xlfn.NORM.DIST(_xlfn.NORM.INV(1-Eu_g_konfidensniveau,0,1)-Eu_tabel_g[[#This Row],[x base]],0,1,TRUE)</f>
        <v>6.0838336081612439E-3</v>
      </c>
      <c r="CP175" s="32">
        <f>1-_xlfn.NORM.DIST(_xlfn.NORM.INV(Eu_g_konfidensniveau,0,1)-Eu_tabel_g[[#This Row],[x base]],0,1,TRUE)</f>
        <v>0.2169711974485582</v>
      </c>
      <c r="CQ175" s="32">
        <f>_xlfn.NORM.DIST(_xlfn.NORM.INV((1-Eu_g_konfidensniveau)/2,0,1)-Eu_tabel_g[[#This Row],[x base]],0,1,TRUE)+1-_xlfn.NORM.DIST(_xlfn.NORM.INV(1-(1-Eu_g_konfidensniveau)/2,0,1)-Eu_tabel_g[[#This Row],[x base]],0,1,TRUE)</f>
        <v>0.13857899198909518</v>
      </c>
      <c r="CR175" s="32" t="e" cm="1">
        <f t="array" ref="CR175">IF($CR$3,INDEX(Eu_tabel_g[[#This Row],[Styrke venstre]:[Styrke tosidet]],CR$7),NA())</f>
        <v>#N/A</v>
      </c>
      <c r="CS175" s="52" t="e">
        <f>Eu_tabel_g[[#This Row],[Falsk positiv
Nulhypotese accepteres
Fejltype 1]]</f>
        <v>#N/A</v>
      </c>
      <c r="CT175" s="52" t="e">
        <f>IF(CHOOSE(CR$7,Eu_tabel_g[[#This Row],[x base]]&gt;0,Eu_tabel_g[[#This Row],[x base]]&lt;0,Eu_tabel_g[[#This Row],[x base]]=0),Eu_tabel_g[[#This Row],[Styrke, aktiv]],NA())</f>
        <v>#N/A</v>
      </c>
      <c r="CU175" s="52" t="e">
        <f>IFERROR(IF($CR$3,Eu_tabel_g[[#This Row],[Styrke, aktiv]],NA()),NA())</f>
        <v>#N/A</v>
      </c>
      <c r="CV175" s="52" t="e">
        <f>IF(ISNA(Eu_tabel_g[[#This Row],[Sand negativ
Nulhypotese afvises
Korrekt]]),NA(),IF($CR$3,1,NA()))</f>
        <v>#N/A</v>
      </c>
      <c r="CW175" s="34" t="str" cm="1">
        <f t="array" ref="CW175">_xlfn.SWITCH(BZ175,_xlfn.IFNA(CU$2,-99),CU$5,_xlfn.IFNA(CU$3,-99),CU$6,_xlfn.IFNA(CU$4,-99),CU$7,"")</f>
        <v/>
      </c>
      <c r="DA175" s="7">
        <f t="shared" si="260"/>
        <v>0.8</v>
      </c>
      <c r="DB175">
        <f>IF(ROW(Styrkeberegning_G[[#This Row],[X base venstre]])=ROW(Styrkeberegning_G[[#Headers],[X base venstre]])+1,DB$7/(DA$7/$B$67),DB174/(DA174/$B$67))</f>
        <v>-2.8015817870135784</v>
      </c>
      <c r="DC175">
        <f>Styrkeberegning_G[[#This Row],[X base venstre]]*-1</f>
        <v>2.8015817870135784</v>
      </c>
      <c r="DN175" s="32">
        <f t="shared" si="261"/>
        <v>165</v>
      </c>
      <c r="DO175" s="32">
        <f t="shared" si="262"/>
        <v>166</v>
      </c>
      <c r="DP175" s="32">
        <f t="shared" si="263"/>
        <v>20.655543973458855</v>
      </c>
      <c r="DQ175" s="32" t="e">
        <f t="shared" si="264"/>
        <v>#N/A</v>
      </c>
      <c r="DR175" s="32" t="e">
        <f t="shared" si="265"/>
        <v>#N/A</v>
      </c>
      <c r="DS175" s="32">
        <f t="shared" si="266"/>
        <v>1.1424803489049444E-2</v>
      </c>
      <c r="DT175" s="32" t="e">
        <f t="shared" si="267"/>
        <v>#N/A</v>
      </c>
      <c r="DU175" s="32" t="b">
        <f t="shared" si="268"/>
        <v>0</v>
      </c>
      <c r="DV175" s="32" t="b">
        <f t="shared" si="269"/>
        <v>1</v>
      </c>
      <c r="DW175" s="32" t="b">
        <f t="shared" si="270"/>
        <v>0</v>
      </c>
      <c r="DX175" s="32" t="b">
        <f t="shared" si="271"/>
        <v>1</v>
      </c>
      <c r="DY175" s="32">
        <f t="shared" si="272"/>
        <v>1.1424803489049444E-2</v>
      </c>
      <c r="DZ175" s="32" t="e">
        <f t="shared" si="273"/>
        <v>#N/A</v>
      </c>
      <c r="EA175" s="32">
        <f t="shared" si="274"/>
        <v>1.1424803489049444E-2</v>
      </c>
      <c r="EB175" s="45" t="str">
        <f t="shared" si="275"/>
        <v/>
      </c>
      <c r="EG175" s="32">
        <f t="shared" si="276"/>
        <v>165</v>
      </c>
      <c r="EH175" s="32">
        <f t="shared" si="277"/>
        <v>166</v>
      </c>
      <c r="EI175" s="32">
        <f t="shared" si="278"/>
        <v>0.86239041102357561</v>
      </c>
      <c r="EJ175" s="32">
        <f t="shared" si="279"/>
        <v>0.27505144014997257</v>
      </c>
      <c r="EK175" s="32" t="e">
        <f t="shared" si="280"/>
        <v>#N/A</v>
      </c>
      <c r="EL175" s="32" t="e">
        <f t="shared" si="281"/>
        <v>#N/A</v>
      </c>
      <c r="EM175" s="32" t="e">
        <f t="shared" si="282"/>
        <v>#N/A</v>
      </c>
      <c r="EN175" s="32" t="b">
        <f t="shared" si="283"/>
        <v>0</v>
      </c>
      <c r="EO175" s="32" t="b">
        <f t="shared" si="284"/>
        <v>1</v>
      </c>
      <c r="EP175" s="32" t="b">
        <f t="shared" si="285"/>
        <v>0</v>
      </c>
      <c r="EQ175" s="32" t="b">
        <f t="shared" si="286"/>
        <v>1</v>
      </c>
      <c r="ER175" s="32">
        <f t="shared" si="287"/>
        <v>0.27505144014997257</v>
      </c>
      <c r="ES175" s="32" t="e">
        <f t="shared" si="288"/>
        <v>#N/A</v>
      </c>
      <c r="ET175" s="32">
        <f t="shared" si="289"/>
        <v>0.27505144014997257</v>
      </c>
      <c r="EU175" s="45" t="str">
        <f t="shared" si="290"/>
        <v/>
      </c>
      <c r="EV17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5" s="32" t="e" cm="1">
        <f t="array" ref="EY175">IF($CR$3,INDEX(Eu_tabel_a[[#This Row],[Styrke venstre]:[Styrke tosidet]],EY$7),NA())</f>
        <v>#N/A</v>
      </c>
      <c r="EZ175" s="32" t="e">
        <f>IF(EY$3,IF(CHOOSE(EY$7,Eu_tabel_a[[#This Row],[x base]]&gt;0,Eu_tabel_a[[#This Row],[x base]]&lt;0,Eu_tabel_a[[#This Row],[x base]]=0),1,NA()),NA())</f>
        <v>#N/A</v>
      </c>
      <c r="FA175" s="32" t="e">
        <f>IF(CHOOSE(EY$7,Eu_tabel_a[[#This Row],[x base]]&gt;0,Eu_tabel_a[[#This Row],[x base]]&lt;0,Eu_tabel_a[[#This Row],[x base]]=0),Eu_tabel_a[[#This Row],[Styrke, aktiv]],NA())</f>
        <v>#N/A</v>
      </c>
      <c r="FB175" s="32" t="e">
        <f>IFERROR(IF($EY$3,Eu_tabel_a[[#This Row],[Styrke, aktiv]],NA()),NA())</f>
        <v>#N/A</v>
      </c>
      <c r="FC175" s="32" t="e">
        <f>IF(ISNA(Eu_tabel_a[[#This Row],[Sand negativ
Nulhypotese afvises
Korrekt]]),NA(),IF(EY$3,1,NA()))</f>
        <v>#N/A</v>
      </c>
      <c r="FD175" s="33" t="str" cm="1">
        <f t="array" ref="FD175">IFERROR(_xlfn.SWITCH(Eu_tabel_a[[#This Row],[Indeks]],_xlfn.IFNA(FB$2,-99),FB$5,_xlfn.IFNA(FB$3,-99),FB$6,_xlfn.IFNA(FB$4,-99),FB$7,""),"")</f>
        <v/>
      </c>
      <c r="FE175" s="32">
        <f>Eu_tabel_a[[#This Row],[x base]]*SQRT(Eu_a_h0_x*(1-Eu_a_h0_x)/Eu_a_n_x)+Eu_a_h0_x</f>
        <v>0</v>
      </c>
      <c r="FJ175" s="74" t="e">
        <f t="shared" si="234"/>
        <v>#N/A</v>
      </c>
      <c r="FK175" s="82" t="e">
        <f t="shared" si="322"/>
        <v>#DIV/0!</v>
      </c>
      <c r="FL175" s="7" t="e">
        <f t="shared" si="228"/>
        <v>#DIV/0!</v>
      </c>
      <c r="FM175" t="e">
        <f t="shared" si="323"/>
        <v>#DIV/0!</v>
      </c>
      <c r="FN175" s="8" t="e">
        <f t="shared" si="324"/>
        <v>#DIV/0!</v>
      </c>
      <c r="FO175" s="8" t="e">
        <f t="shared" si="325"/>
        <v>#DIV/0!</v>
      </c>
      <c r="FP175" s="81" t="e">
        <f t="shared" si="326"/>
        <v>#DIV/0!</v>
      </c>
      <c r="FQ175" s="74" t="e">
        <f t="shared" ca="1" si="229"/>
        <v>#N/A</v>
      </c>
      <c r="FR175" s="82" t="e" vm="3">
        <f t="shared" ca="1" si="235"/>
        <v>#VALUE!</v>
      </c>
      <c r="FS175" s="7" t="e" vm="3">
        <f t="shared" ca="1" si="230"/>
        <v>#VALUE!</v>
      </c>
      <c r="FT175" t="e" vm="3">
        <f t="shared" ca="1" si="224"/>
        <v>#VALUE!</v>
      </c>
      <c r="FU175" s="8" t="e" vm="3">
        <f t="shared" ca="1" si="225"/>
        <v>#VALUE!</v>
      </c>
      <c r="FV175" s="8" t="e" vm="3">
        <f t="shared" ca="1" si="226"/>
        <v>#VALUE!</v>
      </c>
      <c r="FW175" s="81" t="e" vm="3">
        <f t="shared" ca="1" si="227"/>
        <v>#VALUE!</v>
      </c>
      <c r="FX175" s="74" t="e">
        <f t="shared" si="231"/>
        <v>#N/A</v>
      </c>
      <c r="FY175" s="82" t="e">
        <f t="shared" si="236"/>
        <v>#N/A</v>
      </c>
      <c r="FZ175" s="7" t="e">
        <f t="shared" si="232"/>
        <v>#N/A</v>
      </c>
      <c r="GA175" t="e">
        <f t="shared" si="237"/>
        <v>#N/A</v>
      </c>
      <c r="GB175" s="8" t="e">
        <f t="shared" si="238"/>
        <v>#N/A</v>
      </c>
      <c r="GC175" s="8" t="e">
        <f t="shared" si="239"/>
        <v>#N/A</v>
      </c>
      <c r="GD175" s="81" t="e">
        <f t="shared" si="240"/>
        <v>#N/A</v>
      </c>
      <c r="GE175" s="74" t="e">
        <f t="shared" si="241"/>
        <v>#N/A</v>
      </c>
      <c r="GF175" s="82" t="e">
        <f t="shared" si="242"/>
        <v>#N/A</v>
      </c>
      <c r="GG175" s="7" t="e">
        <f t="shared" si="233"/>
        <v>#N/A</v>
      </c>
      <c r="GH175" t="e">
        <f t="shared" si="243"/>
        <v>#N/A</v>
      </c>
      <c r="GI175" s="8" t="e">
        <f t="shared" si="244"/>
        <v>#N/A</v>
      </c>
      <c r="GJ175" s="8" t="e">
        <f t="shared" si="245"/>
        <v>#N/A</v>
      </c>
      <c r="GK175" s="81" t="e">
        <f t="shared" si="246"/>
        <v>#N/A</v>
      </c>
      <c r="GL175" s="81"/>
      <c r="GM175" s="81"/>
      <c r="GP175" s="32">
        <f t="shared" si="291"/>
        <v>165</v>
      </c>
      <c r="GQ175" s="32">
        <f t="shared" si="292"/>
        <v>166</v>
      </c>
      <c r="GR175" s="32">
        <f t="shared" si="293"/>
        <v>0.86239041102357561</v>
      </c>
      <c r="GS175" s="32">
        <f t="shared" si="294"/>
        <v>0.27505144014997257</v>
      </c>
      <c r="GT175" s="32" t="e">
        <f t="shared" si="295"/>
        <v>#N/A</v>
      </c>
      <c r="GU175" s="32" t="e">
        <f t="shared" si="296"/>
        <v>#N/A</v>
      </c>
      <c r="GV175" s="32" t="e">
        <f t="shared" si="297"/>
        <v>#N/A</v>
      </c>
      <c r="GW175" s="32" t="b">
        <f t="shared" si="298"/>
        <v>0</v>
      </c>
      <c r="GX175" s="32" t="b">
        <f t="shared" si="299"/>
        <v>1</v>
      </c>
      <c r="GY175" s="32" t="b">
        <f t="shared" si="300"/>
        <v>0</v>
      </c>
      <c r="GZ175" s="32" t="b">
        <f t="shared" si="301"/>
        <v>1</v>
      </c>
      <c r="HA175" s="32">
        <f t="shared" si="302"/>
        <v>0.27505144014997257</v>
      </c>
      <c r="HB175" s="32" t="e">
        <f t="shared" si="303"/>
        <v>#N/A</v>
      </c>
      <c r="HC175" s="32">
        <f t="shared" si="304"/>
        <v>0.27505144014997257</v>
      </c>
      <c r="HD175" s="45" t="str">
        <f t="shared" si="305"/>
        <v/>
      </c>
      <c r="HJ175" s="32">
        <f t="shared" si="306"/>
        <v>165</v>
      </c>
      <c r="HK175" s="32">
        <f t="shared" si="307"/>
        <v>166</v>
      </c>
      <c r="HL175" s="32">
        <f t="shared" si="308"/>
        <v>1.335429663806047</v>
      </c>
      <c r="HM175" s="32" t="e">
        <f t="shared" si="309"/>
        <v>#N/A</v>
      </c>
      <c r="HN175" s="32">
        <f t="shared" si="310"/>
        <v>0.15530951457528139</v>
      </c>
      <c r="HO175" s="32" t="e">
        <f t="shared" si="311"/>
        <v>#N/A</v>
      </c>
      <c r="HP175" s="32" t="e">
        <f t="shared" si="312"/>
        <v>#N/A</v>
      </c>
      <c r="HQ175" s="32" t="b">
        <f t="shared" si="313"/>
        <v>1</v>
      </c>
      <c r="HR175" s="32" t="b">
        <f t="shared" si="314"/>
        <v>0</v>
      </c>
      <c r="HS175" s="32" t="b">
        <f t="shared" si="315"/>
        <v>0</v>
      </c>
      <c r="HT175" s="32" t="b">
        <f t="shared" si="316"/>
        <v>1</v>
      </c>
      <c r="HU175" s="32">
        <f t="shared" si="317"/>
        <v>0.15530951457528139</v>
      </c>
      <c r="HV175" s="32">
        <f t="shared" si="318"/>
        <v>0.15530951457528139</v>
      </c>
      <c r="HW175" s="32" t="e">
        <f t="shared" si="319"/>
        <v>#N/A</v>
      </c>
      <c r="HX175" s="45" t="str">
        <f t="shared" si="320"/>
        <v/>
      </c>
    </row>
    <row r="176" spans="78:232" x14ac:dyDescent="0.2">
      <c r="BZ176" s="32">
        <f t="shared" si="247"/>
        <v>166</v>
      </c>
      <c r="CA176" s="32">
        <f>Eu_tabel_g[[#This Row],[Indeks]]+1</f>
        <v>167</v>
      </c>
      <c r="CB176" s="32">
        <f t="shared" si="248"/>
        <v>0.88634570021867498</v>
      </c>
      <c r="CC176" s="32">
        <f t="shared" si="249"/>
        <v>0.26935020107061902</v>
      </c>
      <c r="CD176" s="32" t="e">
        <f t="shared" si="250"/>
        <v>#N/A</v>
      </c>
      <c r="CE176" s="32" t="e">
        <f t="shared" si="251"/>
        <v>#N/A</v>
      </c>
      <c r="CF176" s="32" t="e">
        <f t="shared" si="252"/>
        <v>#N/A</v>
      </c>
      <c r="CG176" s="32" t="b">
        <f t="shared" si="253"/>
        <v>0</v>
      </c>
      <c r="CH176" s="32" t="b">
        <f t="shared" si="254"/>
        <v>1</v>
      </c>
      <c r="CI176" s="32" t="b">
        <f t="shared" si="255"/>
        <v>0</v>
      </c>
      <c r="CJ176" s="32" t="b">
        <f t="shared" si="256"/>
        <v>1</v>
      </c>
      <c r="CK176" s="32">
        <f t="shared" si="321"/>
        <v>0.26935020107061902</v>
      </c>
      <c r="CL176" s="32" t="e">
        <f t="shared" si="257"/>
        <v>#N/A</v>
      </c>
      <c r="CM176" s="32">
        <f t="shared" si="258"/>
        <v>0.26935020107061902</v>
      </c>
      <c r="CN176" s="45" t="str">
        <f t="shared" si="259"/>
        <v/>
      </c>
      <c r="CO176" s="32">
        <f>_xlfn.NORM.DIST(_xlfn.NORM.INV(1-Eu_g_konfidensniveau,0,1)-Eu_tabel_g[[#This Row],[x base]],0,1,TRUE)</f>
        <v>5.683661479562039E-3</v>
      </c>
      <c r="CP176" s="32">
        <f>1-_xlfn.NORM.DIST(_xlfn.NORM.INV(Eu_g_konfidensniveau,0,1)-Eu_tabel_g[[#This Row],[x base]],0,1,TRUE)</f>
        <v>0.22407348473684652</v>
      </c>
      <c r="CQ176" s="32">
        <f>_xlfn.NORM.DIST(_xlfn.NORM.INV((1-Eu_g_konfidensniveau)/2,0,1)-Eu_tabel_g[[#This Row],[x base]],0,1,TRUE)+1-_xlfn.NORM.DIST(_xlfn.NORM.INV(1-(1-Eu_g_konfidensniveau)/2,0,1)-Eu_tabel_g[[#This Row],[x base]],0,1,TRUE)</f>
        <v>0.14370835754319289</v>
      </c>
      <c r="CR176" s="32" t="e" cm="1">
        <f t="array" ref="CR176">IF($CR$3,INDEX(Eu_tabel_g[[#This Row],[Styrke venstre]:[Styrke tosidet]],CR$7),NA())</f>
        <v>#N/A</v>
      </c>
      <c r="CS176" s="52" t="e">
        <f>Eu_tabel_g[[#This Row],[Falsk positiv
Nulhypotese accepteres
Fejltype 1]]</f>
        <v>#N/A</v>
      </c>
      <c r="CT176" s="52" t="e">
        <f>IF(CHOOSE(CR$7,Eu_tabel_g[[#This Row],[x base]]&gt;0,Eu_tabel_g[[#This Row],[x base]]&lt;0,Eu_tabel_g[[#This Row],[x base]]=0),Eu_tabel_g[[#This Row],[Styrke, aktiv]],NA())</f>
        <v>#N/A</v>
      </c>
      <c r="CU176" s="52" t="e">
        <f>IFERROR(IF($CR$3,Eu_tabel_g[[#This Row],[Styrke, aktiv]],NA()),NA())</f>
        <v>#N/A</v>
      </c>
      <c r="CV176" s="52" t="e">
        <f>IF(ISNA(Eu_tabel_g[[#This Row],[Sand negativ
Nulhypotese afvises
Korrekt]]),NA(),IF($CR$3,1,NA()))</f>
        <v>#N/A</v>
      </c>
      <c r="CW176" s="34" t="str" cm="1">
        <f t="array" ref="CW176">_xlfn.SWITCH(BZ176,_xlfn.IFNA(CU$2,-99),CU$5,_xlfn.IFNA(CU$3,-99),CU$6,_xlfn.IFNA(CU$4,-99),CU$7,"")</f>
        <v/>
      </c>
      <c r="DA176" s="7">
        <f t="shared" si="260"/>
        <v>0.8</v>
      </c>
      <c r="DB176">
        <f>IF(ROW(Styrkeberegning_G[[#This Row],[X base venstre]])=ROW(Styrkeberegning_G[[#Headers],[X base venstre]])+1,DB$7/(DA$7/$B$67),DB175/(DA175/$B$67))</f>
        <v>-2.8015817870135784</v>
      </c>
      <c r="DC176">
        <f>Styrkeberegning_G[[#This Row],[X base venstre]]*-1</f>
        <v>2.8015817870135784</v>
      </c>
      <c r="DN176" s="32">
        <f t="shared" si="261"/>
        <v>166</v>
      </c>
      <c r="DO176" s="32">
        <f t="shared" si="262"/>
        <v>167</v>
      </c>
      <c r="DP176" s="32">
        <f t="shared" si="263"/>
        <v>20.769614829875856</v>
      </c>
      <c r="DQ176" s="32" t="e">
        <f t="shared" si="264"/>
        <v>#N/A</v>
      </c>
      <c r="DR176" s="32" t="e">
        <f t="shared" si="265"/>
        <v>#N/A</v>
      </c>
      <c r="DS176" s="32">
        <f t="shared" si="266"/>
        <v>1.1062204771235188E-2</v>
      </c>
      <c r="DT176" s="32" t="e">
        <f t="shared" si="267"/>
        <v>#N/A</v>
      </c>
      <c r="DU176" s="32" t="b">
        <f t="shared" si="268"/>
        <v>0</v>
      </c>
      <c r="DV176" s="32" t="b">
        <f t="shared" si="269"/>
        <v>1</v>
      </c>
      <c r="DW176" s="32" t="b">
        <f t="shared" si="270"/>
        <v>0</v>
      </c>
      <c r="DX176" s="32" t="b">
        <f t="shared" si="271"/>
        <v>1</v>
      </c>
      <c r="DY176" s="32">
        <f t="shared" si="272"/>
        <v>1.1062204771235188E-2</v>
      </c>
      <c r="DZ176" s="32" t="e">
        <f t="shared" si="273"/>
        <v>#N/A</v>
      </c>
      <c r="EA176" s="32">
        <f t="shared" si="274"/>
        <v>1.1062204771235188E-2</v>
      </c>
      <c r="EB176" s="45" t="str">
        <f t="shared" si="275"/>
        <v/>
      </c>
      <c r="EG176" s="32">
        <f t="shared" si="276"/>
        <v>166</v>
      </c>
      <c r="EH176" s="32">
        <f t="shared" si="277"/>
        <v>167</v>
      </c>
      <c r="EI176" s="32">
        <f t="shared" si="278"/>
        <v>0.88634570021867498</v>
      </c>
      <c r="EJ176" s="32">
        <f t="shared" si="279"/>
        <v>0.26935020107061902</v>
      </c>
      <c r="EK176" s="32" t="e">
        <f t="shared" si="280"/>
        <v>#N/A</v>
      </c>
      <c r="EL176" s="32" t="e">
        <f t="shared" si="281"/>
        <v>#N/A</v>
      </c>
      <c r="EM176" s="32" t="e">
        <f t="shared" si="282"/>
        <v>#N/A</v>
      </c>
      <c r="EN176" s="32" t="b">
        <f t="shared" si="283"/>
        <v>0</v>
      </c>
      <c r="EO176" s="32" t="b">
        <f t="shared" si="284"/>
        <v>1</v>
      </c>
      <c r="EP176" s="32" t="b">
        <f t="shared" si="285"/>
        <v>0</v>
      </c>
      <c r="EQ176" s="32" t="b">
        <f t="shared" si="286"/>
        <v>1</v>
      </c>
      <c r="ER176" s="32">
        <f t="shared" si="287"/>
        <v>0.26935020107061902</v>
      </c>
      <c r="ES176" s="32" t="e">
        <f t="shared" si="288"/>
        <v>#N/A</v>
      </c>
      <c r="ET176" s="32">
        <f t="shared" si="289"/>
        <v>0.26935020107061902</v>
      </c>
      <c r="EU176" s="45" t="str">
        <f t="shared" si="290"/>
        <v/>
      </c>
      <c r="EV17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6" s="32" t="e" cm="1">
        <f t="array" ref="EY176">IF($CR$3,INDEX(Eu_tabel_a[[#This Row],[Styrke venstre]:[Styrke tosidet]],EY$7),NA())</f>
        <v>#N/A</v>
      </c>
      <c r="EZ176" s="32" t="e">
        <f>IF(EY$3,IF(CHOOSE(EY$7,Eu_tabel_a[[#This Row],[x base]]&gt;0,Eu_tabel_a[[#This Row],[x base]]&lt;0,Eu_tabel_a[[#This Row],[x base]]=0),1,NA()),NA())</f>
        <v>#N/A</v>
      </c>
      <c r="FA176" s="32" t="e">
        <f>IF(CHOOSE(EY$7,Eu_tabel_a[[#This Row],[x base]]&gt;0,Eu_tabel_a[[#This Row],[x base]]&lt;0,Eu_tabel_a[[#This Row],[x base]]=0),Eu_tabel_a[[#This Row],[Styrke, aktiv]],NA())</f>
        <v>#N/A</v>
      </c>
      <c r="FB176" s="32" t="e">
        <f>IFERROR(IF($EY$3,Eu_tabel_a[[#This Row],[Styrke, aktiv]],NA()),NA())</f>
        <v>#N/A</v>
      </c>
      <c r="FC176" s="32" t="e">
        <f>IF(ISNA(Eu_tabel_a[[#This Row],[Sand negativ
Nulhypotese afvises
Korrekt]]),NA(),IF(EY$3,1,NA()))</f>
        <v>#N/A</v>
      </c>
      <c r="FD176" s="33" t="str" cm="1">
        <f t="array" ref="FD176">IFERROR(_xlfn.SWITCH(Eu_tabel_a[[#This Row],[Indeks]],_xlfn.IFNA(FB$2,-99),FB$5,_xlfn.IFNA(FB$3,-99),FB$6,_xlfn.IFNA(FB$4,-99),FB$7,""),"")</f>
        <v/>
      </c>
      <c r="FE176" s="32">
        <f>Eu_tabel_a[[#This Row],[x base]]*SQRT(Eu_a_h0_x*(1-Eu_a_h0_x)/Eu_a_n_x)+Eu_a_h0_x</f>
        <v>0</v>
      </c>
      <c r="FJ176" s="74" t="e">
        <f t="shared" si="234"/>
        <v>#N/A</v>
      </c>
      <c r="FK176" s="82" t="e">
        <f t="shared" si="322"/>
        <v>#DIV/0!</v>
      </c>
      <c r="FL176" s="7" t="e">
        <f t="shared" si="228"/>
        <v>#DIV/0!</v>
      </c>
      <c r="FM176" t="e">
        <f t="shared" si="323"/>
        <v>#DIV/0!</v>
      </c>
      <c r="FN176" s="8" t="e">
        <f t="shared" si="324"/>
        <v>#DIV/0!</v>
      </c>
      <c r="FO176" s="8" t="e">
        <f t="shared" si="325"/>
        <v>#DIV/0!</v>
      </c>
      <c r="FP176" s="81" t="e">
        <f t="shared" si="326"/>
        <v>#DIV/0!</v>
      </c>
      <c r="FQ176" s="74" t="e">
        <f t="shared" ca="1" si="229"/>
        <v>#N/A</v>
      </c>
      <c r="FR176" s="82" t="e" vm="3">
        <f t="shared" ca="1" si="235"/>
        <v>#VALUE!</v>
      </c>
      <c r="FS176" s="7" t="e" vm="3">
        <f t="shared" ca="1" si="230"/>
        <v>#VALUE!</v>
      </c>
      <c r="FT176" t="e" vm="3">
        <f t="shared" ca="1" si="224"/>
        <v>#VALUE!</v>
      </c>
      <c r="FU176" s="8" t="e" vm="3">
        <f t="shared" ca="1" si="225"/>
        <v>#VALUE!</v>
      </c>
      <c r="FV176" s="8" t="e" vm="3">
        <f t="shared" ca="1" si="226"/>
        <v>#VALUE!</v>
      </c>
      <c r="FW176" s="81" t="e" vm="3">
        <f t="shared" ca="1" si="227"/>
        <v>#VALUE!</v>
      </c>
      <c r="FX176" s="74" t="e">
        <f t="shared" si="231"/>
        <v>#N/A</v>
      </c>
      <c r="FY176" s="82" t="e">
        <f t="shared" si="236"/>
        <v>#N/A</v>
      </c>
      <c r="FZ176" s="7" t="e">
        <f t="shared" si="232"/>
        <v>#N/A</v>
      </c>
      <c r="GA176" t="e">
        <f t="shared" si="237"/>
        <v>#N/A</v>
      </c>
      <c r="GB176" s="8" t="e">
        <f t="shared" si="238"/>
        <v>#N/A</v>
      </c>
      <c r="GC176" s="8" t="e">
        <f t="shared" si="239"/>
        <v>#N/A</v>
      </c>
      <c r="GD176" s="81" t="e">
        <f t="shared" si="240"/>
        <v>#N/A</v>
      </c>
      <c r="GE176" s="74" t="e">
        <f t="shared" si="241"/>
        <v>#N/A</v>
      </c>
      <c r="GF176" s="82" t="e">
        <f t="shared" si="242"/>
        <v>#N/A</v>
      </c>
      <c r="GG176" s="7" t="e">
        <f t="shared" si="233"/>
        <v>#N/A</v>
      </c>
      <c r="GH176" t="e">
        <f t="shared" si="243"/>
        <v>#N/A</v>
      </c>
      <c r="GI176" s="8" t="e">
        <f t="shared" si="244"/>
        <v>#N/A</v>
      </c>
      <c r="GJ176" s="8" t="e">
        <f t="shared" si="245"/>
        <v>#N/A</v>
      </c>
      <c r="GK176" s="81" t="e">
        <f t="shared" si="246"/>
        <v>#N/A</v>
      </c>
      <c r="GL176" s="81"/>
      <c r="GM176" s="81"/>
      <c r="GP176" s="32">
        <f t="shared" si="291"/>
        <v>166</v>
      </c>
      <c r="GQ176" s="32">
        <f t="shared" si="292"/>
        <v>167</v>
      </c>
      <c r="GR176" s="32">
        <f t="shared" si="293"/>
        <v>0.88634570021867498</v>
      </c>
      <c r="GS176" s="32">
        <f t="shared" si="294"/>
        <v>0.26935020107061902</v>
      </c>
      <c r="GT176" s="32" t="e">
        <f t="shared" si="295"/>
        <v>#N/A</v>
      </c>
      <c r="GU176" s="32" t="e">
        <f t="shared" si="296"/>
        <v>#N/A</v>
      </c>
      <c r="GV176" s="32" t="e">
        <f t="shared" si="297"/>
        <v>#N/A</v>
      </c>
      <c r="GW176" s="32" t="b">
        <f t="shared" si="298"/>
        <v>0</v>
      </c>
      <c r="GX176" s="32" t="b">
        <f t="shared" si="299"/>
        <v>1</v>
      </c>
      <c r="GY176" s="32" t="b">
        <f t="shared" si="300"/>
        <v>0</v>
      </c>
      <c r="GZ176" s="32" t="b">
        <f t="shared" si="301"/>
        <v>1</v>
      </c>
      <c r="HA176" s="32">
        <f t="shared" si="302"/>
        <v>0.26935020107061902</v>
      </c>
      <c r="HB176" s="32" t="e">
        <f t="shared" si="303"/>
        <v>#N/A</v>
      </c>
      <c r="HC176" s="32">
        <f t="shared" si="304"/>
        <v>0.26935020107061902</v>
      </c>
      <c r="HD176" s="45" t="str">
        <f t="shared" si="305"/>
        <v/>
      </c>
      <c r="HJ176" s="32">
        <f t="shared" si="306"/>
        <v>166</v>
      </c>
      <c r="HK176" s="32">
        <f t="shared" si="307"/>
        <v>167</v>
      </c>
      <c r="HL176" s="32">
        <f t="shared" si="308"/>
        <v>1.3725249322451036</v>
      </c>
      <c r="HM176" s="32" t="e">
        <f t="shared" si="309"/>
        <v>#N/A</v>
      </c>
      <c r="HN176" s="32">
        <f t="shared" si="310"/>
        <v>0.14840322085312829</v>
      </c>
      <c r="HO176" s="32" t="e">
        <f t="shared" si="311"/>
        <v>#N/A</v>
      </c>
      <c r="HP176" s="32" t="e">
        <f t="shared" si="312"/>
        <v>#N/A</v>
      </c>
      <c r="HQ176" s="32" t="b">
        <f t="shared" si="313"/>
        <v>1</v>
      </c>
      <c r="HR176" s="32" t="b">
        <f t="shared" si="314"/>
        <v>0</v>
      </c>
      <c r="HS176" s="32" t="b">
        <f t="shared" si="315"/>
        <v>0</v>
      </c>
      <c r="HT176" s="32" t="b">
        <f t="shared" si="316"/>
        <v>1</v>
      </c>
      <c r="HU176" s="32">
        <f t="shared" si="317"/>
        <v>0.14840322085312829</v>
      </c>
      <c r="HV176" s="32">
        <f t="shared" si="318"/>
        <v>0.14840322085312829</v>
      </c>
      <c r="HW176" s="32" t="e">
        <f t="shared" si="319"/>
        <v>#N/A</v>
      </c>
      <c r="HX176" s="45" t="str">
        <f t="shared" si="320"/>
        <v/>
      </c>
    </row>
    <row r="177" spans="78:232" x14ac:dyDescent="0.2">
      <c r="BZ177" s="32">
        <f t="shared" si="247"/>
        <v>167</v>
      </c>
      <c r="CA177" s="32">
        <f>Eu_tabel_g[[#This Row],[Indeks]]+1</f>
        <v>168</v>
      </c>
      <c r="CB177" s="32">
        <f t="shared" si="248"/>
        <v>0.91030098941377435</v>
      </c>
      <c r="CC177" s="32">
        <f t="shared" si="249"/>
        <v>0.26361581581156529</v>
      </c>
      <c r="CD177" s="32" t="e">
        <f t="shared" si="250"/>
        <v>#N/A</v>
      </c>
      <c r="CE177" s="32" t="e">
        <f t="shared" si="251"/>
        <v>#N/A</v>
      </c>
      <c r="CF177" s="32" t="e">
        <f t="shared" si="252"/>
        <v>#N/A</v>
      </c>
      <c r="CG177" s="32" t="b">
        <f t="shared" si="253"/>
        <v>0</v>
      </c>
      <c r="CH177" s="32" t="b">
        <f t="shared" si="254"/>
        <v>1</v>
      </c>
      <c r="CI177" s="32" t="b">
        <f t="shared" si="255"/>
        <v>0</v>
      </c>
      <c r="CJ177" s="32" t="b">
        <f t="shared" si="256"/>
        <v>1</v>
      </c>
      <c r="CK177" s="32">
        <f t="shared" si="321"/>
        <v>0.26361581581156529</v>
      </c>
      <c r="CL177" s="32" t="e">
        <f t="shared" si="257"/>
        <v>#N/A</v>
      </c>
      <c r="CM177" s="32">
        <f t="shared" si="258"/>
        <v>0.26361581581156529</v>
      </c>
      <c r="CN177" s="45" t="str">
        <f t="shared" si="259"/>
        <v/>
      </c>
      <c r="CO177" s="32">
        <f>_xlfn.NORM.DIST(_xlfn.NORM.INV(1-Eu_g_konfidensniveau,0,1)-Eu_tabel_g[[#This Row],[x base]],0,1,TRUE)</f>
        <v>5.3070319351234858E-3</v>
      </c>
      <c r="CP177" s="32">
        <f>1-_xlfn.NORM.DIST(_xlfn.NORM.INV(Eu_g_konfidensniveau,0,1)-Eu_tabel_g[[#This Row],[x base]],0,1,TRUE)</f>
        <v>0.23130599584174627</v>
      </c>
      <c r="CQ177" s="32">
        <f>_xlfn.NORM.DIST(_xlfn.NORM.INV((1-Eu_g_konfidensniveau)/2,0,1)-Eu_tabel_g[[#This Row],[x base]],0,1,TRUE)+1-_xlfn.NORM.DIST(_xlfn.NORM.INV(1-(1-Eu_g_konfidensniveau)/2,0,1)-Eu_tabel_g[[#This Row],[x base]],0,1,TRUE)</f>
        <v>0.1489871812732273</v>
      </c>
      <c r="CR177" s="32" t="e" cm="1">
        <f t="array" ref="CR177">IF($CR$3,INDEX(Eu_tabel_g[[#This Row],[Styrke venstre]:[Styrke tosidet]],CR$7),NA())</f>
        <v>#N/A</v>
      </c>
      <c r="CS177" s="52" t="e">
        <f>Eu_tabel_g[[#This Row],[Falsk positiv
Nulhypotese accepteres
Fejltype 1]]</f>
        <v>#N/A</v>
      </c>
      <c r="CT177" s="52" t="e">
        <f>IF(CHOOSE(CR$7,Eu_tabel_g[[#This Row],[x base]]&gt;0,Eu_tabel_g[[#This Row],[x base]]&lt;0,Eu_tabel_g[[#This Row],[x base]]=0),Eu_tabel_g[[#This Row],[Styrke, aktiv]],NA())</f>
        <v>#N/A</v>
      </c>
      <c r="CU177" s="52" t="e">
        <f>IFERROR(IF($CR$3,Eu_tabel_g[[#This Row],[Styrke, aktiv]],NA()),NA())</f>
        <v>#N/A</v>
      </c>
      <c r="CV177" s="52" t="e">
        <f>IF(ISNA(Eu_tabel_g[[#This Row],[Sand negativ
Nulhypotese afvises
Korrekt]]),NA(),IF($CR$3,1,NA()))</f>
        <v>#N/A</v>
      </c>
      <c r="CW177" s="34" t="str" cm="1">
        <f t="array" ref="CW177">_xlfn.SWITCH(BZ177,_xlfn.IFNA(CU$2,-99),CU$5,_xlfn.IFNA(CU$3,-99),CU$6,_xlfn.IFNA(CU$4,-99),CU$7,"")</f>
        <v/>
      </c>
      <c r="DA177" s="7">
        <f t="shared" si="260"/>
        <v>0.8</v>
      </c>
      <c r="DB177">
        <f>IF(ROW(Styrkeberegning_G[[#This Row],[X base venstre]])=ROW(Styrkeberegning_G[[#Headers],[X base venstre]])+1,DB$7/(DA$7/$B$67),DB176/(DA176/$B$67))</f>
        <v>-2.8015817870135784</v>
      </c>
      <c r="DC177">
        <f>Styrkeberegning_G[[#This Row],[X base venstre]]*-1</f>
        <v>2.8015817870135784</v>
      </c>
      <c r="DN177" s="32">
        <f t="shared" si="261"/>
        <v>167</v>
      </c>
      <c r="DO177" s="32">
        <f t="shared" si="262"/>
        <v>168</v>
      </c>
      <c r="DP177" s="32">
        <f t="shared" si="263"/>
        <v>20.883685686292857</v>
      </c>
      <c r="DQ177" s="32" t="e">
        <f t="shared" si="264"/>
        <v>#N/A</v>
      </c>
      <c r="DR177" s="32" t="e">
        <f t="shared" si="265"/>
        <v>#N/A</v>
      </c>
      <c r="DS177" s="32">
        <f t="shared" si="266"/>
        <v>1.0709660317246334E-2</v>
      </c>
      <c r="DT177" s="32" t="e">
        <f t="shared" si="267"/>
        <v>#N/A</v>
      </c>
      <c r="DU177" s="32" t="b">
        <f t="shared" si="268"/>
        <v>0</v>
      </c>
      <c r="DV177" s="32" t="b">
        <f t="shared" si="269"/>
        <v>1</v>
      </c>
      <c r="DW177" s="32" t="b">
        <f t="shared" si="270"/>
        <v>0</v>
      </c>
      <c r="DX177" s="32" t="b">
        <f t="shared" si="271"/>
        <v>1</v>
      </c>
      <c r="DY177" s="32">
        <f t="shared" si="272"/>
        <v>1.0709660317246334E-2</v>
      </c>
      <c r="DZ177" s="32" t="e">
        <f t="shared" si="273"/>
        <v>#N/A</v>
      </c>
      <c r="EA177" s="32">
        <f t="shared" si="274"/>
        <v>1.0709660317246334E-2</v>
      </c>
      <c r="EB177" s="45" t="str">
        <f t="shared" si="275"/>
        <v/>
      </c>
      <c r="EG177" s="32">
        <f t="shared" si="276"/>
        <v>167</v>
      </c>
      <c r="EH177" s="32">
        <f t="shared" si="277"/>
        <v>168</v>
      </c>
      <c r="EI177" s="32">
        <f t="shared" si="278"/>
        <v>0.91030098941377435</v>
      </c>
      <c r="EJ177" s="32">
        <f t="shared" si="279"/>
        <v>0.26361581581156529</v>
      </c>
      <c r="EK177" s="32" t="e">
        <f t="shared" si="280"/>
        <v>#N/A</v>
      </c>
      <c r="EL177" s="32" t="e">
        <f t="shared" si="281"/>
        <v>#N/A</v>
      </c>
      <c r="EM177" s="32" t="e">
        <f t="shared" si="282"/>
        <v>#N/A</v>
      </c>
      <c r="EN177" s="32" t="b">
        <f t="shared" si="283"/>
        <v>0</v>
      </c>
      <c r="EO177" s="32" t="b">
        <f t="shared" si="284"/>
        <v>1</v>
      </c>
      <c r="EP177" s="32" t="b">
        <f t="shared" si="285"/>
        <v>0</v>
      </c>
      <c r="EQ177" s="32" t="b">
        <f t="shared" si="286"/>
        <v>1</v>
      </c>
      <c r="ER177" s="32">
        <f t="shared" si="287"/>
        <v>0.26361581581156529</v>
      </c>
      <c r="ES177" s="32" t="e">
        <f t="shared" si="288"/>
        <v>#N/A</v>
      </c>
      <c r="ET177" s="32">
        <f t="shared" si="289"/>
        <v>0.26361581581156529</v>
      </c>
      <c r="EU177" s="45" t="str">
        <f t="shared" si="290"/>
        <v/>
      </c>
      <c r="EV17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7" s="32" t="e" cm="1">
        <f t="array" ref="EY177">IF($CR$3,INDEX(Eu_tabel_a[[#This Row],[Styrke venstre]:[Styrke tosidet]],EY$7),NA())</f>
        <v>#N/A</v>
      </c>
      <c r="EZ177" s="32" t="e">
        <f>IF(EY$3,IF(CHOOSE(EY$7,Eu_tabel_a[[#This Row],[x base]]&gt;0,Eu_tabel_a[[#This Row],[x base]]&lt;0,Eu_tabel_a[[#This Row],[x base]]=0),1,NA()),NA())</f>
        <v>#N/A</v>
      </c>
      <c r="FA177" s="32" t="e">
        <f>IF(CHOOSE(EY$7,Eu_tabel_a[[#This Row],[x base]]&gt;0,Eu_tabel_a[[#This Row],[x base]]&lt;0,Eu_tabel_a[[#This Row],[x base]]=0),Eu_tabel_a[[#This Row],[Styrke, aktiv]],NA())</f>
        <v>#N/A</v>
      </c>
      <c r="FB177" s="32" t="e">
        <f>IFERROR(IF($EY$3,Eu_tabel_a[[#This Row],[Styrke, aktiv]],NA()),NA())</f>
        <v>#N/A</v>
      </c>
      <c r="FC177" s="32" t="e">
        <f>IF(ISNA(Eu_tabel_a[[#This Row],[Sand negativ
Nulhypotese afvises
Korrekt]]),NA(),IF(EY$3,1,NA()))</f>
        <v>#N/A</v>
      </c>
      <c r="FD177" s="33" t="str" cm="1">
        <f t="array" ref="FD177">IFERROR(_xlfn.SWITCH(Eu_tabel_a[[#This Row],[Indeks]],_xlfn.IFNA(FB$2,-99),FB$5,_xlfn.IFNA(FB$3,-99),FB$6,_xlfn.IFNA(FB$4,-99),FB$7,""),"")</f>
        <v/>
      </c>
      <c r="FE177" s="32">
        <f>Eu_tabel_a[[#This Row],[x base]]*SQRT(Eu_a_h0_x*(1-Eu_a_h0_x)/Eu_a_n_x)+Eu_a_h0_x</f>
        <v>0</v>
      </c>
      <c r="FJ177" s="74" t="e">
        <f t="shared" si="234"/>
        <v>#N/A</v>
      </c>
      <c r="FK177" s="82" t="e">
        <f t="shared" si="322"/>
        <v>#DIV/0!</v>
      </c>
      <c r="FL177" s="7" t="e">
        <f t="shared" si="228"/>
        <v>#DIV/0!</v>
      </c>
      <c r="FM177" t="e">
        <f t="shared" si="323"/>
        <v>#DIV/0!</v>
      </c>
      <c r="FN177" s="8" t="e">
        <f t="shared" si="324"/>
        <v>#DIV/0!</v>
      </c>
      <c r="FO177" s="8" t="e">
        <f t="shared" si="325"/>
        <v>#DIV/0!</v>
      </c>
      <c r="FP177" s="81" t="e">
        <f t="shared" si="326"/>
        <v>#DIV/0!</v>
      </c>
      <c r="FQ177" s="74" t="e">
        <f t="shared" ca="1" si="229"/>
        <v>#N/A</v>
      </c>
      <c r="FR177" s="82" t="e" vm="3">
        <f t="shared" ca="1" si="235"/>
        <v>#VALUE!</v>
      </c>
      <c r="FS177" s="7" t="e" vm="3">
        <f t="shared" ca="1" si="230"/>
        <v>#VALUE!</v>
      </c>
      <c r="FT177" t="e" vm="3">
        <f t="shared" ca="1" si="224"/>
        <v>#VALUE!</v>
      </c>
      <c r="FU177" s="8" t="e" vm="3">
        <f t="shared" ca="1" si="225"/>
        <v>#VALUE!</v>
      </c>
      <c r="FV177" s="8" t="e" vm="3">
        <f t="shared" ca="1" si="226"/>
        <v>#VALUE!</v>
      </c>
      <c r="FW177" s="81" t="e" vm="3">
        <f t="shared" ca="1" si="227"/>
        <v>#VALUE!</v>
      </c>
      <c r="FX177" s="74" t="e">
        <f t="shared" si="231"/>
        <v>#N/A</v>
      </c>
      <c r="FY177" s="82" t="e">
        <f t="shared" si="236"/>
        <v>#N/A</v>
      </c>
      <c r="FZ177" s="7" t="e">
        <f t="shared" si="232"/>
        <v>#N/A</v>
      </c>
      <c r="GA177" t="e">
        <f t="shared" si="237"/>
        <v>#N/A</v>
      </c>
      <c r="GB177" s="8" t="e">
        <f t="shared" si="238"/>
        <v>#N/A</v>
      </c>
      <c r="GC177" s="8" t="e">
        <f t="shared" si="239"/>
        <v>#N/A</v>
      </c>
      <c r="GD177" s="81" t="e">
        <f t="shared" si="240"/>
        <v>#N/A</v>
      </c>
      <c r="GE177" s="74" t="e">
        <f t="shared" si="241"/>
        <v>#N/A</v>
      </c>
      <c r="GF177" s="82" t="e">
        <f t="shared" si="242"/>
        <v>#N/A</v>
      </c>
      <c r="GG177" s="7" t="e">
        <f t="shared" si="233"/>
        <v>#N/A</v>
      </c>
      <c r="GH177" t="e">
        <f t="shared" si="243"/>
        <v>#N/A</v>
      </c>
      <c r="GI177" s="8" t="e">
        <f t="shared" si="244"/>
        <v>#N/A</v>
      </c>
      <c r="GJ177" s="8" t="e">
        <f t="shared" si="245"/>
        <v>#N/A</v>
      </c>
      <c r="GK177" s="81" t="e">
        <f t="shared" si="246"/>
        <v>#N/A</v>
      </c>
      <c r="GL177" s="81"/>
      <c r="GM177" s="81"/>
      <c r="GP177" s="32">
        <f t="shared" si="291"/>
        <v>167</v>
      </c>
      <c r="GQ177" s="32">
        <f t="shared" si="292"/>
        <v>168</v>
      </c>
      <c r="GR177" s="32">
        <f t="shared" si="293"/>
        <v>0.91030098941377435</v>
      </c>
      <c r="GS177" s="32">
        <f t="shared" si="294"/>
        <v>0.26361581581156529</v>
      </c>
      <c r="GT177" s="32" t="e">
        <f t="shared" si="295"/>
        <v>#N/A</v>
      </c>
      <c r="GU177" s="32" t="e">
        <f t="shared" si="296"/>
        <v>#N/A</v>
      </c>
      <c r="GV177" s="32" t="e">
        <f t="shared" si="297"/>
        <v>#N/A</v>
      </c>
      <c r="GW177" s="32" t="b">
        <f t="shared" si="298"/>
        <v>0</v>
      </c>
      <c r="GX177" s="32" t="b">
        <f t="shared" si="299"/>
        <v>1</v>
      </c>
      <c r="GY177" s="32" t="b">
        <f t="shared" si="300"/>
        <v>0</v>
      </c>
      <c r="GZ177" s="32" t="b">
        <f t="shared" si="301"/>
        <v>1</v>
      </c>
      <c r="HA177" s="32">
        <f t="shared" si="302"/>
        <v>0.26361581581156529</v>
      </c>
      <c r="HB177" s="32" t="e">
        <f t="shared" si="303"/>
        <v>#N/A</v>
      </c>
      <c r="HC177" s="32">
        <f t="shared" si="304"/>
        <v>0.26361581581156529</v>
      </c>
      <c r="HD177" s="45" t="str">
        <f t="shared" si="305"/>
        <v/>
      </c>
      <c r="HJ177" s="32">
        <f t="shared" si="306"/>
        <v>167</v>
      </c>
      <c r="HK177" s="32">
        <f t="shared" si="307"/>
        <v>168</v>
      </c>
      <c r="HL177" s="32">
        <f t="shared" si="308"/>
        <v>1.4096202006841603</v>
      </c>
      <c r="HM177" s="32" t="e">
        <f t="shared" si="309"/>
        <v>#N/A</v>
      </c>
      <c r="HN177" s="32">
        <f t="shared" si="310"/>
        <v>0.14170287181765581</v>
      </c>
      <c r="HO177" s="32" t="e">
        <f t="shared" si="311"/>
        <v>#N/A</v>
      </c>
      <c r="HP177" s="32" t="e">
        <f t="shared" si="312"/>
        <v>#N/A</v>
      </c>
      <c r="HQ177" s="32" t="b">
        <f t="shared" si="313"/>
        <v>1</v>
      </c>
      <c r="HR177" s="32" t="b">
        <f t="shared" si="314"/>
        <v>0</v>
      </c>
      <c r="HS177" s="32" t="b">
        <f t="shared" si="315"/>
        <v>0</v>
      </c>
      <c r="HT177" s="32" t="b">
        <f t="shared" si="316"/>
        <v>1</v>
      </c>
      <c r="HU177" s="32">
        <f t="shared" si="317"/>
        <v>0.14170287181765581</v>
      </c>
      <c r="HV177" s="32">
        <f t="shared" si="318"/>
        <v>0.14170287181765581</v>
      </c>
      <c r="HW177" s="32" t="e">
        <f t="shared" si="319"/>
        <v>#N/A</v>
      </c>
      <c r="HX177" s="45" t="str">
        <f t="shared" si="320"/>
        <v/>
      </c>
    </row>
    <row r="178" spans="78:232" x14ac:dyDescent="0.2">
      <c r="BZ178" s="32">
        <f t="shared" si="247"/>
        <v>168</v>
      </c>
      <c r="CA178" s="32">
        <f>Eu_tabel_g[[#This Row],[Indeks]]+1</f>
        <v>169</v>
      </c>
      <c r="CB178" s="32">
        <f t="shared" si="248"/>
        <v>0.93425627860887328</v>
      </c>
      <c r="CC178" s="32">
        <f t="shared" si="249"/>
        <v>0.25785549954028952</v>
      </c>
      <c r="CD178" s="32" t="e">
        <f t="shared" si="250"/>
        <v>#N/A</v>
      </c>
      <c r="CE178" s="32" t="e">
        <f t="shared" si="251"/>
        <v>#N/A</v>
      </c>
      <c r="CF178" s="32" t="e">
        <f t="shared" si="252"/>
        <v>#N/A</v>
      </c>
      <c r="CG178" s="32" t="b">
        <f t="shared" si="253"/>
        <v>0</v>
      </c>
      <c r="CH178" s="32" t="b">
        <f t="shared" si="254"/>
        <v>1</v>
      </c>
      <c r="CI178" s="32" t="b">
        <f t="shared" si="255"/>
        <v>0</v>
      </c>
      <c r="CJ178" s="32" t="b">
        <f t="shared" si="256"/>
        <v>1</v>
      </c>
      <c r="CK178" s="32">
        <f t="shared" si="321"/>
        <v>0.25785549954028952</v>
      </c>
      <c r="CL178" s="32" t="e">
        <f t="shared" si="257"/>
        <v>#N/A</v>
      </c>
      <c r="CM178" s="32">
        <f t="shared" si="258"/>
        <v>0.25785549954028952</v>
      </c>
      <c r="CN178" s="45" t="str">
        <f t="shared" si="259"/>
        <v/>
      </c>
      <c r="CO178" s="32">
        <f>_xlfn.NORM.DIST(_xlfn.NORM.INV(1-Eu_g_konfidensniveau,0,1)-Eu_tabel_g[[#This Row],[x base]],0,1,TRUE)</f>
        <v>4.9527632854500766E-3</v>
      </c>
      <c r="CP178" s="32">
        <f>1-_xlfn.NORM.DIST(_xlfn.NORM.INV(Eu_g_konfidensniveau,0,1)-Eu_tabel_g[[#This Row],[x base]],0,1,TRUE)</f>
        <v>0.23866689337442759</v>
      </c>
      <c r="CQ178" s="32">
        <f>_xlfn.NORM.DIST(_xlfn.NORM.INV((1-Eu_g_konfidensniveau)/2,0,1)-Eu_tabel_g[[#This Row],[x base]],0,1,TRUE)+1-_xlfn.NORM.DIST(_xlfn.NORM.INV(1-(1-Eu_g_konfidensniveau)/2,0,1)-Eu_tabel_g[[#This Row],[x base]],0,1,TRUE)</f>
        <v>0.15441519761232736</v>
      </c>
      <c r="CR178" s="32" t="e" cm="1">
        <f t="array" ref="CR178">IF($CR$3,INDEX(Eu_tabel_g[[#This Row],[Styrke venstre]:[Styrke tosidet]],CR$7),NA())</f>
        <v>#N/A</v>
      </c>
      <c r="CS178" s="52" t="e">
        <f>Eu_tabel_g[[#This Row],[Falsk positiv
Nulhypotese accepteres
Fejltype 1]]</f>
        <v>#N/A</v>
      </c>
      <c r="CT178" s="52" t="e">
        <f>IF(CHOOSE(CR$7,Eu_tabel_g[[#This Row],[x base]]&gt;0,Eu_tabel_g[[#This Row],[x base]]&lt;0,Eu_tabel_g[[#This Row],[x base]]=0),Eu_tabel_g[[#This Row],[Styrke, aktiv]],NA())</f>
        <v>#N/A</v>
      </c>
      <c r="CU178" s="52" t="e">
        <f>IFERROR(IF($CR$3,Eu_tabel_g[[#This Row],[Styrke, aktiv]],NA()),NA())</f>
        <v>#N/A</v>
      </c>
      <c r="CV178" s="52" t="e">
        <f>IF(ISNA(Eu_tabel_g[[#This Row],[Sand negativ
Nulhypotese afvises
Korrekt]]),NA(),IF($CR$3,1,NA()))</f>
        <v>#N/A</v>
      </c>
      <c r="CW178" s="34" t="str" cm="1">
        <f t="array" ref="CW178">_xlfn.SWITCH(BZ178,_xlfn.IFNA(CU$2,-99),CU$5,_xlfn.IFNA(CU$3,-99),CU$6,_xlfn.IFNA(CU$4,-99),CU$7,"")</f>
        <v/>
      </c>
      <c r="DA178" s="7">
        <f t="shared" si="260"/>
        <v>0.8</v>
      </c>
      <c r="DB178">
        <f>IF(ROW(Styrkeberegning_G[[#This Row],[X base venstre]])=ROW(Styrkeberegning_G[[#Headers],[X base venstre]])+1,DB$7/(DA$7/$B$67),DB177/(DA177/$B$67))</f>
        <v>-2.8015817870135784</v>
      </c>
      <c r="DC178">
        <f>Styrkeberegning_G[[#This Row],[X base venstre]]*-1</f>
        <v>2.8015817870135784</v>
      </c>
      <c r="DN178" s="32">
        <f t="shared" si="261"/>
        <v>168</v>
      </c>
      <c r="DO178" s="32">
        <f t="shared" si="262"/>
        <v>169</v>
      </c>
      <c r="DP178" s="32">
        <f t="shared" si="263"/>
        <v>20.997756542709858</v>
      </c>
      <c r="DQ178" s="32" t="e">
        <f t="shared" si="264"/>
        <v>#N/A</v>
      </c>
      <c r="DR178" s="32" t="e">
        <f t="shared" si="265"/>
        <v>#N/A</v>
      </c>
      <c r="DS178" s="32">
        <f t="shared" si="266"/>
        <v>1.0366959214378312E-2</v>
      </c>
      <c r="DT178" s="32" t="e">
        <f t="shared" si="267"/>
        <v>#N/A</v>
      </c>
      <c r="DU178" s="32" t="b">
        <f t="shared" si="268"/>
        <v>0</v>
      </c>
      <c r="DV178" s="32" t="b">
        <f t="shared" si="269"/>
        <v>1</v>
      </c>
      <c r="DW178" s="32" t="b">
        <f t="shared" si="270"/>
        <v>0</v>
      </c>
      <c r="DX178" s="32" t="b">
        <f t="shared" si="271"/>
        <v>1</v>
      </c>
      <c r="DY178" s="32">
        <f t="shared" si="272"/>
        <v>1.0366959214378312E-2</v>
      </c>
      <c r="DZ178" s="32" t="e">
        <f t="shared" si="273"/>
        <v>#N/A</v>
      </c>
      <c r="EA178" s="32">
        <f t="shared" si="274"/>
        <v>1.0366959214378312E-2</v>
      </c>
      <c r="EB178" s="45" t="str">
        <f t="shared" si="275"/>
        <v/>
      </c>
      <c r="EG178" s="32">
        <f t="shared" si="276"/>
        <v>168</v>
      </c>
      <c r="EH178" s="32">
        <f t="shared" si="277"/>
        <v>169</v>
      </c>
      <c r="EI178" s="32">
        <f t="shared" si="278"/>
        <v>0.93425627860887328</v>
      </c>
      <c r="EJ178" s="32">
        <f t="shared" si="279"/>
        <v>0.25785549954028952</v>
      </c>
      <c r="EK178" s="32" t="e">
        <f t="shared" si="280"/>
        <v>#N/A</v>
      </c>
      <c r="EL178" s="32" t="e">
        <f t="shared" si="281"/>
        <v>#N/A</v>
      </c>
      <c r="EM178" s="32" t="e">
        <f t="shared" si="282"/>
        <v>#N/A</v>
      </c>
      <c r="EN178" s="32" t="b">
        <f t="shared" si="283"/>
        <v>0</v>
      </c>
      <c r="EO178" s="32" t="b">
        <f t="shared" si="284"/>
        <v>1</v>
      </c>
      <c r="EP178" s="32" t="b">
        <f t="shared" si="285"/>
        <v>0</v>
      </c>
      <c r="EQ178" s="32" t="b">
        <f t="shared" si="286"/>
        <v>1</v>
      </c>
      <c r="ER178" s="32">
        <f t="shared" si="287"/>
        <v>0.25785549954028952</v>
      </c>
      <c r="ES178" s="32" t="e">
        <f t="shared" si="288"/>
        <v>#N/A</v>
      </c>
      <c r="ET178" s="32">
        <f t="shared" si="289"/>
        <v>0.25785549954028952</v>
      </c>
      <c r="EU178" s="45" t="str">
        <f t="shared" si="290"/>
        <v/>
      </c>
      <c r="EV17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8" s="32" t="e" cm="1">
        <f t="array" ref="EY178">IF($CR$3,INDEX(Eu_tabel_a[[#This Row],[Styrke venstre]:[Styrke tosidet]],EY$7),NA())</f>
        <v>#N/A</v>
      </c>
      <c r="EZ178" s="32" t="e">
        <f>IF(EY$3,IF(CHOOSE(EY$7,Eu_tabel_a[[#This Row],[x base]]&gt;0,Eu_tabel_a[[#This Row],[x base]]&lt;0,Eu_tabel_a[[#This Row],[x base]]=0),1,NA()),NA())</f>
        <v>#N/A</v>
      </c>
      <c r="FA178" s="32" t="e">
        <f>IF(CHOOSE(EY$7,Eu_tabel_a[[#This Row],[x base]]&gt;0,Eu_tabel_a[[#This Row],[x base]]&lt;0,Eu_tabel_a[[#This Row],[x base]]=0),Eu_tabel_a[[#This Row],[Styrke, aktiv]],NA())</f>
        <v>#N/A</v>
      </c>
      <c r="FB178" s="32" t="e">
        <f>IFERROR(IF($EY$3,Eu_tabel_a[[#This Row],[Styrke, aktiv]],NA()),NA())</f>
        <v>#N/A</v>
      </c>
      <c r="FC178" s="32" t="e">
        <f>IF(ISNA(Eu_tabel_a[[#This Row],[Sand negativ
Nulhypotese afvises
Korrekt]]),NA(),IF(EY$3,1,NA()))</f>
        <v>#N/A</v>
      </c>
      <c r="FD178" s="33" t="str" cm="1">
        <f t="array" ref="FD178">IFERROR(_xlfn.SWITCH(Eu_tabel_a[[#This Row],[Indeks]],_xlfn.IFNA(FB$2,-99),FB$5,_xlfn.IFNA(FB$3,-99),FB$6,_xlfn.IFNA(FB$4,-99),FB$7,""),"")</f>
        <v/>
      </c>
      <c r="FE178" s="32">
        <f>Eu_tabel_a[[#This Row],[x base]]*SQRT(Eu_a_h0_x*(1-Eu_a_h0_x)/Eu_a_n_x)+Eu_a_h0_x</f>
        <v>0</v>
      </c>
      <c r="FJ178" s="74" t="e">
        <f t="shared" si="234"/>
        <v>#N/A</v>
      </c>
      <c r="FK178" s="82" t="e">
        <f t="shared" si="322"/>
        <v>#DIV/0!</v>
      </c>
      <c r="FL178" s="7" t="e">
        <f t="shared" si="228"/>
        <v>#DIV/0!</v>
      </c>
      <c r="FM178" t="e">
        <f t="shared" si="323"/>
        <v>#DIV/0!</v>
      </c>
      <c r="FN178" s="8" t="e">
        <f t="shared" si="324"/>
        <v>#DIV/0!</v>
      </c>
      <c r="FO178" s="8" t="e">
        <f t="shared" si="325"/>
        <v>#DIV/0!</v>
      </c>
      <c r="FP178" s="81" t="e">
        <f t="shared" si="326"/>
        <v>#DIV/0!</v>
      </c>
      <c r="FQ178" s="74" t="e">
        <f t="shared" ca="1" si="229"/>
        <v>#N/A</v>
      </c>
      <c r="FR178" s="82" t="e" vm="3">
        <f t="shared" ca="1" si="235"/>
        <v>#VALUE!</v>
      </c>
      <c r="FS178" s="7" t="e" vm="3">
        <f t="shared" ca="1" si="230"/>
        <v>#VALUE!</v>
      </c>
      <c r="FT178" t="e" vm="3">
        <f t="shared" ca="1" si="224"/>
        <v>#VALUE!</v>
      </c>
      <c r="FU178" s="8" t="e" vm="3">
        <f t="shared" ca="1" si="225"/>
        <v>#VALUE!</v>
      </c>
      <c r="FV178" s="8" t="e" vm="3">
        <f t="shared" ca="1" si="226"/>
        <v>#VALUE!</v>
      </c>
      <c r="FW178" s="81" t="e" vm="3">
        <f t="shared" ca="1" si="227"/>
        <v>#VALUE!</v>
      </c>
      <c r="FX178" s="74" t="e">
        <f t="shared" si="231"/>
        <v>#N/A</v>
      </c>
      <c r="FY178" s="82" t="e">
        <f t="shared" si="236"/>
        <v>#N/A</v>
      </c>
      <c r="FZ178" s="7" t="e">
        <f t="shared" si="232"/>
        <v>#N/A</v>
      </c>
      <c r="GA178" t="e">
        <f t="shared" si="237"/>
        <v>#N/A</v>
      </c>
      <c r="GB178" s="8" t="e">
        <f t="shared" si="238"/>
        <v>#N/A</v>
      </c>
      <c r="GC178" s="8" t="e">
        <f t="shared" si="239"/>
        <v>#N/A</v>
      </c>
      <c r="GD178" s="81" t="e">
        <f t="shared" si="240"/>
        <v>#N/A</v>
      </c>
      <c r="GE178" s="74" t="e">
        <f t="shared" si="241"/>
        <v>#N/A</v>
      </c>
      <c r="GF178" s="82" t="e">
        <f t="shared" si="242"/>
        <v>#N/A</v>
      </c>
      <c r="GG178" s="7" t="e">
        <f t="shared" si="233"/>
        <v>#N/A</v>
      </c>
      <c r="GH178" t="e">
        <f t="shared" si="243"/>
        <v>#N/A</v>
      </c>
      <c r="GI178" s="8" t="e">
        <f t="shared" si="244"/>
        <v>#N/A</v>
      </c>
      <c r="GJ178" s="8" t="e">
        <f t="shared" si="245"/>
        <v>#N/A</v>
      </c>
      <c r="GK178" s="81" t="e">
        <f t="shared" si="246"/>
        <v>#N/A</v>
      </c>
      <c r="GL178" s="81"/>
      <c r="GM178" s="81"/>
      <c r="GP178" s="32">
        <f t="shared" si="291"/>
        <v>168</v>
      </c>
      <c r="GQ178" s="32">
        <f t="shared" si="292"/>
        <v>169</v>
      </c>
      <c r="GR178" s="32">
        <f t="shared" si="293"/>
        <v>0.93425627860887328</v>
      </c>
      <c r="GS178" s="32">
        <f t="shared" si="294"/>
        <v>0.25785549954028952</v>
      </c>
      <c r="GT178" s="32" t="e">
        <f t="shared" si="295"/>
        <v>#N/A</v>
      </c>
      <c r="GU178" s="32" t="e">
        <f t="shared" si="296"/>
        <v>#N/A</v>
      </c>
      <c r="GV178" s="32" t="e">
        <f t="shared" si="297"/>
        <v>#N/A</v>
      </c>
      <c r="GW178" s="32" t="b">
        <f t="shared" si="298"/>
        <v>0</v>
      </c>
      <c r="GX178" s="32" t="b">
        <f t="shared" si="299"/>
        <v>1</v>
      </c>
      <c r="GY178" s="32" t="b">
        <f t="shared" si="300"/>
        <v>0</v>
      </c>
      <c r="GZ178" s="32" t="b">
        <f t="shared" si="301"/>
        <v>1</v>
      </c>
      <c r="HA178" s="32">
        <f t="shared" si="302"/>
        <v>0.25785549954028952</v>
      </c>
      <c r="HB178" s="32" t="e">
        <f t="shared" si="303"/>
        <v>#N/A</v>
      </c>
      <c r="HC178" s="32">
        <f t="shared" si="304"/>
        <v>0.25785549954028952</v>
      </c>
      <c r="HD178" s="45" t="str">
        <f t="shared" si="305"/>
        <v/>
      </c>
      <c r="HJ178" s="32">
        <f t="shared" si="306"/>
        <v>168</v>
      </c>
      <c r="HK178" s="32">
        <f t="shared" si="307"/>
        <v>169</v>
      </c>
      <c r="HL178" s="32">
        <f t="shared" si="308"/>
        <v>1.4467154691232169</v>
      </c>
      <c r="HM178" s="32" t="e">
        <f t="shared" si="309"/>
        <v>#N/A</v>
      </c>
      <c r="HN178" s="32">
        <f t="shared" si="310"/>
        <v>0.13521261842852653</v>
      </c>
      <c r="HO178" s="32" t="e">
        <f t="shared" si="311"/>
        <v>#N/A</v>
      </c>
      <c r="HP178" s="32" t="e">
        <f t="shared" si="312"/>
        <v>#N/A</v>
      </c>
      <c r="HQ178" s="32" t="b">
        <f t="shared" si="313"/>
        <v>1</v>
      </c>
      <c r="HR178" s="32" t="b">
        <f t="shared" si="314"/>
        <v>0</v>
      </c>
      <c r="HS178" s="32" t="b">
        <f t="shared" si="315"/>
        <v>0</v>
      </c>
      <c r="HT178" s="32" t="b">
        <f t="shared" si="316"/>
        <v>1</v>
      </c>
      <c r="HU178" s="32">
        <f t="shared" si="317"/>
        <v>0.13521261842852653</v>
      </c>
      <c r="HV178" s="32">
        <f t="shared" si="318"/>
        <v>0.13521261842852653</v>
      </c>
      <c r="HW178" s="32" t="e">
        <f t="shared" si="319"/>
        <v>#N/A</v>
      </c>
      <c r="HX178" s="45" t="str">
        <f t="shared" si="320"/>
        <v/>
      </c>
    </row>
    <row r="179" spans="78:232" x14ac:dyDescent="0.2">
      <c r="BZ179" s="32">
        <f t="shared" si="247"/>
        <v>169</v>
      </c>
      <c r="CA179" s="32">
        <f>Eu_tabel_g[[#This Row],[Indeks]]+1</f>
        <v>170</v>
      </c>
      <c r="CB179" s="32">
        <f t="shared" si="248"/>
        <v>0.9582115678039731</v>
      </c>
      <c r="CC179" s="32">
        <f t="shared" si="249"/>
        <v>0.25207635595578487</v>
      </c>
      <c r="CD179" s="32" t="e">
        <f t="shared" si="250"/>
        <v>#N/A</v>
      </c>
      <c r="CE179" s="32" t="e">
        <f t="shared" si="251"/>
        <v>#N/A</v>
      </c>
      <c r="CF179" s="32" t="e">
        <f t="shared" si="252"/>
        <v>#N/A</v>
      </c>
      <c r="CG179" s="32" t="b">
        <f t="shared" si="253"/>
        <v>0</v>
      </c>
      <c r="CH179" s="32" t="b">
        <f t="shared" si="254"/>
        <v>1</v>
      </c>
      <c r="CI179" s="32" t="b">
        <f t="shared" si="255"/>
        <v>0</v>
      </c>
      <c r="CJ179" s="32" t="b">
        <f t="shared" si="256"/>
        <v>1</v>
      </c>
      <c r="CK179" s="32">
        <f t="shared" si="321"/>
        <v>0.25207635595578487</v>
      </c>
      <c r="CL179" s="32" t="e">
        <f t="shared" si="257"/>
        <v>#N/A</v>
      </c>
      <c r="CM179" s="32">
        <f t="shared" si="258"/>
        <v>0.25207635595578487</v>
      </c>
      <c r="CN179" s="45" t="str">
        <f t="shared" si="259"/>
        <v/>
      </c>
      <c r="CO179" s="32">
        <f>_xlfn.NORM.DIST(_xlfn.NORM.INV(1-Eu_g_konfidensniveau,0,1)-Eu_tabel_g[[#This Row],[x base]],0,1,TRUE)</f>
        <v>4.6197191056137179E-3</v>
      </c>
      <c r="CP179" s="32">
        <f>1-_xlfn.NORM.DIST(_xlfn.NORM.INV(Eu_g_konfidensniveau,0,1)-Eu_tabel_g[[#This Row],[x base]],0,1,TRUE)</f>
        <v>0.24615415872133872</v>
      </c>
      <c r="CQ179" s="32">
        <f>_xlfn.NORM.DIST(_xlfn.NORM.INV((1-Eu_g_konfidensniveau)/2,0,1)-Eu_tabel_g[[#This Row],[x base]],0,1,TRUE)+1-_xlfn.NORM.DIST(_xlfn.NORM.INV(1-(1-Eu_g_konfidensniveau)/2,0,1)-Eu_tabel_g[[#This Row],[x base]],0,1,TRUE)</f>
        <v>0.15999202225771336</v>
      </c>
      <c r="CR179" s="32" t="e" cm="1">
        <f t="array" ref="CR179">IF($CR$3,INDEX(Eu_tabel_g[[#This Row],[Styrke venstre]:[Styrke tosidet]],CR$7),NA())</f>
        <v>#N/A</v>
      </c>
      <c r="CS179" s="52" t="e">
        <f>Eu_tabel_g[[#This Row],[Falsk positiv
Nulhypotese accepteres
Fejltype 1]]</f>
        <v>#N/A</v>
      </c>
      <c r="CT179" s="52" t="e">
        <f>IF(CHOOSE(CR$7,Eu_tabel_g[[#This Row],[x base]]&gt;0,Eu_tabel_g[[#This Row],[x base]]&lt;0,Eu_tabel_g[[#This Row],[x base]]=0),Eu_tabel_g[[#This Row],[Styrke, aktiv]],NA())</f>
        <v>#N/A</v>
      </c>
      <c r="CU179" s="52" t="e">
        <f>IFERROR(IF($CR$3,Eu_tabel_g[[#This Row],[Styrke, aktiv]],NA()),NA())</f>
        <v>#N/A</v>
      </c>
      <c r="CV179" s="52" t="e">
        <f>IF(ISNA(Eu_tabel_g[[#This Row],[Sand negativ
Nulhypotese afvises
Korrekt]]),NA(),IF($CR$3,1,NA()))</f>
        <v>#N/A</v>
      </c>
      <c r="CW179" s="34" t="str" cm="1">
        <f t="array" ref="CW179">_xlfn.SWITCH(BZ179,_xlfn.IFNA(CU$2,-99),CU$5,_xlfn.IFNA(CU$3,-99),CU$6,_xlfn.IFNA(CU$4,-99),CU$7,"")</f>
        <v/>
      </c>
      <c r="DA179" s="7">
        <f t="shared" si="260"/>
        <v>0.8</v>
      </c>
      <c r="DB179">
        <f>IF(ROW(Styrkeberegning_G[[#This Row],[X base venstre]])=ROW(Styrkeberegning_G[[#Headers],[X base venstre]])+1,DB$7/(DA$7/$B$67),DB178/(DA178/$B$67))</f>
        <v>-2.8015817870135784</v>
      </c>
      <c r="DC179">
        <f>Styrkeberegning_G[[#This Row],[X base venstre]]*-1</f>
        <v>2.8015817870135784</v>
      </c>
      <c r="DN179" s="32">
        <f t="shared" si="261"/>
        <v>169</v>
      </c>
      <c r="DO179" s="32">
        <f t="shared" si="262"/>
        <v>170</v>
      </c>
      <c r="DP179" s="32">
        <f t="shared" si="263"/>
        <v>21.111827399126859</v>
      </c>
      <c r="DQ179" s="32" t="e">
        <f t="shared" si="264"/>
        <v>#N/A</v>
      </c>
      <c r="DR179" s="32" t="e">
        <f t="shared" si="265"/>
        <v>#N/A</v>
      </c>
      <c r="DS179" s="32">
        <f t="shared" si="266"/>
        <v>1.0033891625586211E-2</v>
      </c>
      <c r="DT179" s="32" t="e">
        <f t="shared" si="267"/>
        <v>#N/A</v>
      </c>
      <c r="DU179" s="32" t="b">
        <f t="shared" si="268"/>
        <v>0</v>
      </c>
      <c r="DV179" s="32" t="b">
        <f t="shared" si="269"/>
        <v>1</v>
      </c>
      <c r="DW179" s="32" t="b">
        <f t="shared" si="270"/>
        <v>0</v>
      </c>
      <c r="DX179" s="32" t="b">
        <f t="shared" si="271"/>
        <v>1</v>
      </c>
      <c r="DY179" s="32">
        <f t="shared" si="272"/>
        <v>1.0033891625586211E-2</v>
      </c>
      <c r="DZ179" s="32" t="e">
        <f t="shared" si="273"/>
        <v>#N/A</v>
      </c>
      <c r="EA179" s="32">
        <f t="shared" si="274"/>
        <v>1.0033891625586211E-2</v>
      </c>
      <c r="EB179" s="45" t="str">
        <f t="shared" si="275"/>
        <v/>
      </c>
      <c r="EG179" s="32">
        <f t="shared" si="276"/>
        <v>169</v>
      </c>
      <c r="EH179" s="32">
        <f t="shared" si="277"/>
        <v>170</v>
      </c>
      <c r="EI179" s="32">
        <f t="shared" si="278"/>
        <v>0.9582115678039731</v>
      </c>
      <c r="EJ179" s="32">
        <f t="shared" si="279"/>
        <v>0.25207635595578487</v>
      </c>
      <c r="EK179" s="32" t="e">
        <f t="shared" si="280"/>
        <v>#N/A</v>
      </c>
      <c r="EL179" s="32" t="e">
        <f t="shared" si="281"/>
        <v>#N/A</v>
      </c>
      <c r="EM179" s="32" t="e">
        <f t="shared" si="282"/>
        <v>#N/A</v>
      </c>
      <c r="EN179" s="32" t="b">
        <f t="shared" si="283"/>
        <v>0</v>
      </c>
      <c r="EO179" s="32" t="b">
        <f t="shared" si="284"/>
        <v>1</v>
      </c>
      <c r="EP179" s="32" t="b">
        <f t="shared" si="285"/>
        <v>0</v>
      </c>
      <c r="EQ179" s="32" t="b">
        <f t="shared" si="286"/>
        <v>1</v>
      </c>
      <c r="ER179" s="32">
        <f t="shared" si="287"/>
        <v>0.25207635595578487</v>
      </c>
      <c r="ES179" s="32" t="e">
        <f t="shared" si="288"/>
        <v>#N/A</v>
      </c>
      <c r="ET179" s="32">
        <f t="shared" si="289"/>
        <v>0.25207635595578487</v>
      </c>
      <c r="EU179" s="45" t="str">
        <f t="shared" si="290"/>
        <v/>
      </c>
      <c r="EV17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9" s="32" t="e" cm="1">
        <f t="array" ref="EY179">IF($CR$3,INDEX(Eu_tabel_a[[#This Row],[Styrke venstre]:[Styrke tosidet]],EY$7),NA())</f>
        <v>#N/A</v>
      </c>
      <c r="EZ179" s="32" t="e">
        <f>IF(EY$3,IF(CHOOSE(EY$7,Eu_tabel_a[[#This Row],[x base]]&gt;0,Eu_tabel_a[[#This Row],[x base]]&lt;0,Eu_tabel_a[[#This Row],[x base]]=0),1,NA()),NA())</f>
        <v>#N/A</v>
      </c>
      <c r="FA179" s="32" t="e">
        <f>IF(CHOOSE(EY$7,Eu_tabel_a[[#This Row],[x base]]&gt;0,Eu_tabel_a[[#This Row],[x base]]&lt;0,Eu_tabel_a[[#This Row],[x base]]=0),Eu_tabel_a[[#This Row],[Styrke, aktiv]],NA())</f>
        <v>#N/A</v>
      </c>
      <c r="FB179" s="32" t="e">
        <f>IFERROR(IF($EY$3,Eu_tabel_a[[#This Row],[Styrke, aktiv]],NA()),NA())</f>
        <v>#N/A</v>
      </c>
      <c r="FC179" s="32" t="e">
        <f>IF(ISNA(Eu_tabel_a[[#This Row],[Sand negativ
Nulhypotese afvises
Korrekt]]),NA(),IF(EY$3,1,NA()))</f>
        <v>#N/A</v>
      </c>
      <c r="FD179" s="33" t="str" cm="1">
        <f t="array" ref="FD179">IFERROR(_xlfn.SWITCH(Eu_tabel_a[[#This Row],[Indeks]],_xlfn.IFNA(FB$2,-99),FB$5,_xlfn.IFNA(FB$3,-99),FB$6,_xlfn.IFNA(FB$4,-99),FB$7,""),"")</f>
        <v/>
      </c>
      <c r="FE179" s="32">
        <f>Eu_tabel_a[[#This Row],[x base]]*SQRT(Eu_a_h0_x*(1-Eu_a_h0_x)/Eu_a_n_x)+Eu_a_h0_x</f>
        <v>0</v>
      </c>
      <c r="FJ179" s="74" t="e">
        <f t="shared" si="234"/>
        <v>#N/A</v>
      </c>
      <c r="FK179" s="82" t="e">
        <f t="shared" si="322"/>
        <v>#DIV/0!</v>
      </c>
      <c r="FL179" s="7" t="e">
        <f t="shared" si="228"/>
        <v>#DIV/0!</v>
      </c>
      <c r="FM179" t="e">
        <f t="shared" si="323"/>
        <v>#DIV/0!</v>
      </c>
      <c r="FN179" s="8" t="e">
        <f t="shared" si="324"/>
        <v>#DIV/0!</v>
      </c>
      <c r="FO179" s="8" t="e">
        <f t="shared" si="325"/>
        <v>#DIV/0!</v>
      </c>
      <c r="FP179" s="81" t="e">
        <f t="shared" si="326"/>
        <v>#DIV/0!</v>
      </c>
      <c r="FQ179" s="74" t="e">
        <f t="shared" ca="1" si="229"/>
        <v>#N/A</v>
      </c>
      <c r="FR179" s="82" t="e" vm="3">
        <f t="shared" ca="1" si="235"/>
        <v>#VALUE!</v>
      </c>
      <c r="FS179" s="7" t="e" vm="3">
        <f t="shared" ca="1" si="230"/>
        <v>#VALUE!</v>
      </c>
      <c r="FT179" t="e" vm="3">
        <f t="shared" ca="1" si="224"/>
        <v>#VALUE!</v>
      </c>
      <c r="FU179" s="8" t="e" vm="3">
        <f t="shared" ca="1" si="225"/>
        <v>#VALUE!</v>
      </c>
      <c r="FV179" s="8" t="e" vm="3">
        <f t="shared" ca="1" si="226"/>
        <v>#VALUE!</v>
      </c>
      <c r="FW179" s="81" t="e" vm="3">
        <f t="shared" ca="1" si="227"/>
        <v>#VALUE!</v>
      </c>
      <c r="FX179" s="74" t="e">
        <f t="shared" si="231"/>
        <v>#N/A</v>
      </c>
      <c r="FY179" s="82" t="e">
        <f t="shared" si="236"/>
        <v>#N/A</v>
      </c>
      <c r="FZ179" s="7" t="e">
        <f t="shared" si="232"/>
        <v>#N/A</v>
      </c>
      <c r="GA179" t="e">
        <f t="shared" si="237"/>
        <v>#N/A</v>
      </c>
      <c r="GB179" s="8" t="e">
        <f t="shared" si="238"/>
        <v>#N/A</v>
      </c>
      <c r="GC179" s="8" t="e">
        <f t="shared" si="239"/>
        <v>#N/A</v>
      </c>
      <c r="GD179" s="81" t="e">
        <f t="shared" si="240"/>
        <v>#N/A</v>
      </c>
      <c r="GE179" s="74" t="e">
        <f t="shared" si="241"/>
        <v>#N/A</v>
      </c>
      <c r="GF179" s="82" t="e">
        <f t="shared" si="242"/>
        <v>#N/A</v>
      </c>
      <c r="GG179" s="7" t="e">
        <f t="shared" si="233"/>
        <v>#N/A</v>
      </c>
      <c r="GH179" t="e">
        <f t="shared" si="243"/>
        <v>#N/A</v>
      </c>
      <c r="GI179" s="8" t="e">
        <f t="shared" si="244"/>
        <v>#N/A</v>
      </c>
      <c r="GJ179" s="8" t="e">
        <f t="shared" si="245"/>
        <v>#N/A</v>
      </c>
      <c r="GK179" s="81" t="e">
        <f t="shared" si="246"/>
        <v>#N/A</v>
      </c>
      <c r="GL179" s="81"/>
      <c r="GM179" s="81"/>
      <c r="GP179" s="32">
        <f t="shared" si="291"/>
        <v>169</v>
      </c>
      <c r="GQ179" s="32">
        <f t="shared" si="292"/>
        <v>170</v>
      </c>
      <c r="GR179" s="32">
        <f t="shared" si="293"/>
        <v>0.9582115678039731</v>
      </c>
      <c r="GS179" s="32">
        <f t="shared" si="294"/>
        <v>0.25207635595578487</v>
      </c>
      <c r="GT179" s="32" t="e">
        <f t="shared" si="295"/>
        <v>#N/A</v>
      </c>
      <c r="GU179" s="32" t="e">
        <f t="shared" si="296"/>
        <v>#N/A</v>
      </c>
      <c r="GV179" s="32" t="e">
        <f t="shared" si="297"/>
        <v>#N/A</v>
      </c>
      <c r="GW179" s="32" t="b">
        <f t="shared" si="298"/>
        <v>0</v>
      </c>
      <c r="GX179" s="32" t="b">
        <f t="shared" si="299"/>
        <v>1</v>
      </c>
      <c r="GY179" s="32" t="b">
        <f t="shared" si="300"/>
        <v>0</v>
      </c>
      <c r="GZ179" s="32" t="b">
        <f t="shared" si="301"/>
        <v>1</v>
      </c>
      <c r="HA179" s="32">
        <f t="shared" si="302"/>
        <v>0.25207635595578487</v>
      </c>
      <c r="HB179" s="32" t="e">
        <f t="shared" si="303"/>
        <v>#N/A</v>
      </c>
      <c r="HC179" s="32">
        <f t="shared" si="304"/>
        <v>0.25207635595578487</v>
      </c>
      <c r="HD179" s="45" t="str">
        <f t="shared" si="305"/>
        <v/>
      </c>
      <c r="HJ179" s="32">
        <f t="shared" si="306"/>
        <v>169</v>
      </c>
      <c r="HK179" s="32">
        <f t="shared" si="307"/>
        <v>170</v>
      </c>
      <c r="HL179" s="32">
        <f t="shared" si="308"/>
        <v>1.4838107375622744</v>
      </c>
      <c r="HM179" s="32" t="e">
        <f t="shared" si="309"/>
        <v>#N/A</v>
      </c>
      <c r="HN179" s="32">
        <f t="shared" si="310"/>
        <v>0.12893536108620479</v>
      </c>
      <c r="HO179" s="32" t="e">
        <f t="shared" si="311"/>
        <v>#N/A</v>
      </c>
      <c r="HP179" s="32" t="e">
        <f t="shared" si="312"/>
        <v>#N/A</v>
      </c>
      <c r="HQ179" s="32" t="b">
        <f t="shared" si="313"/>
        <v>1</v>
      </c>
      <c r="HR179" s="32" t="b">
        <f t="shared" si="314"/>
        <v>0</v>
      </c>
      <c r="HS179" s="32" t="b">
        <f t="shared" si="315"/>
        <v>0</v>
      </c>
      <c r="HT179" s="32" t="b">
        <f t="shared" si="316"/>
        <v>1</v>
      </c>
      <c r="HU179" s="32">
        <f t="shared" si="317"/>
        <v>0.12893536108620479</v>
      </c>
      <c r="HV179" s="32">
        <f t="shared" si="318"/>
        <v>0.12893536108620479</v>
      </c>
      <c r="HW179" s="32" t="e">
        <f t="shared" si="319"/>
        <v>#N/A</v>
      </c>
      <c r="HX179" s="45" t="str">
        <f t="shared" si="320"/>
        <v/>
      </c>
    </row>
    <row r="180" spans="78:232" x14ac:dyDescent="0.2">
      <c r="BZ180" s="32">
        <f t="shared" si="247"/>
        <v>170</v>
      </c>
      <c r="CA180" s="32">
        <f>Eu_tabel_g[[#This Row],[Indeks]]+1</f>
        <v>171</v>
      </c>
      <c r="CB180" s="32">
        <f t="shared" si="248"/>
        <v>0.98216685699907202</v>
      </c>
      <c r="CC180" s="32">
        <f t="shared" si="249"/>
        <v>0.24628536360353348</v>
      </c>
      <c r="CD180" s="32" t="e">
        <f t="shared" si="250"/>
        <v>#N/A</v>
      </c>
      <c r="CE180" s="32" t="e">
        <f t="shared" si="251"/>
        <v>#N/A</v>
      </c>
      <c r="CF180" s="32" t="e">
        <f t="shared" si="252"/>
        <v>#N/A</v>
      </c>
      <c r="CG180" s="32" t="b">
        <f t="shared" si="253"/>
        <v>0</v>
      </c>
      <c r="CH180" s="32" t="b">
        <f t="shared" si="254"/>
        <v>1</v>
      </c>
      <c r="CI180" s="32" t="b">
        <f t="shared" si="255"/>
        <v>0</v>
      </c>
      <c r="CJ180" s="32" t="b">
        <f t="shared" si="256"/>
        <v>1</v>
      </c>
      <c r="CK180" s="32">
        <f t="shared" si="321"/>
        <v>0.24628536360353348</v>
      </c>
      <c r="CL180" s="32" t="e">
        <f t="shared" si="257"/>
        <v>#N/A</v>
      </c>
      <c r="CM180" s="32">
        <f t="shared" si="258"/>
        <v>0.24628536360353348</v>
      </c>
      <c r="CN180" s="45" t="str">
        <f t="shared" si="259"/>
        <v/>
      </c>
      <c r="CO180" s="32">
        <f>_xlfn.NORM.DIST(_xlfn.NORM.INV(1-Eu_g_konfidensniveau,0,1)-Eu_tabel_g[[#This Row],[x base]],0,1,TRUE)</f>
        <v>4.3068074326911626E-3</v>
      </c>
      <c r="CP180" s="32">
        <f>1-_xlfn.NORM.DIST(_xlfn.NORM.INV(Eu_g_konfidensniveau,0,1)-Eu_tabel_g[[#This Row],[x base]],0,1,TRUE)</f>
        <v>0.25376559238468421</v>
      </c>
      <c r="CQ180" s="32">
        <f>_xlfn.NORM.DIST(_xlfn.NORM.INV((1-Eu_g_konfidensniveau)/2,0,1)-Eu_tabel_g[[#This Row],[x base]],0,1,TRUE)+1-_xlfn.NORM.DIST(_xlfn.NORM.INV(1-(1-Eu_g_konfidensniveau)/2,0,1)-Eu_tabel_g[[#This Row],[x base]],0,1,TRUE)</f>
        <v>0.16571714685203198</v>
      </c>
      <c r="CR180" s="32" t="e" cm="1">
        <f t="array" ref="CR180">IF($CR$3,INDEX(Eu_tabel_g[[#This Row],[Styrke venstre]:[Styrke tosidet]],CR$7),NA())</f>
        <v>#N/A</v>
      </c>
      <c r="CS180" s="52" t="e">
        <f>Eu_tabel_g[[#This Row],[Falsk positiv
Nulhypotese accepteres
Fejltype 1]]</f>
        <v>#N/A</v>
      </c>
      <c r="CT180" s="52" t="e">
        <f>IF(CHOOSE(CR$7,Eu_tabel_g[[#This Row],[x base]]&gt;0,Eu_tabel_g[[#This Row],[x base]]&lt;0,Eu_tabel_g[[#This Row],[x base]]=0),Eu_tabel_g[[#This Row],[Styrke, aktiv]],NA())</f>
        <v>#N/A</v>
      </c>
      <c r="CU180" s="52" t="e">
        <f>IFERROR(IF($CR$3,Eu_tabel_g[[#This Row],[Styrke, aktiv]],NA()),NA())</f>
        <v>#N/A</v>
      </c>
      <c r="CV180" s="52" t="e">
        <f>IF(ISNA(Eu_tabel_g[[#This Row],[Sand negativ
Nulhypotese afvises
Korrekt]]),NA(),IF($CR$3,1,NA()))</f>
        <v>#N/A</v>
      </c>
      <c r="CW180" s="34" t="str" cm="1">
        <f t="array" ref="CW180">_xlfn.SWITCH(BZ180,_xlfn.IFNA(CU$2,-99),CU$5,_xlfn.IFNA(CU$3,-99),CU$6,_xlfn.IFNA(CU$4,-99),CU$7,"")</f>
        <v/>
      </c>
      <c r="DA180" s="7">
        <f t="shared" si="260"/>
        <v>0.8</v>
      </c>
      <c r="DB180">
        <f>IF(ROW(Styrkeberegning_G[[#This Row],[X base venstre]])=ROW(Styrkeberegning_G[[#Headers],[X base venstre]])+1,DB$7/(DA$7/$B$67),DB179/(DA179/$B$67))</f>
        <v>-2.8015817870135784</v>
      </c>
      <c r="DC180">
        <f>Styrkeberegning_G[[#This Row],[X base venstre]]*-1</f>
        <v>2.8015817870135784</v>
      </c>
      <c r="DN180" s="32">
        <f t="shared" si="261"/>
        <v>170</v>
      </c>
      <c r="DO180" s="32">
        <f t="shared" si="262"/>
        <v>171</v>
      </c>
      <c r="DP180" s="32">
        <f t="shared" si="263"/>
        <v>21.225898255543861</v>
      </c>
      <c r="DQ180" s="32" t="e">
        <f t="shared" si="264"/>
        <v>#N/A</v>
      </c>
      <c r="DR180" s="32" t="e">
        <f t="shared" si="265"/>
        <v>#N/A</v>
      </c>
      <c r="DS180" s="32">
        <f t="shared" si="266"/>
        <v>9.7102489864168053E-3</v>
      </c>
      <c r="DT180" s="32" t="e">
        <f t="shared" si="267"/>
        <v>#N/A</v>
      </c>
      <c r="DU180" s="32" t="b">
        <f t="shared" si="268"/>
        <v>0</v>
      </c>
      <c r="DV180" s="32" t="b">
        <f t="shared" si="269"/>
        <v>1</v>
      </c>
      <c r="DW180" s="32" t="b">
        <f t="shared" si="270"/>
        <v>0</v>
      </c>
      <c r="DX180" s="32" t="b">
        <f t="shared" si="271"/>
        <v>1</v>
      </c>
      <c r="DY180" s="32">
        <f t="shared" si="272"/>
        <v>9.7102489864168053E-3</v>
      </c>
      <c r="DZ180" s="32" t="e">
        <f t="shared" si="273"/>
        <v>#N/A</v>
      </c>
      <c r="EA180" s="32">
        <f t="shared" si="274"/>
        <v>9.7102489864168053E-3</v>
      </c>
      <c r="EB180" s="45" t="str">
        <f t="shared" si="275"/>
        <v/>
      </c>
      <c r="EG180" s="32">
        <f t="shared" si="276"/>
        <v>170</v>
      </c>
      <c r="EH180" s="32">
        <f t="shared" si="277"/>
        <v>171</v>
      </c>
      <c r="EI180" s="32">
        <f t="shared" si="278"/>
        <v>0.98216685699907202</v>
      </c>
      <c r="EJ180" s="32">
        <f t="shared" si="279"/>
        <v>0.24628536360353348</v>
      </c>
      <c r="EK180" s="32" t="e">
        <f t="shared" si="280"/>
        <v>#N/A</v>
      </c>
      <c r="EL180" s="32" t="e">
        <f t="shared" si="281"/>
        <v>#N/A</v>
      </c>
      <c r="EM180" s="32" t="e">
        <f t="shared" si="282"/>
        <v>#N/A</v>
      </c>
      <c r="EN180" s="32" t="b">
        <f t="shared" si="283"/>
        <v>0</v>
      </c>
      <c r="EO180" s="32" t="b">
        <f t="shared" si="284"/>
        <v>1</v>
      </c>
      <c r="EP180" s="32" t="b">
        <f t="shared" si="285"/>
        <v>0</v>
      </c>
      <c r="EQ180" s="32" t="b">
        <f t="shared" si="286"/>
        <v>1</v>
      </c>
      <c r="ER180" s="32">
        <f t="shared" si="287"/>
        <v>0.24628536360353348</v>
      </c>
      <c r="ES180" s="32" t="e">
        <f t="shared" si="288"/>
        <v>#N/A</v>
      </c>
      <c r="ET180" s="32">
        <f t="shared" si="289"/>
        <v>0.24628536360353348</v>
      </c>
      <c r="EU180" s="45" t="str">
        <f t="shared" si="290"/>
        <v/>
      </c>
      <c r="EV18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0" s="32" t="e" cm="1">
        <f t="array" ref="EY180">IF($CR$3,INDEX(Eu_tabel_a[[#This Row],[Styrke venstre]:[Styrke tosidet]],EY$7),NA())</f>
        <v>#N/A</v>
      </c>
      <c r="EZ180" s="32" t="e">
        <f>IF(EY$3,IF(CHOOSE(EY$7,Eu_tabel_a[[#This Row],[x base]]&gt;0,Eu_tabel_a[[#This Row],[x base]]&lt;0,Eu_tabel_a[[#This Row],[x base]]=0),1,NA()),NA())</f>
        <v>#N/A</v>
      </c>
      <c r="FA180" s="32" t="e">
        <f>IF(CHOOSE(EY$7,Eu_tabel_a[[#This Row],[x base]]&gt;0,Eu_tabel_a[[#This Row],[x base]]&lt;0,Eu_tabel_a[[#This Row],[x base]]=0),Eu_tabel_a[[#This Row],[Styrke, aktiv]],NA())</f>
        <v>#N/A</v>
      </c>
      <c r="FB180" s="32" t="e">
        <f>IFERROR(IF($EY$3,Eu_tabel_a[[#This Row],[Styrke, aktiv]],NA()),NA())</f>
        <v>#N/A</v>
      </c>
      <c r="FC180" s="32" t="e">
        <f>IF(ISNA(Eu_tabel_a[[#This Row],[Sand negativ
Nulhypotese afvises
Korrekt]]),NA(),IF(EY$3,1,NA()))</f>
        <v>#N/A</v>
      </c>
      <c r="FD180" s="33" t="str" cm="1">
        <f t="array" ref="FD180">IFERROR(_xlfn.SWITCH(Eu_tabel_a[[#This Row],[Indeks]],_xlfn.IFNA(FB$2,-99),FB$5,_xlfn.IFNA(FB$3,-99),FB$6,_xlfn.IFNA(FB$4,-99),FB$7,""),"")</f>
        <v/>
      </c>
      <c r="FE180" s="32">
        <f>Eu_tabel_a[[#This Row],[x base]]*SQRT(Eu_a_h0_x*(1-Eu_a_h0_x)/Eu_a_n_x)+Eu_a_h0_x</f>
        <v>0</v>
      </c>
      <c r="FJ180" s="74" t="e">
        <f t="shared" si="234"/>
        <v>#N/A</v>
      </c>
      <c r="FK180" s="82" t="e">
        <f t="shared" si="322"/>
        <v>#DIV/0!</v>
      </c>
      <c r="FL180" s="7" t="e">
        <f t="shared" si="228"/>
        <v>#DIV/0!</v>
      </c>
      <c r="FM180" t="e">
        <f t="shared" si="323"/>
        <v>#DIV/0!</v>
      </c>
      <c r="FN180" s="8" t="e">
        <f t="shared" si="324"/>
        <v>#DIV/0!</v>
      </c>
      <c r="FO180" s="8" t="e">
        <f t="shared" si="325"/>
        <v>#DIV/0!</v>
      </c>
      <c r="FP180" s="81" t="e">
        <f t="shared" si="326"/>
        <v>#DIV/0!</v>
      </c>
      <c r="FQ180" s="74" t="e">
        <f t="shared" ca="1" si="229"/>
        <v>#N/A</v>
      </c>
      <c r="FR180" s="82" t="e" vm="3">
        <f t="shared" ca="1" si="235"/>
        <v>#VALUE!</v>
      </c>
      <c r="FS180" s="7" t="e" vm="3">
        <f t="shared" ca="1" si="230"/>
        <v>#VALUE!</v>
      </c>
      <c r="FT180" t="e" vm="3">
        <f t="shared" ca="1" si="224"/>
        <v>#VALUE!</v>
      </c>
      <c r="FU180" s="8" t="e" vm="3">
        <f t="shared" ca="1" si="225"/>
        <v>#VALUE!</v>
      </c>
      <c r="FV180" s="8" t="e" vm="3">
        <f t="shared" ca="1" si="226"/>
        <v>#VALUE!</v>
      </c>
      <c r="FW180" s="81" t="e" vm="3">
        <f t="shared" ca="1" si="227"/>
        <v>#VALUE!</v>
      </c>
      <c r="FX180" s="74" t="e">
        <f t="shared" si="231"/>
        <v>#N/A</v>
      </c>
      <c r="FY180" s="82" t="e">
        <f t="shared" si="236"/>
        <v>#N/A</v>
      </c>
      <c r="FZ180" s="7" t="e">
        <f t="shared" si="232"/>
        <v>#N/A</v>
      </c>
      <c r="GA180" t="e">
        <f t="shared" si="237"/>
        <v>#N/A</v>
      </c>
      <c r="GB180" s="8" t="e">
        <f t="shared" si="238"/>
        <v>#N/A</v>
      </c>
      <c r="GC180" s="8" t="e">
        <f t="shared" si="239"/>
        <v>#N/A</v>
      </c>
      <c r="GD180" s="81" t="e">
        <f t="shared" si="240"/>
        <v>#N/A</v>
      </c>
      <c r="GE180" s="74" t="e">
        <f t="shared" si="241"/>
        <v>#N/A</v>
      </c>
      <c r="GF180" s="82" t="e">
        <f t="shared" si="242"/>
        <v>#N/A</v>
      </c>
      <c r="GG180" s="7" t="e">
        <f t="shared" si="233"/>
        <v>#N/A</v>
      </c>
      <c r="GH180" t="e">
        <f t="shared" si="243"/>
        <v>#N/A</v>
      </c>
      <c r="GI180" s="8" t="e">
        <f t="shared" si="244"/>
        <v>#N/A</v>
      </c>
      <c r="GJ180" s="8" t="e">
        <f t="shared" si="245"/>
        <v>#N/A</v>
      </c>
      <c r="GK180" s="81" t="e">
        <f t="shared" si="246"/>
        <v>#N/A</v>
      </c>
      <c r="GL180" s="81"/>
      <c r="GM180" s="81"/>
      <c r="GP180" s="32">
        <f t="shared" si="291"/>
        <v>170</v>
      </c>
      <c r="GQ180" s="32">
        <f t="shared" si="292"/>
        <v>171</v>
      </c>
      <c r="GR180" s="32">
        <f t="shared" si="293"/>
        <v>0.98216685699907202</v>
      </c>
      <c r="GS180" s="32">
        <f t="shared" si="294"/>
        <v>0.24628536360353348</v>
      </c>
      <c r="GT180" s="32" t="e">
        <f t="shared" si="295"/>
        <v>#N/A</v>
      </c>
      <c r="GU180" s="32" t="e">
        <f t="shared" si="296"/>
        <v>#N/A</v>
      </c>
      <c r="GV180" s="32" t="e">
        <f t="shared" si="297"/>
        <v>#N/A</v>
      </c>
      <c r="GW180" s="32" t="b">
        <f t="shared" si="298"/>
        <v>0</v>
      </c>
      <c r="GX180" s="32" t="b">
        <f t="shared" si="299"/>
        <v>1</v>
      </c>
      <c r="GY180" s="32" t="b">
        <f t="shared" si="300"/>
        <v>0</v>
      </c>
      <c r="GZ180" s="32" t="b">
        <f t="shared" si="301"/>
        <v>1</v>
      </c>
      <c r="HA180" s="32">
        <f t="shared" si="302"/>
        <v>0.24628536360353348</v>
      </c>
      <c r="HB180" s="32" t="e">
        <f t="shared" si="303"/>
        <v>#N/A</v>
      </c>
      <c r="HC180" s="32">
        <f t="shared" si="304"/>
        <v>0.24628536360353348</v>
      </c>
      <c r="HD180" s="45" t="str">
        <f t="shared" si="305"/>
        <v/>
      </c>
      <c r="HJ180" s="32">
        <f t="shared" si="306"/>
        <v>170</v>
      </c>
      <c r="HK180" s="32">
        <f t="shared" si="307"/>
        <v>171</v>
      </c>
      <c r="HL180" s="32">
        <f t="shared" si="308"/>
        <v>1.5209060060013311</v>
      </c>
      <c r="HM180" s="32" t="e">
        <f t="shared" si="309"/>
        <v>#N/A</v>
      </c>
      <c r="HN180" s="32">
        <f t="shared" si="310"/>
        <v>0.1228728429463751</v>
      </c>
      <c r="HO180" s="32" t="e">
        <f t="shared" si="311"/>
        <v>#N/A</v>
      </c>
      <c r="HP180" s="32" t="e">
        <f t="shared" si="312"/>
        <v>#N/A</v>
      </c>
      <c r="HQ180" s="32" t="b">
        <f t="shared" si="313"/>
        <v>1</v>
      </c>
      <c r="HR180" s="32" t="b">
        <f t="shared" si="314"/>
        <v>0</v>
      </c>
      <c r="HS180" s="32" t="b">
        <f t="shared" si="315"/>
        <v>0</v>
      </c>
      <c r="HT180" s="32" t="b">
        <f t="shared" si="316"/>
        <v>1</v>
      </c>
      <c r="HU180" s="32">
        <f t="shared" si="317"/>
        <v>0.1228728429463751</v>
      </c>
      <c r="HV180" s="32">
        <f t="shared" si="318"/>
        <v>0.1228728429463751</v>
      </c>
      <c r="HW180" s="32" t="e">
        <f t="shared" si="319"/>
        <v>#N/A</v>
      </c>
      <c r="HX180" s="45" t="str">
        <f t="shared" si="320"/>
        <v/>
      </c>
    </row>
    <row r="181" spans="78:232" x14ac:dyDescent="0.2">
      <c r="BZ181" s="32">
        <f t="shared" si="247"/>
        <v>171</v>
      </c>
      <c r="CA181" s="32">
        <f>Eu_tabel_g[[#This Row],[Indeks]]+1</f>
        <v>172</v>
      </c>
      <c r="CB181" s="32">
        <f t="shared" si="248"/>
        <v>1.0061221461941718</v>
      </c>
      <c r="CC181" s="32">
        <f t="shared" si="249"/>
        <v>0.24048936284820582</v>
      </c>
      <c r="CD181" s="32" t="e">
        <f t="shared" si="250"/>
        <v>#N/A</v>
      </c>
      <c r="CE181" s="32" t="e">
        <f t="shared" si="251"/>
        <v>#N/A</v>
      </c>
      <c r="CF181" s="32" t="e">
        <f t="shared" si="252"/>
        <v>#N/A</v>
      </c>
      <c r="CG181" s="32" t="b">
        <f t="shared" si="253"/>
        <v>0</v>
      </c>
      <c r="CH181" s="32" t="b">
        <f t="shared" si="254"/>
        <v>1</v>
      </c>
      <c r="CI181" s="32" t="b">
        <f t="shared" si="255"/>
        <v>0</v>
      </c>
      <c r="CJ181" s="32" t="b">
        <f t="shared" si="256"/>
        <v>1</v>
      </c>
      <c r="CK181" s="32">
        <f t="shared" si="321"/>
        <v>0.24048936284820582</v>
      </c>
      <c r="CL181" s="32" t="e">
        <f t="shared" si="257"/>
        <v>#N/A</v>
      </c>
      <c r="CM181" s="32">
        <f t="shared" si="258"/>
        <v>0.24048936284820582</v>
      </c>
      <c r="CN181" s="45" t="str">
        <f t="shared" si="259"/>
        <v/>
      </c>
      <c r="CO181" s="32">
        <f>_xlfn.NORM.DIST(_xlfn.NORM.INV(1-Eu_g_konfidensniveau,0,1)-Eu_tabel_g[[#This Row],[x base]],0,1,TRUE)</f>
        <v>4.0129799124446544E-3</v>
      </c>
      <c r="CP181" s="32">
        <f>1-_xlfn.NORM.DIST(_xlfn.NORM.INV(Eu_g_konfidensniveau,0,1)-Eu_tabel_g[[#This Row],[x base]],0,1,TRUE)</f>
        <v>0.2614988147473114</v>
      </c>
      <c r="CQ181" s="32">
        <f>_xlfn.NORM.DIST(_xlfn.NORM.INV((1-Eu_g_konfidensniveau)/2,0,1)-Eu_tabel_g[[#This Row],[x base]],0,1,TRUE)+1-_xlfn.NORM.DIST(_xlfn.NORM.INV(1-(1-Eu_g_konfidensniveau)/2,0,1)-Eu_tabel_g[[#This Row],[x base]],0,1,TRUE)</f>
        <v>0.171589933924436</v>
      </c>
      <c r="CR181" s="32" t="e" cm="1">
        <f t="array" ref="CR181">IF($CR$3,INDEX(Eu_tabel_g[[#This Row],[Styrke venstre]:[Styrke tosidet]],CR$7),NA())</f>
        <v>#N/A</v>
      </c>
      <c r="CS181" s="52" t="e">
        <f>Eu_tabel_g[[#This Row],[Falsk positiv
Nulhypotese accepteres
Fejltype 1]]</f>
        <v>#N/A</v>
      </c>
      <c r="CT181" s="52" t="e">
        <f>IF(CHOOSE(CR$7,Eu_tabel_g[[#This Row],[x base]]&gt;0,Eu_tabel_g[[#This Row],[x base]]&lt;0,Eu_tabel_g[[#This Row],[x base]]=0),Eu_tabel_g[[#This Row],[Styrke, aktiv]],NA())</f>
        <v>#N/A</v>
      </c>
      <c r="CU181" s="52" t="e">
        <f>IFERROR(IF($CR$3,Eu_tabel_g[[#This Row],[Styrke, aktiv]],NA()),NA())</f>
        <v>#N/A</v>
      </c>
      <c r="CV181" s="52" t="e">
        <f>IF(ISNA(Eu_tabel_g[[#This Row],[Sand negativ
Nulhypotese afvises
Korrekt]]),NA(),IF($CR$3,1,NA()))</f>
        <v>#N/A</v>
      </c>
      <c r="CW181" s="34" t="str" cm="1">
        <f t="array" ref="CW181">_xlfn.SWITCH(BZ181,_xlfn.IFNA(CU$2,-99),CU$5,_xlfn.IFNA(CU$3,-99),CU$6,_xlfn.IFNA(CU$4,-99),CU$7,"")</f>
        <v/>
      </c>
      <c r="DA181" s="7">
        <f t="shared" si="260"/>
        <v>0.8</v>
      </c>
      <c r="DB181">
        <f>IF(ROW(Styrkeberegning_G[[#This Row],[X base venstre]])=ROW(Styrkeberegning_G[[#Headers],[X base venstre]])+1,DB$7/(DA$7/$B$67),DB180/(DA180/$B$67))</f>
        <v>-2.8015817870135784</v>
      </c>
      <c r="DC181">
        <f>Styrkeberegning_G[[#This Row],[X base venstre]]*-1</f>
        <v>2.8015817870135784</v>
      </c>
      <c r="DN181" s="32">
        <f t="shared" si="261"/>
        <v>171</v>
      </c>
      <c r="DO181" s="32">
        <f t="shared" si="262"/>
        <v>172</v>
      </c>
      <c r="DP181" s="32">
        <f t="shared" si="263"/>
        <v>21.339969111960862</v>
      </c>
      <c r="DQ181" s="32" t="e">
        <f t="shared" si="264"/>
        <v>#N/A</v>
      </c>
      <c r="DR181" s="32" t="e">
        <f t="shared" si="265"/>
        <v>#N/A</v>
      </c>
      <c r="DS181" s="32">
        <f t="shared" si="266"/>
        <v>9.3958241886053437E-3</v>
      </c>
      <c r="DT181" s="32" t="e">
        <f t="shared" si="267"/>
        <v>#N/A</v>
      </c>
      <c r="DU181" s="32" t="b">
        <f t="shared" si="268"/>
        <v>0</v>
      </c>
      <c r="DV181" s="32" t="b">
        <f t="shared" si="269"/>
        <v>1</v>
      </c>
      <c r="DW181" s="32" t="b">
        <f t="shared" si="270"/>
        <v>0</v>
      </c>
      <c r="DX181" s="32" t="b">
        <f t="shared" si="271"/>
        <v>1</v>
      </c>
      <c r="DY181" s="32">
        <f t="shared" si="272"/>
        <v>9.3958241886053437E-3</v>
      </c>
      <c r="DZ181" s="32" t="e">
        <f t="shared" si="273"/>
        <v>#N/A</v>
      </c>
      <c r="EA181" s="32">
        <f t="shared" si="274"/>
        <v>9.3958241886053437E-3</v>
      </c>
      <c r="EB181" s="45" t="str">
        <f t="shared" si="275"/>
        <v/>
      </c>
      <c r="EG181" s="32">
        <f t="shared" si="276"/>
        <v>171</v>
      </c>
      <c r="EH181" s="32">
        <f t="shared" si="277"/>
        <v>172</v>
      </c>
      <c r="EI181" s="32">
        <f t="shared" si="278"/>
        <v>1.0061221461941718</v>
      </c>
      <c r="EJ181" s="32">
        <f t="shared" si="279"/>
        <v>0.24048936284820582</v>
      </c>
      <c r="EK181" s="32" t="e">
        <f t="shared" si="280"/>
        <v>#N/A</v>
      </c>
      <c r="EL181" s="32" t="e">
        <f t="shared" si="281"/>
        <v>#N/A</v>
      </c>
      <c r="EM181" s="32" t="e">
        <f t="shared" si="282"/>
        <v>#N/A</v>
      </c>
      <c r="EN181" s="32" t="b">
        <f t="shared" si="283"/>
        <v>0</v>
      </c>
      <c r="EO181" s="32" t="b">
        <f t="shared" si="284"/>
        <v>1</v>
      </c>
      <c r="EP181" s="32" t="b">
        <f t="shared" si="285"/>
        <v>0</v>
      </c>
      <c r="EQ181" s="32" t="b">
        <f t="shared" si="286"/>
        <v>1</v>
      </c>
      <c r="ER181" s="32">
        <f t="shared" si="287"/>
        <v>0.24048936284820582</v>
      </c>
      <c r="ES181" s="32" t="e">
        <f t="shared" si="288"/>
        <v>#N/A</v>
      </c>
      <c r="ET181" s="32">
        <f t="shared" si="289"/>
        <v>0.24048936284820582</v>
      </c>
      <c r="EU181" s="45" t="str">
        <f t="shared" si="290"/>
        <v/>
      </c>
      <c r="EV18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1" s="32" t="e" cm="1">
        <f t="array" ref="EY181">IF($CR$3,INDEX(Eu_tabel_a[[#This Row],[Styrke venstre]:[Styrke tosidet]],EY$7),NA())</f>
        <v>#N/A</v>
      </c>
      <c r="EZ181" s="32" t="e">
        <f>IF(EY$3,IF(CHOOSE(EY$7,Eu_tabel_a[[#This Row],[x base]]&gt;0,Eu_tabel_a[[#This Row],[x base]]&lt;0,Eu_tabel_a[[#This Row],[x base]]=0),1,NA()),NA())</f>
        <v>#N/A</v>
      </c>
      <c r="FA181" s="32" t="e">
        <f>IF(CHOOSE(EY$7,Eu_tabel_a[[#This Row],[x base]]&gt;0,Eu_tabel_a[[#This Row],[x base]]&lt;0,Eu_tabel_a[[#This Row],[x base]]=0),Eu_tabel_a[[#This Row],[Styrke, aktiv]],NA())</f>
        <v>#N/A</v>
      </c>
      <c r="FB181" s="32" t="e">
        <f>IFERROR(IF($EY$3,Eu_tabel_a[[#This Row],[Styrke, aktiv]],NA()),NA())</f>
        <v>#N/A</v>
      </c>
      <c r="FC181" s="32" t="e">
        <f>IF(ISNA(Eu_tabel_a[[#This Row],[Sand negativ
Nulhypotese afvises
Korrekt]]),NA(),IF(EY$3,1,NA()))</f>
        <v>#N/A</v>
      </c>
      <c r="FD181" s="33" t="str" cm="1">
        <f t="array" ref="FD181">IFERROR(_xlfn.SWITCH(Eu_tabel_a[[#This Row],[Indeks]],_xlfn.IFNA(FB$2,-99),FB$5,_xlfn.IFNA(FB$3,-99),FB$6,_xlfn.IFNA(FB$4,-99),FB$7,""),"")</f>
        <v/>
      </c>
      <c r="FE181" s="32">
        <f>Eu_tabel_a[[#This Row],[x base]]*SQRT(Eu_a_h0_x*(1-Eu_a_h0_x)/Eu_a_n_x)+Eu_a_h0_x</f>
        <v>0</v>
      </c>
      <c r="FJ181" s="74" t="e">
        <f t="shared" si="234"/>
        <v>#N/A</v>
      </c>
      <c r="FK181" s="82" t="e">
        <f t="shared" si="322"/>
        <v>#DIV/0!</v>
      </c>
      <c r="FL181" s="7" t="e">
        <f t="shared" si="228"/>
        <v>#DIV/0!</v>
      </c>
      <c r="FM181" t="e">
        <f t="shared" si="323"/>
        <v>#DIV/0!</v>
      </c>
      <c r="FN181" s="8" t="e">
        <f t="shared" si="324"/>
        <v>#DIV/0!</v>
      </c>
      <c r="FO181" s="8" t="e">
        <f t="shared" si="325"/>
        <v>#DIV/0!</v>
      </c>
      <c r="FP181" s="81" t="e">
        <f t="shared" si="326"/>
        <v>#DIV/0!</v>
      </c>
      <c r="FQ181" s="74" t="e">
        <f t="shared" ca="1" si="229"/>
        <v>#N/A</v>
      </c>
      <c r="FR181" s="82" t="e" vm="3">
        <f t="shared" ca="1" si="235"/>
        <v>#VALUE!</v>
      </c>
      <c r="FS181" s="7" t="e" vm="3">
        <f t="shared" ca="1" si="230"/>
        <v>#VALUE!</v>
      </c>
      <c r="FT181" t="e" vm="3">
        <f t="shared" ca="1" si="224"/>
        <v>#VALUE!</v>
      </c>
      <c r="FU181" s="8" t="e" vm="3">
        <f t="shared" ca="1" si="225"/>
        <v>#VALUE!</v>
      </c>
      <c r="FV181" s="8" t="e" vm="3">
        <f t="shared" ca="1" si="226"/>
        <v>#VALUE!</v>
      </c>
      <c r="FW181" s="81" t="e" vm="3">
        <f t="shared" ca="1" si="227"/>
        <v>#VALUE!</v>
      </c>
      <c r="FX181" s="74" t="e">
        <f t="shared" si="231"/>
        <v>#N/A</v>
      </c>
      <c r="FY181" s="82" t="e">
        <f t="shared" si="236"/>
        <v>#N/A</v>
      </c>
      <c r="FZ181" s="7" t="e">
        <f t="shared" si="232"/>
        <v>#N/A</v>
      </c>
      <c r="GA181" t="e">
        <f t="shared" si="237"/>
        <v>#N/A</v>
      </c>
      <c r="GB181" s="8" t="e">
        <f t="shared" si="238"/>
        <v>#N/A</v>
      </c>
      <c r="GC181" s="8" t="e">
        <f t="shared" si="239"/>
        <v>#N/A</v>
      </c>
      <c r="GD181" s="81" t="e">
        <f t="shared" si="240"/>
        <v>#N/A</v>
      </c>
      <c r="GE181" s="74" t="e">
        <f t="shared" si="241"/>
        <v>#N/A</v>
      </c>
      <c r="GF181" s="82" t="e">
        <f t="shared" si="242"/>
        <v>#N/A</v>
      </c>
      <c r="GG181" s="7" t="e">
        <f t="shared" si="233"/>
        <v>#N/A</v>
      </c>
      <c r="GH181" t="e">
        <f t="shared" si="243"/>
        <v>#N/A</v>
      </c>
      <c r="GI181" s="8" t="e">
        <f t="shared" si="244"/>
        <v>#N/A</v>
      </c>
      <c r="GJ181" s="8" t="e">
        <f t="shared" si="245"/>
        <v>#N/A</v>
      </c>
      <c r="GK181" s="81" t="e">
        <f t="shared" si="246"/>
        <v>#N/A</v>
      </c>
      <c r="GL181" s="81"/>
      <c r="GM181" s="81"/>
      <c r="GP181" s="32">
        <f t="shared" si="291"/>
        <v>171</v>
      </c>
      <c r="GQ181" s="32">
        <f t="shared" si="292"/>
        <v>172</v>
      </c>
      <c r="GR181" s="32">
        <f t="shared" si="293"/>
        <v>1.0061221461941718</v>
      </c>
      <c r="GS181" s="32">
        <f t="shared" si="294"/>
        <v>0.24048936284820582</v>
      </c>
      <c r="GT181" s="32" t="e">
        <f t="shared" si="295"/>
        <v>#N/A</v>
      </c>
      <c r="GU181" s="32" t="e">
        <f t="shared" si="296"/>
        <v>#N/A</v>
      </c>
      <c r="GV181" s="32" t="e">
        <f t="shared" si="297"/>
        <v>#N/A</v>
      </c>
      <c r="GW181" s="32" t="b">
        <f t="shared" si="298"/>
        <v>0</v>
      </c>
      <c r="GX181" s="32" t="b">
        <f t="shared" si="299"/>
        <v>1</v>
      </c>
      <c r="GY181" s="32" t="b">
        <f t="shared" si="300"/>
        <v>0</v>
      </c>
      <c r="GZ181" s="32" t="b">
        <f t="shared" si="301"/>
        <v>1</v>
      </c>
      <c r="HA181" s="32">
        <f t="shared" si="302"/>
        <v>0.24048936284820582</v>
      </c>
      <c r="HB181" s="32" t="e">
        <f t="shared" si="303"/>
        <v>#N/A</v>
      </c>
      <c r="HC181" s="32">
        <f t="shared" si="304"/>
        <v>0.24048936284820582</v>
      </c>
      <c r="HD181" s="45" t="str">
        <f t="shared" si="305"/>
        <v/>
      </c>
      <c r="HJ181" s="32">
        <f t="shared" si="306"/>
        <v>171</v>
      </c>
      <c r="HK181" s="32">
        <f t="shared" si="307"/>
        <v>172</v>
      </c>
      <c r="HL181" s="32">
        <f t="shared" si="308"/>
        <v>1.5580012744403877</v>
      </c>
      <c r="HM181" s="32" t="e">
        <f t="shared" si="309"/>
        <v>#N/A</v>
      </c>
      <c r="HN181" s="32">
        <f t="shared" si="310"/>
        <v>0.11702574379435811</v>
      </c>
      <c r="HO181" s="32" t="e">
        <f t="shared" si="311"/>
        <v>#N/A</v>
      </c>
      <c r="HP181" s="32" t="e">
        <f t="shared" si="312"/>
        <v>#N/A</v>
      </c>
      <c r="HQ181" s="32" t="b">
        <f t="shared" si="313"/>
        <v>1</v>
      </c>
      <c r="HR181" s="32" t="b">
        <f t="shared" si="314"/>
        <v>0</v>
      </c>
      <c r="HS181" s="32" t="b">
        <f t="shared" si="315"/>
        <v>0</v>
      </c>
      <c r="HT181" s="32" t="b">
        <f t="shared" si="316"/>
        <v>1</v>
      </c>
      <c r="HU181" s="32">
        <f t="shared" si="317"/>
        <v>0.11702574379435811</v>
      </c>
      <c r="HV181" s="32">
        <f t="shared" si="318"/>
        <v>0.11702574379435811</v>
      </c>
      <c r="HW181" s="32" t="e">
        <f t="shared" si="319"/>
        <v>#N/A</v>
      </c>
      <c r="HX181" s="45" t="str">
        <f t="shared" si="320"/>
        <v/>
      </c>
    </row>
    <row r="182" spans="78:232" x14ac:dyDescent="0.2">
      <c r="BZ182" s="32">
        <f t="shared" si="247"/>
        <v>172</v>
      </c>
      <c r="CA182" s="32">
        <f>Eu_tabel_g[[#This Row],[Indeks]]+1</f>
        <v>173</v>
      </c>
      <c r="CB182" s="32">
        <f t="shared" si="248"/>
        <v>1.0300774353892708</v>
      </c>
      <c r="CC182" s="32">
        <f t="shared" si="249"/>
        <v>0.23469504353367862</v>
      </c>
      <c r="CD182" s="32" t="e">
        <f t="shared" si="250"/>
        <v>#N/A</v>
      </c>
      <c r="CE182" s="32" t="e">
        <f t="shared" si="251"/>
        <v>#N/A</v>
      </c>
      <c r="CF182" s="32" t="e">
        <f t="shared" si="252"/>
        <v>#N/A</v>
      </c>
      <c r="CG182" s="32" t="b">
        <f t="shared" si="253"/>
        <v>0</v>
      </c>
      <c r="CH182" s="32" t="b">
        <f t="shared" si="254"/>
        <v>1</v>
      </c>
      <c r="CI182" s="32" t="b">
        <f t="shared" si="255"/>
        <v>0</v>
      </c>
      <c r="CJ182" s="32" t="b">
        <f t="shared" si="256"/>
        <v>1</v>
      </c>
      <c r="CK182" s="32">
        <f t="shared" si="321"/>
        <v>0.23469504353367862</v>
      </c>
      <c r="CL182" s="32" t="e">
        <f t="shared" si="257"/>
        <v>#N/A</v>
      </c>
      <c r="CM182" s="32">
        <f t="shared" si="258"/>
        <v>0.23469504353367862</v>
      </c>
      <c r="CN182" s="45" t="str">
        <f t="shared" si="259"/>
        <v/>
      </c>
      <c r="CO182" s="32">
        <f>_xlfn.NORM.DIST(_xlfn.NORM.INV(1-Eu_g_konfidensniveau,0,1)-Eu_tabel_g[[#This Row],[x base]],0,1,TRUE)</f>
        <v>3.7372309005786796E-3</v>
      </c>
      <c r="CP182" s="32">
        <f>1-_xlfn.NORM.DIST(_xlfn.NORM.INV(Eu_g_konfidensniveau,0,1)-Eu_tabel_g[[#This Row],[x base]],0,1,TRUE)</f>
        <v>0.26935126726694214</v>
      </c>
      <c r="CQ182" s="32">
        <f>_xlfn.NORM.DIST(_xlfn.NORM.INV((1-Eu_g_konfidensniveau)/2,0,1)-Eu_tabel_g[[#This Row],[x base]],0,1,TRUE)+1-_xlfn.NORM.DIST(_xlfn.NORM.INV(1-(1-Eu_g_konfidensniveau)/2,0,1)-Eu_tabel_g[[#This Row],[x base]],0,1,TRUE)</f>
        <v>0.17760961211190862</v>
      </c>
      <c r="CR182" s="32" t="e" cm="1">
        <f t="array" ref="CR182">IF($CR$3,INDEX(Eu_tabel_g[[#This Row],[Styrke venstre]:[Styrke tosidet]],CR$7),NA())</f>
        <v>#N/A</v>
      </c>
      <c r="CS182" s="52" t="e">
        <f>Eu_tabel_g[[#This Row],[Falsk positiv
Nulhypotese accepteres
Fejltype 1]]</f>
        <v>#N/A</v>
      </c>
      <c r="CT182" s="52" t="e">
        <f>IF(CHOOSE(CR$7,Eu_tabel_g[[#This Row],[x base]]&gt;0,Eu_tabel_g[[#This Row],[x base]]&lt;0,Eu_tabel_g[[#This Row],[x base]]=0),Eu_tabel_g[[#This Row],[Styrke, aktiv]],NA())</f>
        <v>#N/A</v>
      </c>
      <c r="CU182" s="52" t="e">
        <f>IFERROR(IF($CR$3,Eu_tabel_g[[#This Row],[Styrke, aktiv]],NA()),NA())</f>
        <v>#N/A</v>
      </c>
      <c r="CV182" s="52" t="e">
        <f>IF(ISNA(Eu_tabel_g[[#This Row],[Sand negativ
Nulhypotese afvises
Korrekt]]),NA(),IF($CR$3,1,NA()))</f>
        <v>#N/A</v>
      </c>
      <c r="CW182" s="34" t="str" cm="1">
        <f t="array" ref="CW182">_xlfn.SWITCH(BZ182,_xlfn.IFNA(CU$2,-99),CU$5,_xlfn.IFNA(CU$3,-99),CU$6,_xlfn.IFNA(CU$4,-99),CU$7,"")</f>
        <v/>
      </c>
      <c r="DA182" s="7">
        <f t="shared" si="260"/>
        <v>0.8</v>
      </c>
      <c r="DB182">
        <f>IF(ROW(Styrkeberegning_G[[#This Row],[X base venstre]])=ROW(Styrkeberegning_G[[#Headers],[X base venstre]])+1,DB$7/(DA$7/$B$67),DB181/(DA181/$B$67))</f>
        <v>-2.8015817870135784</v>
      </c>
      <c r="DC182">
        <f>Styrkeberegning_G[[#This Row],[X base venstre]]*-1</f>
        <v>2.8015817870135784</v>
      </c>
      <c r="DN182" s="32">
        <f t="shared" si="261"/>
        <v>172</v>
      </c>
      <c r="DO182" s="32">
        <f t="shared" si="262"/>
        <v>173</v>
      </c>
      <c r="DP182" s="32">
        <f t="shared" si="263"/>
        <v>21.454039968377863</v>
      </c>
      <c r="DQ182" s="32" t="e">
        <f t="shared" si="264"/>
        <v>#N/A</v>
      </c>
      <c r="DR182" s="32" t="e">
        <f t="shared" si="265"/>
        <v>#N/A</v>
      </c>
      <c r="DS182" s="32">
        <f t="shared" si="266"/>
        <v>9.0904117508488272E-3</v>
      </c>
      <c r="DT182" s="32" t="e">
        <f t="shared" si="267"/>
        <v>#N/A</v>
      </c>
      <c r="DU182" s="32" t="b">
        <f t="shared" si="268"/>
        <v>0</v>
      </c>
      <c r="DV182" s="32" t="b">
        <f t="shared" si="269"/>
        <v>1</v>
      </c>
      <c r="DW182" s="32" t="b">
        <f t="shared" si="270"/>
        <v>0</v>
      </c>
      <c r="DX182" s="32" t="b">
        <f t="shared" si="271"/>
        <v>1</v>
      </c>
      <c r="DY182" s="32">
        <f t="shared" si="272"/>
        <v>9.0904117508488272E-3</v>
      </c>
      <c r="DZ182" s="32" t="e">
        <f t="shared" si="273"/>
        <v>#N/A</v>
      </c>
      <c r="EA182" s="32">
        <f t="shared" si="274"/>
        <v>9.0904117508488272E-3</v>
      </c>
      <c r="EB182" s="45" t="str">
        <f t="shared" si="275"/>
        <v/>
      </c>
      <c r="EG182" s="32">
        <f t="shared" si="276"/>
        <v>172</v>
      </c>
      <c r="EH182" s="32">
        <f t="shared" si="277"/>
        <v>173</v>
      </c>
      <c r="EI182" s="32">
        <f t="shared" si="278"/>
        <v>1.0300774353892708</v>
      </c>
      <c r="EJ182" s="32">
        <f t="shared" si="279"/>
        <v>0.23469504353367862</v>
      </c>
      <c r="EK182" s="32" t="e">
        <f t="shared" si="280"/>
        <v>#N/A</v>
      </c>
      <c r="EL182" s="32" t="e">
        <f t="shared" si="281"/>
        <v>#N/A</v>
      </c>
      <c r="EM182" s="32" t="e">
        <f t="shared" si="282"/>
        <v>#N/A</v>
      </c>
      <c r="EN182" s="32" t="b">
        <f t="shared" si="283"/>
        <v>0</v>
      </c>
      <c r="EO182" s="32" t="b">
        <f t="shared" si="284"/>
        <v>1</v>
      </c>
      <c r="EP182" s="32" t="b">
        <f t="shared" si="285"/>
        <v>0</v>
      </c>
      <c r="EQ182" s="32" t="b">
        <f t="shared" si="286"/>
        <v>1</v>
      </c>
      <c r="ER182" s="32">
        <f t="shared" si="287"/>
        <v>0.23469504353367862</v>
      </c>
      <c r="ES182" s="32" t="e">
        <f t="shared" si="288"/>
        <v>#N/A</v>
      </c>
      <c r="ET182" s="32">
        <f t="shared" si="289"/>
        <v>0.23469504353367862</v>
      </c>
      <c r="EU182" s="45" t="str">
        <f t="shared" si="290"/>
        <v/>
      </c>
      <c r="EV18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2" s="32" t="e" cm="1">
        <f t="array" ref="EY182">IF($CR$3,INDEX(Eu_tabel_a[[#This Row],[Styrke venstre]:[Styrke tosidet]],EY$7),NA())</f>
        <v>#N/A</v>
      </c>
      <c r="EZ182" s="32" t="e">
        <f>IF(EY$3,IF(CHOOSE(EY$7,Eu_tabel_a[[#This Row],[x base]]&gt;0,Eu_tabel_a[[#This Row],[x base]]&lt;0,Eu_tabel_a[[#This Row],[x base]]=0),1,NA()),NA())</f>
        <v>#N/A</v>
      </c>
      <c r="FA182" s="32" t="e">
        <f>IF(CHOOSE(EY$7,Eu_tabel_a[[#This Row],[x base]]&gt;0,Eu_tabel_a[[#This Row],[x base]]&lt;0,Eu_tabel_a[[#This Row],[x base]]=0),Eu_tabel_a[[#This Row],[Styrke, aktiv]],NA())</f>
        <v>#N/A</v>
      </c>
      <c r="FB182" s="32" t="e">
        <f>IFERROR(IF($EY$3,Eu_tabel_a[[#This Row],[Styrke, aktiv]],NA()),NA())</f>
        <v>#N/A</v>
      </c>
      <c r="FC182" s="32" t="e">
        <f>IF(ISNA(Eu_tabel_a[[#This Row],[Sand negativ
Nulhypotese afvises
Korrekt]]),NA(),IF(EY$3,1,NA()))</f>
        <v>#N/A</v>
      </c>
      <c r="FD182" s="33" t="str" cm="1">
        <f t="array" ref="FD182">IFERROR(_xlfn.SWITCH(Eu_tabel_a[[#This Row],[Indeks]],_xlfn.IFNA(FB$2,-99),FB$5,_xlfn.IFNA(FB$3,-99),FB$6,_xlfn.IFNA(FB$4,-99),FB$7,""),"")</f>
        <v/>
      </c>
      <c r="FE182" s="32">
        <f>Eu_tabel_a[[#This Row],[x base]]*SQRT(Eu_a_h0_x*(1-Eu_a_h0_x)/Eu_a_n_x)+Eu_a_h0_x</f>
        <v>0</v>
      </c>
      <c r="FJ182" s="74" t="e">
        <f t="shared" si="234"/>
        <v>#N/A</v>
      </c>
      <c r="FK182" s="82" t="e">
        <f t="shared" si="322"/>
        <v>#DIV/0!</v>
      </c>
      <c r="FL182" s="7" t="e">
        <f t="shared" si="228"/>
        <v>#DIV/0!</v>
      </c>
      <c r="FM182" t="e">
        <f t="shared" si="323"/>
        <v>#DIV/0!</v>
      </c>
      <c r="FN182" s="8" t="e">
        <f t="shared" si="324"/>
        <v>#DIV/0!</v>
      </c>
      <c r="FO182" s="8" t="e">
        <f t="shared" si="325"/>
        <v>#DIV/0!</v>
      </c>
      <c r="FP182" s="81" t="e">
        <f t="shared" si="326"/>
        <v>#DIV/0!</v>
      </c>
      <c r="FQ182" s="74" t="e">
        <f t="shared" ca="1" si="229"/>
        <v>#N/A</v>
      </c>
      <c r="FR182" s="82" t="e" vm="3">
        <f t="shared" ca="1" si="235"/>
        <v>#VALUE!</v>
      </c>
      <c r="FS182" s="7" t="e" vm="3">
        <f t="shared" ca="1" si="230"/>
        <v>#VALUE!</v>
      </c>
      <c r="FT182" t="e" vm="3">
        <f t="shared" ca="1" si="224"/>
        <v>#VALUE!</v>
      </c>
      <c r="FU182" s="8" t="e" vm="3">
        <f t="shared" ca="1" si="225"/>
        <v>#VALUE!</v>
      </c>
      <c r="FV182" s="8" t="e" vm="3">
        <f t="shared" ca="1" si="226"/>
        <v>#VALUE!</v>
      </c>
      <c r="FW182" s="81" t="e" vm="3">
        <f t="shared" ca="1" si="227"/>
        <v>#VALUE!</v>
      </c>
      <c r="FX182" s="74" t="e">
        <f t="shared" si="231"/>
        <v>#N/A</v>
      </c>
      <c r="FY182" s="82" t="e">
        <f t="shared" si="236"/>
        <v>#N/A</v>
      </c>
      <c r="FZ182" s="7" t="e">
        <f t="shared" si="232"/>
        <v>#N/A</v>
      </c>
      <c r="GA182" t="e">
        <f t="shared" si="237"/>
        <v>#N/A</v>
      </c>
      <c r="GB182" s="8" t="e">
        <f t="shared" si="238"/>
        <v>#N/A</v>
      </c>
      <c r="GC182" s="8" t="e">
        <f t="shared" si="239"/>
        <v>#N/A</v>
      </c>
      <c r="GD182" s="81" t="e">
        <f t="shared" si="240"/>
        <v>#N/A</v>
      </c>
      <c r="GE182" s="74" t="e">
        <f t="shared" si="241"/>
        <v>#N/A</v>
      </c>
      <c r="GF182" s="82" t="e">
        <f t="shared" si="242"/>
        <v>#N/A</v>
      </c>
      <c r="GG182" s="7" t="e">
        <f t="shared" si="233"/>
        <v>#N/A</v>
      </c>
      <c r="GH182" t="e">
        <f t="shared" si="243"/>
        <v>#N/A</v>
      </c>
      <c r="GI182" s="8" t="e">
        <f t="shared" si="244"/>
        <v>#N/A</v>
      </c>
      <c r="GJ182" s="8" t="e">
        <f t="shared" si="245"/>
        <v>#N/A</v>
      </c>
      <c r="GK182" s="81" t="e">
        <f t="shared" si="246"/>
        <v>#N/A</v>
      </c>
      <c r="GL182" s="81"/>
      <c r="GM182" s="81"/>
      <c r="GP182" s="32">
        <f t="shared" si="291"/>
        <v>172</v>
      </c>
      <c r="GQ182" s="32">
        <f t="shared" si="292"/>
        <v>173</v>
      </c>
      <c r="GR182" s="32">
        <f t="shared" si="293"/>
        <v>1.0300774353892708</v>
      </c>
      <c r="GS182" s="32">
        <f t="shared" si="294"/>
        <v>0.23469504353367862</v>
      </c>
      <c r="GT182" s="32" t="e">
        <f t="shared" si="295"/>
        <v>#N/A</v>
      </c>
      <c r="GU182" s="32" t="e">
        <f t="shared" si="296"/>
        <v>#N/A</v>
      </c>
      <c r="GV182" s="32" t="e">
        <f t="shared" si="297"/>
        <v>#N/A</v>
      </c>
      <c r="GW182" s="32" t="b">
        <f t="shared" si="298"/>
        <v>0</v>
      </c>
      <c r="GX182" s="32" t="b">
        <f t="shared" si="299"/>
        <v>1</v>
      </c>
      <c r="GY182" s="32" t="b">
        <f t="shared" si="300"/>
        <v>0</v>
      </c>
      <c r="GZ182" s="32" t="b">
        <f t="shared" si="301"/>
        <v>1</v>
      </c>
      <c r="HA182" s="32">
        <f t="shared" si="302"/>
        <v>0.23469504353367862</v>
      </c>
      <c r="HB182" s="32" t="e">
        <f t="shared" si="303"/>
        <v>#N/A</v>
      </c>
      <c r="HC182" s="32">
        <f t="shared" si="304"/>
        <v>0.23469504353367862</v>
      </c>
      <c r="HD182" s="45" t="str">
        <f t="shared" si="305"/>
        <v/>
      </c>
      <c r="HJ182" s="32">
        <f t="shared" si="306"/>
        <v>172</v>
      </c>
      <c r="HK182" s="32">
        <f t="shared" si="307"/>
        <v>173</v>
      </c>
      <c r="HL182" s="32">
        <f t="shared" si="308"/>
        <v>1.5950965428794444</v>
      </c>
      <c r="HM182" s="32" t="e">
        <f t="shared" si="309"/>
        <v>#N/A</v>
      </c>
      <c r="HN182" s="32">
        <f t="shared" si="310"/>
        <v>0.11139377338028286</v>
      </c>
      <c r="HO182" s="32" t="e">
        <f t="shared" si="311"/>
        <v>#N/A</v>
      </c>
      <c r="HP182" s="32" t="e">
        <f t="shared" si="312"/>
        <v>#N/A</v>
      </c>
      <c r="HQ182" s="32" t="b">
        <f t="shared" si="313"/>
        <v>1</v>
      </c>
      <c r="HR182" s="32" t="b">
        <f t="shared" si="314"/>
        <v>0</v>
      </c>
      <c r="HS182" s="32" t="b">
        <f t="shared" si="315"/>
        <v>0</v>
      </c>
      <c r="HT182" s="32" t="b">
        <f t="shared" si="316"/>
        <v>1</v>
      </c>
      <c r="HU182" s="32">
        <f t="shared" si="317"/>
        <v>0.11139377338028286</v>
      </c>
      <c r="HV182" s="32">
        <f t="shared" si="318"/>
        <v>0.11139377338028286</v>
      </c>
      <c r="HW182" s="32" t="e">
        <f t="shared" si="319"/>
        <v>#N/A</v>
      </c>
      <c r="HX182" s="45" t="str">
        <f t="shared" si="320"/>
        <v/>
      </c>
    </row>
    <row r="183" spans="78:232" x14ac:dyDescent="0.2">
      <c r="BZ183" s="32">
        <f t="shared" si="247"/>
        <v>173</v>
      </c>
      <c r="CA183" s="32">
        <f>Eu_tabel_g[[#This Row],[Indeks]]+1</f>
        <v>174</v>
      </c>
      <c r="CB183" s="32">
        <f t="shared" si="248"/>
        <v>1.0540327245843706</v>
      </c>
      <c r="CC183" s="32">
        <f t="shared" si="249"/>
        <v>0.22890893335654983</v>
      </c>
      <c r="CD183" s="32" t="e">
        <f t="shared" si="250"/>
        <v>#N/A</v>
      </c>
      <c r="CE183" s="32" t="e">
        <f t="shared" si="251"/>
        <v>#N/A</v>
      </c>
      <c r="CF183" s="32" t="e">
        <f t="shared" si="252"/>
        <v>#N/A</v>
      </c>
      <c r="CG183" s="32" t="b">
        <f t="shared" si="253"/>
        <v>0</v>
      </c>
      <c r="CH183" s="32" t="b">
        <f t="shared" si="254"/>
        <v>1</v>
      </c>
      <c r="CI183" s="32" t="b">
        <f t="shared" si="255"/>
        <v>0</v>
      </c>
      <c r="CJ183" s="32" t="b">
        <f t="shared" si="256"/>
        <v>1</v>
      </c>
      <c r="CK183" s="32">
        <f t="shared" si="321"/>
        <v>0.22890893335654983</v>
      </c>
      <c r="CL183" s="32" t="e">
        <f t="shared" si="257"/>
        <v>#N/A</v>
      </c>
      <c r="CM183" s="32">
        <f t="shared" si="258"/>
        <v>0.22890893335654983</v>
      </c>
      <c r="CN183" s="45" t="str">
        <f t="shared" si="259"/>
        <v/>
      </c>
      <c r="CO183" s="32">
        <f>_xlfn.NORM.DIST(_xlfn.NORM.INV(1-Eu_g_konfidensniveau,0,1)-Eu_tabel_g[[#This Row],[x base]],0,1,TRUE)</f>
        <v>3.4785965238282638E-3</v>
      </c>
      <c r="CP183" s="32">
        <f>1-_xlfn.NORM.DIST(_xlfn.NORM.INV(Eu_g_konfidensniveau,0,1)-Eu_tabel_g[[#This Row],[x base]],0,1,TRUE)</f>
        <v>0.27732021410330299</v>
      </c>
      <c r="CQ183" s="32">
        <f>_xlfn.NORM.DIST(_xlfn.NORM.INV((1-Eu_g_konfidensniveau)/2,0,1)-Eu_tabel_g[[#This Row],[x base]],0,1,TRUE)+1-_xlfn.NORM.DIST(_xlfn.NORM.INV(1-(1-Eu_g_konfidensniveau)/2,0,1)-Eu_tabel_g[[#This Row],[x base]],0,1,TRUE)</f>
        <v>0.1837752716806117</v>
      </c>
      <c r="CR183" s="32" t="e" cm="1">
        <f t="array" ref="CR183">IF($CR$3,INDEX(Eu_tabel_g[[#This Row],[Styrke venstre]:[Styrke tosidet]],CR$7),NA())</f>
        <v>#N/A</v>
      </c>
      <c r="CS183" s="52" t="e">
        <f>Eu_tabel_g[[#This Row],[Falsk positiv
Nulhypotese accepteres
Fejltype 1]]</f>
        <v>#N/A</v>
      </c>
      <c r="CT183" s="52" t="e">
        <f>IF(CHOOSE(CR$7,Eu_tabel_g[[#This Row],[x base]]&gt;0,Eu_tabel_g[[#This Row],[x base]]&lt;0,Eu_tabel_g[[#This Row],[x base]]=0),Eu_tabel_g[[#This Row],[Styrke, aktiv]],NA())</f>
        <v>#N/A</v>
      </c>
      <c r="CU183" s="52" t="e">
        <f>IFERROR(IF($CR$3,Eu_tabel_g[[#This Row],[Styrke, aktiv]],NA()),NA())</f>
        <v>#N/A</v>
      </c>
      <c r="CV183" s="52" t="e">
        <f>IF(ISNA(Eu_tabel_g[[#This Row],[Sand negativ
Nulhypotese afvises
Korrekt]]),NA(),IF($CR$3,1,NA()))</f>
        <v>#N/A</v>
      </c>
      <c r="CW183" s="34" t="str" cm="1">
        <f t="array" ref="CW183">_xlfn.SWITCH(BZ183,_xlfn.IFNA(CU$2,-99),CU$5,_xlfn.IFNA(CU$3,-99),CU$6,_xlfn.IFNA(CU$4,-99),CU$7,"")</f>
        <v/>
      </c>
      <c r="DA183" s="7">
        <f t="shared" si="260"/>
        <v>0.8</v>
      </c>
      <c r="DB183">
        <f>IF(ROW(Styrkeberegning_G[[#This Row],[X base venstre]])=ROW(Styrkeberegning_G[[#Headers],[X base venstre]])+1,DB$7/(DA$7/$B$67),DB182/(DA182/$B$67))</f>
        <v>-2.8015817870135784</v>
      </c>
      <c r="DC183">
        <f>Styrkeberegning_G[[#This Row],[X base venstre]]*-1</f>
        <v>2.8015817870135784</v>
      </c>
      <c r="DN183" s="32">
        <f t="shared" si="261"/>
        <v>173</v>
      </c>
      <c r="DO183" s="32">
        <f t="shared" si="262"/>
        <v>174</v>
      </c>
      <c r="DP183" s="32">
        <f t="shared" si="263"/>
        <v>21.568110824794864</v>
      </c>
      <c r="DQ183" s="32" t="e">
        <f t="shared" si="264"/>
        <v>#N/A</v>
      </c>
      <c r="DR183" s="32" t="e">
        <f t="shared" si="265"/>
        <v>#N/A</v>
      </c>
      <c r="DS183" s="32">
        <f t="shared" si="266"/>
        <v>8.7938079772592812E-3</v>
      </c>
      <c r="DT183" s="32" t="e">
        <f t="shared" si="267"/>
        <v>#N/A</v>
      </c>
      <c r="DU183" s="32" t="b">
        <f t="shared" si="268"/>
        <v>0</v>
      </c>
      <c r="DV183" s="32" t="b">
        <f t="shared" si="269"/>
        <v>1</v>
      </c>
      <c r="DW183" s="32" t="b">
        <f t="shared" si="270"/>
        <v>0</v>
      </c>
      <c r="DX183" s="32" t="b">
        <f t="shared" si="271"/>
        <v>1</v>
      </c>
      <c r="DY183" s="32">
        <f t="shared" si="272"/>
        <v>8.7938079772592812E-3</v>
      </c>
      <c r="DZ183" s="32" t="e">
        <f t="shared" si="273"/>
        <v>#N/A</v>
      </c>
      <c r="EA183" s="32">
        <f t="shared" si="274"/>
        <v>8.7938079772592812E-3</v>
      </c>
      <c r="EB183" s="45" t="str">
        <f t="shared" si="275"/>
        <v/>
      </c>
      <c r="EG183" s="32">
        <f t="shared" si="276"/>
        <v>173</v>
      </c>
      <c r="EH183" s="32">
        <f t="shared" si="277"/>
        <v>174</v>
      </c>
      <c r="EI183" s="32">
        <f t="shared" si="278"/>
        <v>1.0540327245843706</v>
      </c>
      <c r="EJ183" s="32">
        <f t="shared" si="279"/>
        <v>0.22890893335654983</v>
      </c>
      <c r="EK183" s="32" t="e">
        <f t="shared" si="280"/>
        <v>#N/A</v>
      </c>
      <c r="EL183" s="32" t="e">
        <f t="shared" si="281"/>
        <v>#N/A</v>
      </c>
      <c r="EM183" s="32" t="e">
        <f t="shared" si="282"/>
        <v>#N/A</v>
      </c>
      <c r="EN183" s="32" t="b">
        <f t="shared" si="283"/>
        <v>0</v>
      </c>
      <c r="EO183" s="32" t="b">
        <f t="shared" si="284"/>
        <v>1</v>
      </c>
      <c r="EP183" s="32" t="b">
        <f t="shared" si="285"/>
        <v>0</v>
      </c>
      <c r="EQ183" s="32" t="b">
        <f t="shared" si="286"/>
        <v>1</v>
      </c>
      <c r="ER183" s="32">
        <f t="shared" si="287"/>
        <v>0.22890893335654983</v>
      </c>
      <c r="ES183" s="32" t="e">
        <f t="shared" si="288"/>
        <v>#N/A</v>
      </c>
      <c r="ET183" s="32">
        <f t="shared" si="289"/>
        <v>0.22890893335654983</v>
      </c>
      <c r="EU183" s="45" t="str">
        <f t="shared" si="290"/>
        <v/>
      </c>
      <c r="EV18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3" s="32" t="e" cm="1">
        <f t="array" ref="EY183">IF($CR$3,INDEX(Eu_tabel_a[[#This Row],[Styrke venstre]:[Styrke tosidet]],EY$7),NA())</f>
        <v>#N/A</v>
      </c>
      <c r="EZ183" s="32" t="e">
        <f>IF(EY$3,IF(CHOOSE(EY$7,Eu_tabel_a[[#This Row],[x base]]&gt;0,Eu_tabel_a[[#This Row],[x base]]&lt;0,Eu_tabel_a[[#This Row],[x base]]=0),1,NA()),NA())</f>
        <v>#N/A</v>
      </c>
      <c r="FA183" s="32" t="e">
        <f>IF(CHOOSE(EY$7,Eu_tabel_a[[#This Row],[x base]]&gt;0,Eu_tabel_a[[#This Row],[x base]]&lt;0,Eu_tabel_a[[#This Row],[x base]]=0),Eu_tabel_a[[#This Row],[Styrke, aktiv]],NA())</f>
        <v>#N/A</v>
      </c>
      <c r="FB183" s="32" t="e">
        <f>IFERROR(IF($EY$3,Eu_tabel_a[[#This Row],[Styrke, aktiv]],NA()),NA())</f>
        <v>#N/A</v>
      </c>
      <c r="FC183" s="32" t="e">
        <f>IF(ISNA(Eu_tabel_a[[#This Row],[Sand negativ
Nulhypotese afvises
Korrekt]]),NA(),IF(EY$3,1,NA()))</f>
        <v>#N/A</v>
      </c>
      <c r="FD183" s="33" t="str" cm="1">
        <f t="array" ref="FD183">IFERROR(_xlfn.SWITCH(Eu_tabel_a[[#This Row],[Indeks]],_xlfn.IFNA(FB$2,-99),FB$5,_xlfn.IFNA(FB$3,-99),FB$6,_xlfn.IFNA(FB$4,-99),FB$7,""),"")</f>
        <v/>
      </c>
      <c r="FE183" s="32">
        <f>Eu_tabel_a[[#This Row],[x base]]*SQRT(Eu_a_h0_x*(1-Eu_a_h0_x)/Eu_a_n_x)+Eu_a_h0_x</f>
        <v>0</v>
      </c>
      <c r="FJ183" s="74" t="e">
        <f t="shared" si="234"/>
        <v>#N/A</v>
      </c>
      <c r="FK183" s="82" t="e">
        <f t="shared" si="322"/>
        <v>#DIV/0!</v>
      </c>
      <c r="FL183" s="7" t="e">
        <f t="shared" si="228"/>
        <v>#DIV/0!</v>
      </c>
      <c r="FM183" t="e">
        <f t="shared" si="323"/>
        <v>#DIV/0!</v>
      </c>
      <c r="FN183" s="8" t="e">
        <f t="shared" si="324"/>
        <v>#DIV/0!</v>
      </c>
      <c r="FO183" s="8" t="e">
        <f t="shared" si="325"/>
        <v>#DIV/0!</v>
      </c>
      <c r="FP183" s="81" t="e">
        <f t="shared" si="326"/>
        <v>#DIV/0!</v>
      </c>
      <c r="FQ183" s="74" t="e">
        <f t="shared" ca="1" si="229"/>
        <v>#N/A</v>
      </c>
      <c r="FR183" s="82" t="e" vm="3">
        <f t="shared" ca="1" si="235"/>
        <v>#VALUE!</v>
      </c>
      <c r="FS183" s="7" t="e" vm="3">
        <f t="shared" ca="1" si="230"/>
        <v>#VALUE!</v>
      </c>
      <c r="FT183" t="e" vm="3">
        <f t="shared" ca="1" si="224"/>
        <v>#VALUE!</v>
      </c>
      <c r="FU183" s="8" t="e" vm="3">
        <f t="shared" ca="1" si="225"/>
        <v>#VALUE!</v>
      </c>
      <c r="FV183" s="8" t="e" vm="3">
        <f t="shared" ca="1" si="226"/>
        <v>#VALUE!</v>
      </c>
      <c r="FW183" s="81" t="e" vm="3">
        <f t="shared" ca="1" si="227"/>
        <v>#VALUE!</v>
      </c>
      <c r="FX183" s="74" t="e">
        <f t="shared" si="231"/>
        <v>#N/A</v>
      </c>
      <c r="FY183" s="82" t="e">
        <f t="shared" si="236"/>
        <v>#N/A</v>
      </c>
      <c r="FZ183" s="7" t="e">
        <f t="shared" si="232"/>
        <v>#N/A</v>
      </c>
      <c r="GA183" t="e">
        <f t="shared" si="237"/>
        <v>#N/A</v>
      </c>
      <c r="GB183" s="8" t="e">
        <f t="shared" si="238"/>
        <v>#N/A</v>
      </c>
      <c r="GC183" s="8" t="e">
        <f t="shared" si="239"/>
        <v>#N/A</v>
      </c>
      <c r="GD183" s="81" t="e">
        <f t="shared" si="240"/>
        <v>#N/A</v>
      </c>
      <c r="GE183" s="74" t="e">
        <f t="shared" si="241"/>
        <v>#N/A</v>
      </c>
      <c r="GF183" s="82" t="e">
        <f t="shared" si="242"/>
        <v>#N/A</v>
      </c>
      <c r="GG183" s="7" t="e">
        <f t="shared" si="233"/>
        <v>#N/A</v>
      </c>
      <c r="GH183" t="e">
        <f t="shared" si="243"/>
        <v>#N/A</v>
      </c>
      <c r="GI183" s="8" t="e">
        <f t="shared" si="244"/>
        <v>#N/A</v>
      </c>
      <c r="GJ183" s="8" t="e">
        <f t="shared" si="245"/>
        <v>#N/A</v>
      </c>
      <c r="GK183" s="81" t="e">
        <f t="shared" si="246"/>
        <v>#N/A</v>
      </c>
      <c r="GL183" s="81"/>
      <c r="GM183" s="81"/>
      <c r="GP183" s="32">
        <f t="shared" si="291"/>
        <v>173</v>
      </c>
      <c r="GQ183" s="32">
        <f t="shared" si="292"/>
        <v>174</v>
      </c>
      <c r="GR183" s="32">
        <f t="shared" si="293"/>
        <v>1.0540327245843706</v>
      </c>
      <c r="GS183" s="32">
        <f t="shared" si="294"/>
        <v>0.22890893335654983</v>
      </c>
      <c r="GT183" s="32" t="e">
        <f t="shared" si="295"/>
        <v>#N/A</v>
      </c>
      <c r="GU183" s="32" t="e">
        <f t="shared" si="296"/>
        <v>#N/A</v>
      </c>
      <c r="GV183" s="32" t="e">
        <f t="shared" si="297"/>
        <v>#N/A</v>
      </c>
      <c r="GW183" s="32" t="b">
        <f t="shared" si="298"/>
        <v>0</v>
      </c>
      <c r="GX183" s="32" t="b">
        <f t="shared" si="299"/>
        <v>1</v>
      </c>
      <c r="GY183" s="32" t="b">
        <f t="shared" si="300"/>
        <v>0</v>
      </c>
      <c r="GZ183" s="32" t="b">
        <f t="shared" si="301"/>
        <v>1</v>
      </c>
      <c r="HA183" s="32">
        <f t="shared" si="302"/>
        <v>0.22890893335654983</v>
      </c>
      <c r="HB183" s="32" t="e">
        <f t="shared" si="303"/>
        <v>#N/A</v>
      </c>
      <c r="HC183" s="32">
        <f t="shared" si="304"/>
        <v>0.22890893335654983</v>
      </c>
      <c r="HD183" s="45" t="str">
        <f t="shared" si="305"/>
        <v/>
      </c>
      <c r="HJ183" s="32">
        <f t="shared" si="306"/>
        <v>173</v>
      </c>
      <c r="HK183" s="32">
        <f t="shared" si="307"/>
        <v>174</v>
      </c>
      <c r="HL183" s="32">
        <f t="shared" si="308"/>
        <v>1.6321918113185019</v>
      </c>
      <c r="HM183" s="32" t="e">
        <f t="shared" si="309"/>
        <v>#N/A</v>
      </c>
      <c r="HN183" s="32">
        <f t="shared" si="310"/>
        <v>0.10597576325843147</v>
      </c>
      <c r="HO183" s="32" t="e">
        <f t="shared" si="311"/>
        <v>#N/A</v>
      </c>
      <c r="HP183" s="32" t="e">
        <f t="shared" si="312"/>
        <v>#N/A</v>
      </c>
      <c r="HQ183" s="32" t="b">
        <f t="shared" si="313"/>
        <v>1</v>
      </c>
      <c r="HR183" s="32" t="b">
        <f t="shared" si="314"/>
        <v>0</v>
      </c>
      <c r="HS183" s="32" t="b">
        <f t="shared" si="315"/>
        <v>0</v>
      </c>
      <c r="HT183" s="32" t="b">
        <f t="shared" si="316"/>
        <v>1</v>
      </c>
      <c r="HU183" s="32">
        <f t="shared" si="317"/>
        <v>0.10597576325843147</v>
      </c>
      <c r="HV183" s="32">
        <f t="shared" si="318"/>
        <v>0.10597576325843147</v>
      </c>
      <c r="HW183" s="32" t="e">
        <f t="shared" si="319"/>
        <v>#N/A</v>
      </c>
      <c r="HX183" s="45" t="str">
        <f t="shared" si="320"/>
        <v/>
      </c>
    </row>
    <row r="184" spans="78:232" x14ac:dyDescent="0.2">
      <c r="BZ184" s="32">
        <f t="shared" si="247"/>
        <v>174</v>
      </c>
      <c r="CA184" s="32">
        <f>Eu_tabel_g[[#This Row],[Indeks]]+1</f>
        <v>175</v>
      </c>
      <c r="CB184" s="32">
        <f t="shared" si="248"/>
        <v>1.0779880137794695</v>
      </c>
      <c r="CC184" s="32">
        <f t="shared" si="249"/>
        <v>0.2231373869759069</v>
      </c>
      <c r="CD184" s="32" t="e">
        <f t="shared" si="250"/>
        <v>#N/A</v>
      </c>
      <c r="CE184" s="32" t="e">
        <f t="shared" si="251"/>
        <v>#N/A</v>
      </c>
      <c r="CF184" s="32" t="e">
        <f t="shared" si="252"/>
        <v>#N/A</v>
      </c>
      <c r="CG184" s="32" t="b">
        <f t="shared" si="253"/>
        <v>0</v>
      </c>
      <c r="CH184" s="32" t="b">
        <f t="shared" si="254"/>
        <v>1</v>
      </c>
      <c r="CI184" s="32" t="b">
        <f t="shared" si="255"/>
        <v>0</v>
      </c>
      <c r="CJ184" s="32" t="b">
        <f t="shared" si="256"/>
        <v>1</v>
      </c>
      <c r="CK184" s="32">
        <f t="shared" si="321"/>
        <v>0.2231373869759069</v>
      </c>
      <c r="CL184" s="32" t="e">
        <f t="shared" si="257"/>
        <v>#N/A</v>
      </c>
      <c r="CM184" s="32">
        <f t="shared" si="258"/>
        <v>0.2231373869759069</v>
      </c>
      <c r="CN184" s="45" t="str">
        <f t="shared" si="259"/>
        <v/>
      </c>
      <c r="CO184" s="32">
        <f>_xlfn.NORM.DIST(_xlfn.NORM.INV(1-Eu_g_konfidensniveau,0,1)-Eu_tabel_g[[#This Row],[x base]],0,1,TRUE)</f>
        <v>3.2361537059482173E-3</v>
      </c>
      <c r="CP184" s="32">
        <f>1-_xlfn.NORM.DIST(_xlfn.NORM.INV(Eu_g_konfidensniveau,0,1)-Eu_tabel_g[[#This Row],[x base]],0,1,TRUE)</f>
        <v>0.28540274418023859</v>
      </c>
      <c r="CQ184" s="32">
        <f>_xlfn.NORM.DIST(_xlfn.NORM.INV((1-Eu_g_konfidensniveau)/2,0,1)-Eu_tabel_g[[#This Row],[x base]],0,1,TRUE)+1-_xlfn.NORM.DIST(_xlfn.NORM.INV(1-(1-Eu_g_konfidensniveau)/2,0,1)-Eu_tabel_g[[#This Row],[x base]],0,1,TRUE)</f>
        <v>0.19008586036622488</v>
      </c>
      <c r="CR184" s="32" t="e" cm="1">
        <f t="array" ref="CR184">IF($CR$3,INDEX(Eu_tabel_g[[#This Row],[Styrke venstre]:[Styrke tosidet]],CR$7),NA())</f>
        <v>#N/A</v>
      </c>
      <c r="CS184" s="52" t="e">
        <f>Eu_tabel_g[[#This Row],[Falsk positiv
Nulhypotese accepteres
Fejltype 1]]</f>
        <v>#N/A</v>
      </c>
      <c r="CT184" s="52" t="e">
        <f>IF(CHOOSE(CR$7,Eu_tabel_g[[#This Row],[x base]]&gt;0,Eu_tabel_g[[#This Row],[x base]]&lt;0,Eu_tabel_g[[#This Row],[x base]]=0),Eu_tabel_g[[#This Row],[Styrke, aktiv]],NA())</f>
        <v>#N/A</v>
      </c>
      <c r="CU184" s="52" t="e">
        <f>IFERROR(IF($CR$3,Eu_tabel_g[[#This Row],[Styrke, aktiv]],NA()),NA())</f>
        <v>#N/A</v>
      </c>
      <c r="CV184" s="52" t="e">
        <f>IF(ISNA(Eu_tabel_g[[#This Row],[Sand negativ
Nulhypotese afvises
Korrekt]]),NA(),IF($CR$3,1,NA()))</f>
        <v>#N/A</v>
      </c>
      <c r="CW184" s="34" t="str" cm="1">
        <f t="array" ref="CW184">_xlfn.SWITCH(BZ184,_xlfn.IFNA(CU$2,-99),CU$5,_xlfn.IFNA(CU$3,-99),CU$6,_xlfn.IFNA(CU$4,-99),CU$7,"")</f>
        <v/>
      </c>
      <c r="DA184" s="7">
        <f t="shared" si="260"/>
        <v>0.8</v>
      </c>
      <c r="DB184">
        <f>IF(ROW(Styrkeberegning_G[[#This Row],[X base venstre]])=ROW(Styrkeberegning_G[[#Headers],[X base venstre]])+1,DB$7/(DA$7/$B$67),DB183/(DA183/$B$67))</f>
        <v>-2.8015817870135784</v>
      </c>
      <c r="DC184">
        <f>Styrkeberegning_G[[#This Row],[X base venstre]]*-1</f>
        <v>2.8015817870135784</v>
      </c>
      <c r="DN184" s="32">
        <f t="shared" si="261"/>
        <v>174</v>
      </c>
      <c r="DO184" s="32">
        <f t="shared" si="262"/>
        <v>175</v>
      </c>
      <c r="DP184" s="32">
        <f t="shared" si="263"/>
        <v>21.682181681211866</v>
      </c>
      <c r="DQ184" s="32" t="e">
        <f t="shared" si="264"/>
        <v>#N/A</v>
      </c>
      <c r="DR184" s="32" t="e">
        <f t="shared" si="265"/>
        <v>#N/A</v>
      </c>
      <c r="DS184" s="32">
        <f t="shared" si="266"/>
        <v>8.5058111039919785E-3</v>
      </c>
      <c r="DT184" s="32" t="e">
        <f t="shared" si="267"/>
        <v>#N/A</v>
      </c>
      <c r="DU184" s="32" t="b">
        <f t="shared" si="268"/>
        <v>0</v>
      </c>
      <c r="DV184" s="32" t="b">
        <f t="shared" si="269"/>
        <v>1</v>
      </c>
      <c r="DW184" s="32" t="b">
        <f t="shared" si="270"/>
        <v>0</v>
      </c>
      <c r="DX184" s="32" t="b">
        <f t="shared" si="271"/>
        <v>1</v>
      </c>
      <c r="DY184" s="32">
        <f t="shared" si="272"/>
        <v>8.5058111039919785E-3</v>
      </c>
      <c r="DZ184" s="32" t="e">
        <f t="shared" si="273"/>
        <v>#N/A</v>
      </c>
      <c r="EA184" s="32">
        <f t="shared" si="274"/>
        <v>8.5058111039919785E-3</v>
      </c>
      <c r="EB184" s="45" t="str">
        <f t="shared" si="275"/>
        <v/>
      </c>
      <c r="EG184" s="32">
        <f t="shared" si="276"/>
        <v>174</v>
      </c>
      <c r="EH184" s="32">
        <f t="shared" si="277"/>
        <v>175</v>
      </c>
      <c r="EI184" s="32">
        <f t="shared" si="278"/>
        <v>1.0779880137794695</v>
      </c>
      <c r="EJ184" s="32">
        <f t="shared" si="279"/>
        <v>0.2231373869759069</v>
      </c>
      <c r="EK184" s="32" t="e">
        <f t="shared" si="280"/>
        <v>#N/A</v>
      </c>
      <c r="EL184" s="32" t="e">
        <f t="shared" si="281"/>
        <v>#N/A</v>
      </c>
      <c r="EM184" s="32" t="e">
        <f t="shared" si="282"/>
        <v>#N/A</v>
      </c>
      <c r="EN184" s="32" t="b">
        <f t="shared" si="283"/>
        <v>0</v>
      </c>
      <c r="EO184" s="32" t="b">
        <f t="shared" si="284"/>
        <v>1</v>
      </c>
      <c r="EP184" s="32" t="b">
        <f t="shared" si="285"/>
        <v>0</v>
      </c>
      <c r="EQ184" s="32" t="b">
        <f t="shared" si="286"/>
        <v>1</v>
      </c>
      <c r="ER184" s="32">
        <f t="shared" si="287"/>
        <v>0.2231373869759069</v>
      </c>
      <c r="ES184" s="32" t="e">
        <f t="shared" si="288"/>
        <v>#N/A</v>
      </c>
      <c r="ET184" s="32">
        <f t="shared" si="289"/>
        <v>0.2231373869759069</v>
      </c>
      <c r="EU184" s="45" t="str">
        <f t="shared" si="290"/>
        <v/>
      </c>
      <c r="EV18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4" s="32" t="e" cm="1">
        <f t="array" ref="EY184">IF($CR$3,INDEX(Eu_tabel_a[[#This Row],[Styrke venstre]:[Styrke tosidet]],EY$7),NA())</f>
        <v>#N/A</v>
      </c>
      <c r="EZ184" s="32" t="e">
        <f>IF(EY$3,IF(CHOOSE(EY$7,Eu_tabel_a[[#This Row],[x base]]&gt;0,Eu_tabel_a[[#This Row],[x base]]&lt;0,Eu_tabel_a[[#This Row],[x base]]=0),1,NA()),NA())</f>
        <v>#N/A</v>
      </c>
      <c r="FA184" s="32" t="e">
        <f>IF(CHOOSE(EY$7,Eu_tabel_a[[#This Row],[x base]]&gt;0,Eu_tabel_a[[#This Row],[x base]]&lt;0,Eu_tabel_a[[#This Row],[x base]]=0),Eu_tabel_a[[#This Row],[Styrke, aktiv]],NA())</f>
        <v>#N/A</v>
      </c>
      <c r="FB184" s="32" t="e">
        <f>IFERROR(IF($EY$3,Eu_tabel_a[[#This Row],[Styrke, aktiv]],NA()),NA())</f>
        <v>#N/A</v>
      </c>
      <c r="FC184" s="32" t="e">
        <f>IF(ISNA(Eu_tabel_a[[#This Row],[Sand negativ
Nulhypotese afvises
Korrekt]]),NA(),IF(EY$3,1,NA()))</f>
        <v>#N/A</v>
      </c>
      <c r="FD184" s="33" t="str" cm="1">
        <f t="array" ref="FD184">IFERROR(_xlfn.SWITCH(Eu_tabel_a[[#This Row],[Indeks]],_xlfn.IFNA(FB$2,-99),FB$5,_xlfn.IFNA(FB$3,-99),FB$6,_xlfn.IFNA(FB$4,-99),FB$7,""),"")</f>
        <v/>
      </c>
      <c r="FE184" s="32">
        <f>Eu_tabel_a[[#This Row],[x base]]*SQRT(Eu_a_h0_x*(1-Eu_a_h0_x)/Eu_a_n_x)+Eu_a_h0_x</f>
        <v>0</v>
      </c>
      <c r="FJ184" s="74" t="e">
        <f t="shared" si="234"/>
        <v>#N/A</v>
      </c>
      <c r="FK184" s="82" t="e">
        <f t="shared" si="322"/>
        <v>#DIV/0!</v>
      </c>
      <c r="FL184" s="7" t="e">
        <f t="shared" si="228"/>
        <v>#DIV/0!</v>
      </c>
      <c r="FM184" t="e">
        <f t="shared" si="323"/>
        <v>#DIV/0!</v>
      </c>
      <c r="FN184" s="8" t="e">
        <f t="shared" si="324"/>
        <v>#DIV/0!</v>
      </c>
      <c r="FO184" s="8" t="e">
        <f t="shared" si="325"/>
        <v>#DIV/0!</v>
      </c>
      <c r="FP184" s="81" t="e">
        <f t="shared" si="326"/>
        <v>#DIV/0!</v>
      </c>
      <c r="FQ184" s="74" t="e">
        <f t="shared" ca="1" si="229"/>
        <v>#N/A</v>
      </c>
      <c r="FR184" s="82" t="e" vm="3">
        <f t="shared" ca="1" si="235"/>
        <v>#VALUE!</v>
      </c>
      <c r="FS184" s="7" t="e" vm="3">
        <f t="shared" ca="1" si="230"/>
        <v>#VALUE!</v>
      </c>
      <c r="FT184" t="e" vm="3">
        <f t="shared" ca="1" si="224"/>
        <v>#VALUE!</v>
      </c>
      <c r="FU184" s="8" t="e" vm="3">
        <f t="shared" ca="1" si="225"/>
        <v>#VALUE!</v>
      </c>
      <c r="FV184" s="8" t="e" vm="3">
        <f t="shared" ca="1" si="226"/>
        <v>#VALUE!</v>
      </c>
      <c r="FW184" s="81" t="e" vm="3">
        <f t="shared" ca="1" si="227"/>
        <v>#VALUE!</v>
      </c>
      <c r="FX184" s="74" t="e">
        <f t="shared" si="231"/>
        <v>#N/A</v>
      </c>
      <c r="FY184" s="82" t="e">
        <f t="shared" si="236"/>
        <v>#N/A</v>
      </c>
      <c r="FZ184" s="7" t="e">
        <f t="shared" si="232"/>
        <v>#N/A</v>
      </c>
      <c r="GA184" t="e">
        <f t="shared" si="237"/>
        <v>#N/A</v>
      </c>
      <c r="GB184" s="8" t="e">
        <f t="shared" si="238"/>
        <v>#N/A</v>
      </c>
      <c r="GC184" s="8" t="e">
        <f t="shared" si="239"/>
        <v>#N/A</v>
      </c>
      <c r="GD184" s="81" t="e">
        <f t="shared" si="240"/>
        <v>#N/A</v>
      </c>
      <c r="GE184" s="74" t="e">
        <f t="shared" si="241"/>
        <v>#N/A</v>
      </c>
      <c r="GF184" s="82" t="e">
        <f t="shared" si="242"/>
        <v>#N/A</v>
      </c>
      <c r="GG184" s="7" t="e">
        <f t="shared" si="233"/>
        <v>#N/A</v>
      </c>
      <c r="GH184" t="e">
        <f t="shared" si="243"/>
        <v>#N/A</v>
      </c>
      <c r="GI184" s="8" t="e">
        <f t="shared" si="244"/>
        <v>#N/A</v>
      </c>
      <c r="GJ184" s="8" t="e">
        <f t="shared" si="245"/>
        <v>#N/A</v>
      </c>
      <c r="GK184" s="81" t="e">
        <f t="shared" si="246"/>
        <v>#N/A</v>
      </c>
      <c r="GL184" s="81"/>
      <c r="GM184" s="81"/>
      <c r="GP184" s="32">
        <f t="shared" si="291"/>
        <v>174</v>
      </c>
      <c r="GQ184" s="32">
        <f t="shared" si="292"/>
        <v>175</v>
      </c>
      <c r="GR184" s="32">
        <f t="shared" si="293"/>
        <v>1.0779880137794695</v>
      </c>
      <c r="GS184" s="32">
        <f t="shared" si="294"/>
        <v>0.2231373869759069</v>
      </c>
      <c r="GT184" s="32" t="e">
        <f t="shared" si="295"/>
        <v>#N/A</v>
      </c>
      <c r="GU184" s="32" t="e">
        <f t="shared" si="296"/>
        <v>#N/A</v>
      </c>
      <c r="GV184" s="32" t="e">
        <f t="shared" si="297"/>
        <v>#N/A</v>
      </c>
      <c r="GW184" s="32" t="b">
        <f t="shared" si="298"/>
        <v>0</v>
      </c>
      <c r="GX184" s="32" t="b">
        <f t="shared" si="299"/>
        <v>1</v>
      </c>
      <c r="GY184" s="32" t="b">
        <f t="shared" si="300"/>
        <v>0</v>
      </c>
      <c r="GZ184" s="32" t="b">
        <f t="shared" si="301"/>
        <v>1</v>
      </c>
      <c r="HA184" s="32">
        <f t="shared" si="302"/>
        <v>0.2231373869759069</v>
      </c>
      <c r="HB184" s="32" t="e">
        <f t="shared" si="303"/>
        <v>#N/A</v>
      </c>
      <c r="HC184" s="32">
        <f t="shared" si="304"/>
        <v>0.2231373869759069</v>
      </c>
      <c r="HD184" s="45" t="str">
        <f t="shared" si="305"/>
        <v/>
      </c>
      <c r="HJ184" s="32">
        <f t="shared" si="306"/>
        <v>174</v>
      </c>
      <c r="HK184" s="32">
        <f t="shared" si="307"/>
        <v>175</v>
      </c>
      <c r="HL184" s="32">
        <f t="shared" si="308"/>
        <v>1.6692870797575585</v>
      </c>
      <c r="HM184" s="32" t="e">
        <f t="shared" si="309"/>
        <v>#N/A</v>
      </c>
      <c r="HN184" s="32">
        <f t="shared" si="310"/>
        <v>0.10076975631354256</v>
      </c>
      <c r="HO184" s="32" t="e">
        <f t="shared" si="311"/>
        <v>#N/A</v>
      </c>
      <c r="HP184" s="32" t="e">
        <f t="shared" si="312"/>
        <v>#N/A</v>
      </c>
      <c r="HQ184" s="32" t="b">
        <f t="shared" si="313"/>
        <v>1</v>
      </c>
      <c r="HR184" s="32" t="b">
        <f t="shared" si="314"/>
        <v>0</v>
      </c>
      <c r="HS184" s="32" t="b">
        <f t="shared" si="315"/>
        <v>0</v>
      </c>
      <c r="HT184" s="32" t="b">
        <f t="shared" si="316"/>
        <v>1</v>
      </c>
      <c r="HU184" s="32">
        <f t="shared" si="317"/>
        <v>0.10076975631354256</v>
      </c>
      <c r="HV184" s="32">
        <f t="shared" si="318"/>
        <v>0.10076975631354256</v>
      </c>
      <c r="HW184" s="32" t="e">
        <f t="shared" si="319"/>
        <v>#N/A</v>
      </c>
      <c r="HX184" s="45" t="str">
        <f t="shared" si="320"/>
        <v/>
      </c>
    </row>
    <row r="185" spans="78:232" x14ac:dyDescent="0.2">
      <c r="BZ185" s="32">
        <f t="shared" si="247"/>
        <v>175</v>
      </c>
      <c r="CA185" s="32">
        <f>Eu_tabel_g[[#This Row],[Indeks]]+1</f>
        <v>176</v>
      </c>
      <c r="CB185" s="32">
        <f t="shared" si="248"/>
        <v>1.1019433029745693</v>
      </c>
      <c r="CC185" s="32">
        <f t="shared" si="249"/>
        <v>0.2173865758786262</v>
      </c>
      <c r="CD185" s="32" t="e">
        <f t="shared" si="250"/>
        <v>#N/A</v>
      </c>
      <c r="CE185" s="32" t="e">
        <f t="shared" si="251"/>
        <v>#N/A</v>
      </c>
      <c r="CF185" s="32" t="e">
        <f t="shared" si="252"/>
        <v>#N/A</v>
      </c>
      <c r="CG185" s="32" t="b">
        <f t="shared" si="253"/>
        <v>0</v>
      </c>
      <c r="CH185" s="32" t="b">
        <f t="shared" si="254"/>
        <v>1</v>
      </c>
      <c r="CI185" s="32" t="b">
        <f t="shared" si="255"/>
        <v>0</v>
      </c>
      <c r="CJ185" s="32" t="b">
        <f t="shared" si="256"/>
        <v>1</v>
      </c>
      <c r="CK185" s="32">
        <f t="shared" si="321"/>
        <v>0.2173865758786262</v>
      </c>
      <c r="CL185" s="32" t="e">
        <f t="shared" si="257"/>
        <v>#N/A</v>
      </c>
      <c r="CM185" s="32">
        <f t="shared" si="258"/>
        <v>0.2173865758786262</v>
      </c>
      <c r="CN185" s="45" t="str">
        <f t="shared" si="259"/>
        <v/>
      </c>
      <c r="CO185" s="32">
        <f>_xlfn.NORM.DIST(_xlfn.NORM.INV(1-Eu_g_konfidensniveau,0,1)-Eu_tabel_g[[#This Row],[x base]],0,1,TRUE)</f>
        <v>3.0090191634775634E-3</v>
      </c>
      <c r="CP185" s="32">
        <f>1-_xlfn.NORM.DIST(_xlfn.NORM.INV(Eu_g_konfidensniveau,0,1)-Eu_tabel_g[[#This Row],[x base]],0,1,TRUE)</f>
        <v>0.29359577368344003</v>
      </c>
      <c r="CQ185" s="32">
        <f>_xlfn.NORM.DIST(_xlfn.NORM.INV((1-Eu_g_konfidensniveau)/2,0,1)-Eu_tabel_g[[#This Row],[x base]],0,1,TRUE)+1-_xlfn.NORM.DIST(_xlfn.NORM.INV(1-(1-Eu_g_konfidensniveau)/2,0,1)-Eu_tabel_g[[#This Row],[x base]],0,1,TRUE)</f>
        <v>0.19654017955137171</v>
      </c>
      <c r="CR185" s="32" t="e" cm="1">
        <f t="array" ref="CR185">IF($CR$3,INDEX(Eu_tabel_g[[#This Row],[Styrke venstre]:[Styrke tosidet]],CR$7),NA())</f>
        <v>#N/A</v>
      </c>
      <c r="CS185" s="52" t="e">
        <f>Eu_tabel_g[[#This Row],[Falsk positiv
Nulhypotese accepteres
Fejltype 1]]</f>
        <v>#N/A</v>
      </c>
      <c r="CT185" s="52" t="e">
        <f>IF(CHOOSE(CR$7,Eu_tabel_g[[#This Row],[x base]]&gt;0,Eu_tabel_g[[#This Row],[x base]]&lt;0,Eu_tabel_g[[#This Row],[x base]]=0),Eu_tabel_g[[#This Row],[Styrke, aktiv]],NA())</f>
        <v>#N/A</v>
      </c>
      <c r="CU185" s="52" t="e">
        <f>IFERROR(IF($CR$3,Eu_tabel_g[[#This Row],[Styrke, aktiv]],NA()),NA())</f>
        <v>#N/A</v>
      </c>
      <c r="CV185" s="52" t="e">
        <f>IF(ISNA(Eu_tabel_g[[#This Row],[Sand negativ
Nulhypotese afvises
Korrekt]]),NA(),IF($CR$3,1,NA()))</f>
        <v>#N/A</v>
      </c>
      <c r="CW185" s="34" t="str" cm="1">
        <f t="array" ref="CW185">_xlfn.SWITCH(BZ185,_xlfn.IFNA(CU$2,-99),CU$5,_xlfn.IFNA(CU$3,-99),CU$6,_xlfn.IFNA(CU$4,-99),CU$7,"")</f>
        <v/>
      </c>
      <c r="DA185" s="7">
        <f t="shared" si="260"/>
        <v>0.8</v>
      </c>
      <c r="DB185">
        <f>IF(ROW(Styrkeberegning_G[[#This Row],[X base venstre]])=ROW(Styrkeberegning_G[[#Headers],[X base venstre]])+1,DB$7/(DA$7/$B$67),DB184/(DA184/$B$67))</f>
        <v>-2.8015817870135784</v>
      </c>
      <c r="DC185">
        <f>Styrkeberegning_G[[#This Row],[X base venstre]]*-1</f>
        <v>2.8015817870135784</v>
      </c>
      <c r="DN185" s="32">
        <f t="shared" si="261"/>
        <v>175</v>
      </c>
      <c r="DO185" s="32">
        <f t="shared" si="262"/>
        <v>176</v>
      </c>
      <c r="DP185" s="32">
        <f t="shared" si="263"/>
        <v>21.796252537628867</v>
      </c>
      <c r="DQ185" s="32" t="e">
        <f t="shared" si="264"/>
        <v>#N/A</v>
      </c>
      <c r="DR185" s="32" t="e">
        <f t="shared" si="265"/>
        <v>#N/A</v>
      </c>
      <c r="DS185" s="32">
        <f t="shared" si="266"/>
        <v>8.2262214345339302E-3</v>
      </c>
      <c r="DT185" s="32" t="e">
        <f t="shared" si="267"/>
        <v>#N/A</v>
      </c>
      <c r="DU185" s="32" t="b">
        <f t="shared" si="268"/>
        <v>0</v>
      </c>
      <c r="DV185" s="32" t="b">
        <f t="shared" si="269"/>
        <v>1</v>
      </c>
      <c r="DW185" s="32" t="b">
        <f t="shared" si="270"/>
        <v>0</v>
      </c>
      <c r="DX185" s="32" t="b">
        <f t="shared" si="271"/>
        <v>1</v>
      </c>
      <c r="DY185" s="32">
        <f t="shared" si="272"/>
        <v>8.2262214345339302E-3</v>
      </c>
      <c r="DZ185" s="32" t="e">
        <f t="shared" si="273"/>
        <v>#N/A</v>
      </c>
      <c r="EA185" s="32">
        <f t="shared" si="274"/>
        <v>8.2262214345339302E-3</v>
      </c>
      <c r="EB185" s="45" t="str">
        <f t="shared" si="275"/>
        <v/>
      </c>
      <c r="EG185" s="32">
        <f t="shared" si="276"/>
        <v>175</v>
      </c>
      <c r="EH185" s="32">
        <f t="shared" si="277"/>
        <v>176</v>
      </c>
      <c r="EI185" s="32">
        <f t="shared" si="278"/>
        <v>1.1019433029745693</v>
      </c>
      <c r="EJ185" s="32">
        <f t="shared" si="279"/>
        <v>0.2173865758786262</v>
      </c>
      <c r="EK185" s="32" t="e">
        <f t="shared" si="280"/>
        <v>#N/A</v>
      </c>
      <c r="EL185" s="32" t="e">
        <f t="shared" si="281"/>
        <v>#N/A</v>
      </c>
      <c r="EM185" s="32" t="e">
        <f t="shared" si="282"/>
        <v>#N/A</v>
      </c>
      <c r="EN185" s="32" t="b">
        <f t="shared" si="283"/>
        <v>0</v>
      </c>
      <c r="EO185" s="32" t="b">
        <f t="shared" si="284"/>
        <v>1</v>
      </c>
      <c r="EP185" s="32" t="b">
        <f t="shared" si="285"/>
        <v>0</v>
      </c>
      <c r="EQ185" s="32" t="b">
        <f t="shared" si="286"/>
        <v>1</v>
      </c>
      <c r="ER185" s="32">
        <f t="shared" si="287"/>
        <v>0.2173865758786262</v>
      </c>
      <c r="ES185" s="32" t="e">
        <f t="shared" si="288"/>
        <v>#N/A</v>
      </c>
      <c r="ET185" s="32">
        <f t="shared" si="289"/>
        <v>0.2173865758786262</v>
      </c>
      <c r="EU185" s="45" t="str">
        <f t="shared" si="290"/>
        <v/>
      </c>
      <c r="EV18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5" s="32" t="e" cm="1">
        <f t="array" ref="EY185">IF($CR$3,INDEX(Eu_tabel_a[[#This Row],[Styrke venstre]:[Styrke tosidet]],EY$7),NA())</f>
        <v>#N/A</v>
      </c>
      <c r="EZ185" s="32" t="e">
        <f>IF(EY$3,IF(CHOOSE(EY$7,Eu_tabel_a[[#This Row],[x base]]&gt;0,Eu_tabel_a[[#This Row],[x base]]&lt;0,Eu_tabel_a[[#This Row],[x base]]=0),1,NA()),NA())</f>
        <v>#N/A</v>
      </c>
      <c r="FA185" s="32" t="e">
        <f>IF(CHOOSE(EY$7,Eu_tabel_a[[#This Row],[x base]]&gt;0,Eu_tabel_a[[#This Row],[x base]]&lt;0,Eu_tabel_a[[#This Row],[x base]]=0),Eu_tabel_a[[#This Row],[Styrke, aktiv]],NA())</f>
        <v>#N/A</v>
      </c>
      <c r="FB185" s="32" t="e">
        <f>IFERROR(IF($EY$3,Eu_tabel_a[[#This Row],[Styrke, aktiv]],NA()),NA())</f>
        <v>#N/A</v>
      </c>
      <c r="FC185" s="32" t="e">
        <f>IF(ISNA(Eu_tabel_a[[#This Row],[Sand negativ
Nulhypotese afvises
Korrekt]]),NA(),IF(EY$3,1,NA()))</f>
        <v>#N/A</v>
      </c>
      <c r="FD185" s="33" t="str" cm="1">
        <f t="array" ref="FD185">IFERROR(_xlfn.SWITCH(Eu_tabel_a[[#This Row],[Indeks]],_xlfn.IFNA(FB$2,-99),FB$5,_xlfn.IFNA(FB$3,-99),FB$6,_xlfn.IFNA(FB$4,-99),FB$7,""),"")</f>
        <v/>
      </c>
      <c r="FE185" s="32">
        <f>Eu_tabel_a[[#This Row],[x base]]*SQRT(Eu_a_h0_x*(1-Eu_a_h0_x)/Eu_a_n_x)+Eu_a_h0_x</f>
        <v>0</v>
      </c>
      <c r="FJ185" s="74" t="e">
        <f t="shared" si="234"/>
        <v>#N/A</v>
      </c>
      <c r="FK185" s="82" t="e">
        <f t="shared" si="322"/>
        <v>#DIV/0!</v>
      </c>
      <c r="FL185" s="7" t="e">
        <f t="shared" si="228"/>
        <v>#DIV/0!</v>
      </c>
      <c r="FM185" t="e">
        <f t="shared" si="323"/>
        <v>#DIV/0!</v>
      </c>
      <c r="FN185" s="8" t="e">
        <f t="shared" si="324"/>
        <v>#DIV/0!</v>
      </c>
      <c r="FO185" s="8" t="e">
        <f t="shared" si="325"/>
        <v>#DIV/0!</v>
      </c>
      <c r="FP185" s="81" t="e">
        <f t="shared" si="326"/>
        <v>#DIV/0!</v>
      </c>
      <c r="FQ185" s="74" t="e">
        <f t="shared" ca="1" si="229"/>
        <v>#N/A</v>
      </c>
      <c r="FR185" s="82" t="e" vm="3">
        <f t="shared" ca="1" si="235"/>
        <v>#VALUE!</v>
      </c>
      <c r="FS185" s="7" t="e" vm="3">
        <f t="shared" ca="1" si="230"/>
        <v>#VALUE!</v>
      </c>
      <c r="FT185" t="e" vm="3">
        <f t="shared" ca="1" si="224"/>
        <v>#VALUE!</v>
      </c>
      <c r="FU185" s="8" t="e" vm="3">
        <f t="shared" ca="1" si="225"/>
        <v>#VALUE!</v>
      </c>
      <c r="FV185" s="8" t="e" vm="3">
        <f t="shared" ca="1" si="226"/>
        <v>#VALUE!</v>
      </c>
      <c r="FW185" s="81" t="e" vm="3">
        <f t="shared" ca="1" si="227"/>
        <v>#VALUE!</v>
      </c>
      <c r="FX185" s="74" t="e">
        <f t="shared" si="231"/>
        <v>#N/A</v>
      </c>
      <c r="FY185" s="82" t="e">
        <f t="shared" si="236"/>
        <v>#N/A</v>
      </c>
      <c r="FZ185" s="7" t="e">
        <f t="shared" si="232"/>
        <v>#N/A</v>
      </c>
      <c r="GA185" t="e">
        <f t="shared" si="237"/>
        <v>#N/A</v>
      </c>
      <c r="GB185" s="8" t="e">
        <f t="shared" si="238"/>
        <v>#N/A</v>
      </c>
      <c r="GC185" s="8" t="e">
        <f t="shared" si="239"/>
        <v>#N/A</v>
      </c>
      <c r="GD185" s="81" t="e">
        <f t="shared" si="240"/>
        <v>#N/A</v>
      </c>
      <c r="GE185" s="74" t="e">
        <f t="shared" si="241"/>
        <v>#N/A</v>
      </c>
      <c r="GF185" s="82" t="e">
        <f t="shared" si="242"/>
        <v>#N/A</v>
      </c>
      <c r="GG185" s="7" t="e">
        <f t="shared" si="233"/>
        <v>#N/A</v>
      </c>
      <c r="GH185" t="e">
        <f t="shared" si="243"/>
        <v>#N/A</v>
      </c>
      <c r="GI185" s="8" t="e">
        <f t="shared" si="244"/>
        <v>#N/A</v>
      </c>
      <c r="GJ185" s="8" t="e">
        <f t="shared" si="245"/>
        <v>#N/A</v>
      </c>
      <c r="GK185" s="81" t="e">
        <f t="shared" si="246"/>
        <v>#N/A</v>
      </c>
      <c r="GL185" s="81"/>
      <c r="GM185" s="81"/>
      <c r="GP185" s="32">
        <f t="shared" si="291"/>
        <v>175</v>
      </c>
      <c r="GQ185" s="32">
        <f t="shared" si="292"/>
        <v>176</v>
      </c>
      <c r="GR185" s="32">
        <f t="shared" si="293"/>
        <v>1.1019433029745693</v>
      </c>
      <c r="GS185" s="32">
        <f t="shared" si="294"/>
        <v>0.2173865758786262</v>
      </c>
      <c r="GT185" s="32" t="e">
        <f t="shared" si="295"/>
        <v>#N/A</v>
      </c>
      <c r="GU185" s="32" t="e">
        <f t="shared" si="296"/>
        <v>#N/A</v>
      </c>
      <c r="GV185" s="32" t="e">
        <f t="shared" si="297"/>
        <v>#N/A</v>
      </c>
      <c r="GW185" s="32" t="b">
        <f t="shared" si="298"/>
        <v>0</v>
      </c>
      <c r="GX185" s="32" t="b">
        <f t="shared" si="299"/>
        <v>1</v>
      </c>
      <c r="GY185" s="32" t="b">
        <f t="shared" si="300"/>
        <v>0</v>
      </c>
      <c r="GZ185" s="32" t="b">
        <f t="shared" si="301"/>
        <v>1</v>
      </c>
      <c r="HA185" s="32">
        <f t="shared" si="302"/>
        <v>0.2173865758786262</v>
      </c>
      <c r="HB185" s="32" t="e">
        <f t="shared" si="303"/>
        <v>#N/A</v>
      </c>
      <c r="HC185" s="32">
        <f t="shared" si="304"/>
        <v>0.2173865758786262</v>
      </c>
      <c r="HD185" s="45" t="str">
        <f t="shared" si="305"/>
        <v/>
      </c>
      <c r="HJ185" s="32">
        <f t="shared" si="306"/>
        <v>175</v>
      </c>
      <c r="HK185" s="32">
        <f t="shared" si="307"/>
        <v>176</v>
      </c>
      <c r="HL185" s="32">
        <f t="shared" si="308"/>
        <v>1.7063823481966152</v>
      </c>
      <c r="HM185" s="32" t="e">
        <f t="shared" si="309"/>
        <v>#N/A</v>
      </c>
      <c r="HN185" s="32">
        <f t="shared" si="310"/>
        <v>9.5773093290658293E-2</v>
      </c>
      <c r="HO185" s="32" t="e">
        <f t="shared" si="311"/>
        <v>#N/A</v>
      </c>
      <c r="HP185" s="32" t="e">
        <f t="shared" si="312"/>
        <v>#N/A</v>
      </c>
      <c r="HQ185" s="32" t="b">
        <f t="shared" si="313"/>
        <v>0</v>
      </c>
      <c r="HR185" s="32" t="b">
        <f t="shared" si="314"/>
        <v>1</v>
      </c>
      <c r="HS185" s="32" t="b">
        <f t="shared" si="315"/>
        <v>1</v>
      </c>
      <c r="HT185" s="32" t="b">
        <f t="shared" si="316"/>
        <v>0</v>
      </c>
      <c r="HU185" s="32">
        <f t="shared" si="317"/>
        <v>9.5773093290658293E-2</v>
      </c>
      <c r="HV185" s="32" t="e">
        <f t="shared" si="318"/>
        <v>#N/A</v>
      </c>
      <c r="HW185" s="32">
        <f t="shared" si="319"/>
        <v>9.5773093290658293E-2</v>
      </c>
      <c r="HX185" s="45">
        <f t="shared" si="320"/>
        <v>0.34100000000000003</v>
      </c>
    </row>
    <row r="186" spans="78:232" x14ac:dyDescent="0.2">
      <c r="BZ186" s="32">
        <f t="shared" si="247"/>
        <v>176</v>
      </c>
      <c r="CA186" s="32">
        <f>Eu_tabel_g[[#This Row],[Indeks]]+1</f>
        <v>177</v>
      </c>
      <c r="CB186" s="32">
        <f t="shared" si="248"/>
        <v>1.1258985921696683</v>
      </c>
      <c r="CC186" s="32">
        <f t="shared" si="249"/>
        <v>0.21166247901603161</v>
      </c>
      <c r="CD186" s="32" t="e">
        <f t="shared" si="250"/>
        <v>#N/A</v>
      </c>
      <c r="CE186" s="32" t="e">
        <f t="shared" si="251"/>
        <v>#N/A</v>
      </c>
      <c r="CF186" s="32" t="e">
        <f t="shared" si="252"/>
        <v>#N/A</v>
      </c>
      <c r="CG186" s="32" t="b">
        <f t="shared" si="253"/>
        <v>0</v>
      </c>
      <c r="CH186" s="32" t="b">
        <f t="shared" si="254"/>
        <v>1</v>
      </c>
      <c r="CI186" s="32" t="b">
        <f t="shared" si="255"/>
        <v>0</v>
      </c>
      <c r="CJ186" s="32" t="b">
        <f t="shared" si="256"/>
        <v>1</v>
      </c>
      <c r="CK186" s="32">
        <f t="shared" si="321"/>
        <v>0.21166247901603161</v>
      </c>
      <c r="CL186" s="32" t="e">
        <f t="shared" si="257"/>
        <v>#N/A</v>
      </c>
      <c r="CM186" s="32">
        <f t="shared" si="258"/>
        <v>0.21166247901603161</v>
      </c>
      <c r="CN186" s="45" t="str">
        <f t="shared" si="259"/>
        <v/>
      </c>
      <c r="CO186" s="32">
        <f>_xlfn.NORM.DIST(_xlfn.NORM.INV(1-Eu_g_konfidensniveau,0,1)-Eu_tabel_g[[#This Row],[x base]],0,1,TRUE)</f>
        <v>2.7963483759520526E-3</v>
      </c>
      <c r="CP186" s="32">
        <f>1-_xlfn.NORM.DIST(_xlfn.NORM.INV(Eu_g_konfidensniveau,0,1)-Eu_tabel_g[[#This Row],[x base]],0,1,TRUE)</f>
        <v>0.30189604899289557</v>
      </c>
      <c r="CQ186" s="32">
        <f>_xlfn.NORM.DIST(_xlfn.NORM.INV((1-Eu_g_konfidensniveau)/2,0,1)-Eu_tabel_g[[#This Row],[x base]],0,1,TRUE)+1-_xlfn.NORM.DIST(_xlfn.NORM.INV(1-(1-Eu_g_konfidensniveau)/2,0,1)-Eu_tabel_g[[#This Row],[x base]],0,1,TRUE)</f>
        <v>0.20313688079726311</v>
      </c>
      <c r="CR186" s="32" t="e" cm="1">
        <f t="array" ref="CR186">IF($CR$3,INDEX(Eu_tabel_g[[#This Row],[Styrke venstre]:[Styrke tosidet]],CR$7),NA())</f>
        <v>#N/A</v>
      </c>
      <c r="CS186" s="52" t="e">
        <f>Eu_tabel_g[[#This Row],[Falsk positiv
Nulhypotese accepteres
Fejltype 1]]</f>
        <v>#N/A</v>
      </c>
      <c r="CT186" s="52" t="e">
        <f>IF(CHOOSE(CR$7,Eu_tabel_g[[#This Row],[x base]]&gt;0,Eu_tabel_g[[#This Row],[x base]]&lt;0,Eu_tabel_g[[#This Row],[x base]]=0),Eu_tabel_g[[#This Row],[Styrke, aktiv]],NA())</f>
        <v>#N/A</v>
      </c>
      <c r="CU186" s="52" t="e">
        <f>IFERROR(IF($CR$3,Eu_tabel_g[[#This Row],[Styrke, aktiv]],NA()),NA())</f>
        <v>#N/A</v>
      </c>
      <c r="CV186" s="52" t="e">
        <f>IF(ISNA(Eu_tabel_g[[#This Row],[Sand negativ
Nulhypotese afvises
Korrekt]]),NA(),IF($CR$3,1,NA()))</f>
        <v>#N/A</v>
      </c>
      <c r="CW186" s="34" t="str" cm="1">
        <f t="array" ref="CW186">_xlfn.SWITCH(BZ186,_xlfn.IFNA(CU$2,-99),CU$5,_xlfn.IFNA(CU$3,-99),CU$6,_xlfn.IFNA(CU$4,-99),CU$7,"")</f>
        <v/>
      </c>
      <c r="DA186" s="7">
        <f t="shared" si="260"/>
        <v>0.8</v>
      </c>
      <c r="DB186">
        <f>IF(ROW(Styrkeberegning_G[[#This Row],[X base venstre]])=ROW(Styrkeberegning_G[[#Headers],[X base venstre]])+1,DB$7/(DA$7/$B$67),DB185/(DA185/$B$67))</f>
        <v>-2.8015817870135784</v>
      </c>
      <c r="DC186">
        <f>Styrkeberegning_G[[#This Row],[X base venstre]]*-1</f>
        <v>2.8015817870135784</v>
      </c>
      <c r="DN186" s="32">
        <f t="shared" si="261"/>
        <v>176</v>
      </c>
      <c r="DO186" s="32">
        <f t="shared" si="262"/>
        <v>177</v>
      </c>
      <c r="DP186" s="32">
        <f t="shared" si="263"/>
        <v>21.910323394045868</v>
      </c>
      <c r="DQ186" s="32" t="e">
        <f t="shared" si="264"/>
        <v>#N/A</v>
      </c>
      <c r="DR186" s="32" t="e">
        <f t="shared" si="265"/>
        <v>#N/A</v>
      </c>
      <c r="DS186" s="32">
        <f t="shared" si="266"/>
        <v>7.9548414641286321E-3</v>
      </c>
      <c r="DT186" s="32" t="e">
        <f t="shared" si="267"/>
        <v>#N/A</v>
      </c>
      <c r="DU186" s="32" t="b">
        <f t="shared" si="268"/>
        <v>0</v>
      </c>
      <c r="DV186" s="32" t="b">
        <f t="shared" si="269"/>
        <v>1</v>
      </c>
      <c r="DW186" s="32" t="b">
        <f t="shared" si="270"/>
        <v>0</v>
      </c>
      <c r="DX186" s="32" t="b">
        <f t="shared" si="271"/>
        <v>1</v>
      </c>
      <c r="DY186" s="32">
        <f t="shared" si="272"/>
        <v>7.9548414641286321E-3</v>
      </c>
      <c r="DZ186" s="32" t="e">
        <f t="shared" si="273"/>
        <v>#N/A</v>
      </c>
      <c r="EA186" s="32">
        <f t="shared" si="274"/>
        <v>7.9548414641286321E-3</v>
      </c>
      <c r="EB186" s="45">
        <f t="shared" si="275"/>
        <v>7.3129999999999997</v>
      </c>
      <c r="EG186" s="32">
        <f t="shared" si="276"/>
        <v>176</v>
      </c>
      <c r="EH186" s="32">
        <f t="shared" si="277"/>
        <v>177</v>
      </c>
      <c r="EI186" s="32">
        <f t="shared" si="278"/>
        <v>1.1258985921696683</v>
      </c>
      <c r="EJ186" s="32">
        <f t="shared" si="279"/>
        <v>0.21166247901603161</v>
      </c>
      <c r="EK186" s="32" t="e">
        <f t="shared" si="280"/>
        <v>#N/A</v>
      </c>
      <c r="EL186" s="32" t="e">
        <f t="shared" si="281"/>
        <v>#N/A</v>
      </c>
      <c r="EM186" s="32" t="e">
        <f t="shared" si="282"/>
        <v>#N/A</v>
      </c>
      <c r="EN186" s="32" t="b">
        <f t="shared" si="283"/>
        <v>0</v>
      </c>
      <c r="EO186" s="32" t="b">
        <f t="shared" si="284"/>
        <v>1</v>
      </c>
      <c r="EP186" s="32" t="b">
        <f t="shared" si="285"/>
        <v>0</v>
      </c>
      <c r="EQ186" s="32" t="b">
        <f t="shared" si="286"/>
        <v>1</v>
      </c>
      <c r="ER186" s="32">
        <f t="shared" si="287"/>
        <v>0.21166247901603161</v>
      </c>
      <c r="ES186" s="32" t="e">
        <f t="shared" si="288"/>
        <v>#N/A</v>
      </c>
      <c r="ET186" s="32">
        <f t="shared" si="289"/>
        <v>0.21166247901603161</v>
      </c>
      <c r="EU186" s="45" t="str">
        <f t="shared" si="290"/>
        <v/>
      </c>
      <c r="EV18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6" s="32" t="e" cm="1">
        <f t="array" ref="EY186">IF($CR$3,INDEX(Eu_tabel_a[[#This Row],[Styrke venstre]:[Styrke tosidet]],EY$7),NA())</f>
        <v>#N/A</v>
      </c>
      <c r="EZ186" s="32" t="e">
        <f>IF(EY$3,IF(CHOOSE(EY$7,Eu_tabel_a[[#This Row],[x base]]&gt;0,Eu_tabel_a[[#This Row],[x base]]&lt;0,Eu_tabel_a[[#This Row],[x base]]=0),1,NA()),NA())</f>
        <v>#N/A</v>
      </c>
      <c r="FA186" s="32" t="e">
        <f>IF(CHOOSE(EY$7,Eu_tabel_a[[#This Row],[x base]]&gt;0,Eu_tabel_a[[#This Row],[x base]]&lt;0,Eu_tabel_a[[#This Row],[x base]]=0),Eu_tabel_a[[#This Row],[Styrke, aktiv]],NA())</f>
        <v>#N/A</v>
      </c>
      <c r="FB186" s="32" t="e">
        <f>IFERROR(IF($EY$3,Eu_tabel_a[[#This Row],[Styrke, aktiv]],NA()),NA())</f>
        <v>#N/A</v>
      </c>
      <c r="FC186" s="32" t="e">
        <f>IF(ISNA(Eu_tabel_a[[#This Row],[Sand negativ
Nulhypotese afvises
Korrekt]]),NA(),IF(EY$3,1,NA()))</f>
        <v>#N/A</v>
      </c>
      <c r="FD186" s="33" t="str" cm="1">
        <f t="array" ref="FD186">IFERROR(_xlfn.SWITCH(Eu_tabel_a[[#This Row],[Indeks]],_xlfn.IFNA(FB$2,-99),FB$5,_xlfn.IFNA(FB$3,-99),FB$6,_xlfn.IFNA(FB$4,-99),FB$7,""),"")</f>
        <v/>
      </c>
      <c r="FE186" s="32">
        <f>Eu_tabel_a[[#This Row],[x base]]*SQRT(Eu_a_h0_x*(1-Eu_a_h0_x)/Eu_a_n_x)+Eu_a_h0_x</f>
        <v>0</v>
      </c>
      <c r="FJ186" s="74" t="e">
        <f t="shared" si="234"/>
        <v>#N/A</v>
      </c>
      <c r="FK186" s="82" t="e">
        <f t="shared" si="322"/>
        <v>#DIV/0!</v>
      </c>
      <c r="FL186" s="7" t="e">
        <f t="shared" si="228"/>
        <v>#DIV/0!</v>
      </c>
      <c r="FM186" t="e">
        <f t="shared" si="323"/>
        <v>#DIV/0!</v>
      </c>
      <c r="FN186" s="8" t="e">
        <f t="shared" si="324"/>
        <v>#DIV/0!</v>
      </c>
      <c r="FO186" s="8" t="e">
        <f t="shared" si="325"/>
        <v>#DIV/0!</v>
      </c>
      <c r="FP186" s="81" t="e">
        <f t="shared" si="326"/>
        <v>#DIV/0!</v>
      </c>
      <c r="FQ186" s="74" t="e">
        <f t="shared" ca="1" si="229"/>
        <v>#N/A</v>
      </c>
      <c r="FR186" s="82" t="e" vm="3">
        <f t="shared" ca="1" si="235"/>
        <v>#VALUE!</v>
      </c>
      <c r="FS186" s="7" t="e" vm="3">
        <f t="shared" ca="1" si="230"/>
        <v>#VALUE!</v>
      </c>
      <c r="FT186" t="e" vm="3">
        <f t="shared" ca="1" si="224"/>
        <v>#VALUE!</v>
      </c>
      <c r="FU186" s="8" t="e" vm="3">
        <f t="shared" ca="1" si="225"/>
        <v>#VALUE!</v>
      </c>
      <c r="FV186" s="8" t="e" vm="3">
        <f t="shared" ca="1" si="226"/>
        <v>#VALUE!</v>
      </c>
      <c r="FW186" s="81" t="e" vm="3">
        <f t="shared" ca="1" si="227"/>
        <v>#VALUE!</v>
      </c>
      <c r="FX186" s="74" t="e">
        <f t="shared" si="231"/>
        <v>#N/A</v>
      </c>
      <c r="FY186" s="82" t="e">
        <f t="shared" si="236"/>
        <v>#N/A</v>
      </c>
      <c r="FZ186" s="7" t="e">
        <f t="shared" si="232"/>
        <v>#N/A</v>
      </c>
      <c r="GA186" t="e">
        <f t="shared" si="237"/>
        <v>#N/A</v>
      </c>
      <c r="GB186" s="8" t="e">
        <f t="shared" si="238"/>
        <v>#N/A</v>
      </c>
      <c r="GC186" s="8" t="e">
        <f t="shared" si="239"/>
        <v>#N/A</v>
      </c>
      <c r="GD186" s="81" t="e">
        <f t="shared" si="240"/>
        <v>#N/A</v>
      </c>
      <c r="GE186" s="74" t="e">
        <f t="shared" si="241"/>
        <v>#N/A</v>
      </c>
      <c r="GF186" s="82" t="e">
        <f t="shared" si="242"/>
        <v>#N/A</v>
      </c>
      <c r="GG186" s="7" t="e">
        <f t="shared" si="233"/>
        <v>#N/A</v>
      </c>
      <c r="GH186" t="e">
        <f t="shared" si="243"/>
        <v>#N/A</v>
      </c>
      <c r="GI186" s="8" t="e">
        <f t="shared" si="244"/>
        <v>#N/A</v>
      </c>
      <c r="GJ186" s="8" t="e">
        <f t="shared" si="245"/>
        <v>#N/A</v>
      </c>
      <c r="GK186" s="81" t="e">
        <f t="shared" si="246"/>
        <v>#N/A</v>
      </c>
      <c r="GL186" s="81"/>
      <c r="GM186" s="81"/>
      <c r="GP186" s="32">
        <f t="shared" si="291"/>
        <v>176</v>
      </c>
      <c r="GQ186" s="32">
        <f t="shared" si="292"/>
        <v>177</v>
      </c>
      <c r="GR186" s="32">
        <f t="shared" si="293"/>
        <v>1.1258985921696683</v>
      </c>
      <c r="GS186" s="32">
        <f t="shared" si="294"/>
        <v>0.21166247901603161</v>
      </c>
      <c r="GT186" s="32" t="e">
        <f t="shared" si="295"/>
        <v>#N/A</v>
      </c>
      <c r="GU186" s="32" t="e">
        <f t="shared" si="296"/>
        <v>#N/A</v>
      </c>
      <c r="GV186" s="32" t="e">
        <f t="shared" si="297"/>
        <v>#N/A</v>
      </c>
      <c r="GW186" s="32" t="b">
        <f t="shared" si="298"/>
        <v>0</v>
      </c>
      <c r="GX186" s="32" t="b">
        <f t="shared" si="299"/>
        <v>1</v>
      </c>
      <c r="GY186" s="32" t="b">
        <f t="shared" si="300"/>
        <v>0</v>
      </c>
      <c r="GZ186" s="32" t="b">
        <f t="shared" si="301"/>
        <v>1</v>
      </c>
      <c r="HA186" s="32">
        <f t="shared" si="302"/>
        <v>0.21166247901603161</v>
      </c>
      <c r="HB186" s="32" t="e">
        <f t="shared" si="303"/>
        <v>#N/A</v>
      </c>
      <c r="HC186" s="32">
        <f t="shared" si="304"/>
        <v>0.21166247901603161</v>
      </c>
      <c r="HD186" s="45" t="str">
        <f t="shared" si="305"/>
        <v/>
      </c>
      <c r="HJ186" s="32">
        <f t="shared" si="306"/>
        <v>176</v>
      </c>
      <c r="HK186" s="32">
        <f t="shared" si="307"/>
        <v>177</v>
      </c>
      <c r="HL186" s="32">
        <f t="shared" si="308"/>
        <v>1.7434776166356718</v>
      </c>
      <c r="HM186" s="32" t="e">
        <f t="shared" si="309"/>
        <v>#N/A</v>
      </c>
      <c r="HN186" s="32">
        <f t="shared" si="310"/>
        <v>9.0982495771573788E-2</v>
      </c>
      <c r="HO186" s="32" t="e">
        <f t="shared" si="311"/>
        <v>#N/A</v>
      </c>
      <c r="HP186" s="32" t="e">
        <f t="shared" si="312"/>
        <v>#N/A</v>
      </c>
      <c r="HQ186" s="32" t="b">
        <f t="shared" si="313"/>
        <v>0</v>
      </c>
      <c r="HR186" s="32" t="b">
        <f t="shared" si="314"/>
        <v>1</v>
      </c>
      <c r="HS186" s="32" t="b">
        <f t="shared" si="315"/>
        <v>1</v>
      </c>
      <c r="HT186" s="32" t="b">
        <f t="shared" si="316"/>
        <v>0</v>
      </c>
      <c r="HU186" s="32">
        <f t="shared" si="317"/>
        <v>9.0982495771573788E-2</v>
      </c>
      <c r="HV186" s="32" t="e">
        <f t="shared" si="318"/>
        <v>#N/A</v>
      </c>
      <c r="HW186" s="32">
        <f t="shared" si="319"/>
        <v>9.0982495771573788E-2</v>
      </c>
      <c r="HX186" s="45" t="str">
        <f t="shared" si="320"/>
        <v/>
      </c>
    </row>
    <row r="187" spans="78:232" x14ac:dyDescent="0.2">
      <c r="BZ187" s="32">
        <f t="shared" si="247"/>
        <v>177</v>
      </c>
      <c r="CA187" s="32">
        <f>Eu_tabel_g[[#This Row],[Indeks]]+1</f>
        <v>178</v>
      </c>
      <c r="CB187" s="32">
        <f t="shared" si="248"/>
        <v>1.1498538813647681</v>
      </c>
      <c r="CC187" s="32">
        <f t="shared" si="249"/>
        <v>0.20597087422427382</v>
      </c>
      <c r="CD187" s="32" t="e">
        <f t="shared" si="250"/>
        <v>#N/A</v>
      </c>
      <c r="CE187" s="32" t="e">
        <f t="shared" si="251"/>
        <v>#N/A</v>
      </c>
      <c r="CF187" s="32" t="e">
        <f t="shared" si="252"/>
        <v>#N/A</v>
      </c>
      <c r="CG187" s="32" t="b">
        <f t="shared" si="253"/>
        <v>0</v>
      </c>
      <c r="CH187" s="32" t="b">
        <f t="shared" si="254"/>
        <v>1</v>
      </c>
      <c r="CI187" s="32" t="b">
        <f t="shared" si="255"/>
        <v>0</v>
      </c>
      <c r="CJ187" s="32" t="b">
        <f t="shared" si="256"/>
        <v>1</v>
      </c>
      <c r="CK187" s="32">
        <f t="shared" si="321"/>
        <v>0.20597087422427382</v>
      </c>
      <c r="CL187" s="32" t="e">
        <f t="shared" si="257"/>
        <v>#N/A</v>
      </c>
      <c r="CM187" s="32">
        <f t="shared" si="258"/>
        <v>0.20597087422427382</v>
      </c>
      <c r="CN187" s="45" t="str">
        <f t="shared" si="259"/>
        <v/>
      </c>
      <c r="CO187" s="32">
        <f>_xlfn.NORM.DIST(_xlfn.NORM.INV(1-Eu_g_konfidensniveau,0,1)-Eu_tabel_g[[#This Row],[x base]],0,1,TRUE)</f>
        <v>2.5973345350299693E-3</v>
      </c>
      <c r="CP187" s="32">
        <f>1-_xlfn.NORM.DIST(_xlfn.NORM.INV(Eu_g_konfidensniveau,0,1)-Eu_tabel_g[[#This Row],[x base]],0,1,TRUE)</f>
        <v>0.31030015004767675</v>
      </c>
      <c r="CQ187" s="32">
        <f>_xlfn.NORM.DIST(_xlfn.NORM.INV((1-Eu_g_konfidensniveau)/2,0,1)-Eu_tabel_g[[#This Row],[x base]],0,1,TRUE)+1-_xlfn.NORM.DIST(_xlfn.NORM.INV(1-(1-Eu_g_konfidensniveau)/2,0,1)-Eu_tabel_g[[#This Row],[x base]],0,1,TRUE)</f>
        <v>0.20987446274566923</v>
      </c>
      <c r="CR187" s="32" t="e" cm="1">
        <f t="array" ref="CR187">IF($CR$3,INDEX(Eu_tabel_g[[#This Row],[Styrke venstre]:[Styrke tosidet]],CR$7),NA())</f>
        <v>#N/A</v>
      </c>
      <c r="CS187" s="52" t="e">
        <f>Eu_tabel_g[[#This Row],[Falsk positiv
Nulhypotese accepteres
Fejltype 1]]</f>
        <v>#N/A</v>
      </c>
      <c r="CT187" s="52" t="e">
        <f>IF(CHOOSE(CR$7,Eu_tabel_g[[#This Row],[x base]]&gt;0,Eu_tabel_g[[#This Row],[x base]]&lt;0,Eu_tabel_g[[#This Row],[x base]]=0),Eu_tabel_g[[#This Row],[Styrke, aktiv]],NA())</f>
        <v>#N/A</v>
      </c>
      <c r="CU187" s="52" t="e">
        <f>IFERROR(IF($CR$3,Eu_tabel_g[[#This Row],[Styrke, aktiv]],NA()),NA())</f>
        <v>#N/A</v>
      </c>
      <c r="CV187" s="52" t="e">
        <f>IF(ISNA(Eu_tabel_g[[#This Row],[Sand negativ
Nulhypotese afvises
Korrekt]]),NA(),IF($CR$3,1,NA()))</f>
        <v>#N/A</v>
      </c>
      <c r="CW187" s="34" t="str" cm="1">
        <f t="array" ref="CW187">_xlfn.SWITCH(BZ187,_xlfn.IFNA(CU$2,-99),CU$5,_xlfn.IFNA(CU$3,-99),CU$6,_xlfn.IFNA(CU$4,-99),CU$7,"")</f>
        <v/>
      </c>
      <c r="DA187" s="7">
        <f t="shared" si="260"/>
        <v>0.8</v>
      </c>
      <c r="DB187">
        <f>IF(ROW(Styrkeberegning_G[[#This Row],[X base venstre]])=ROW(Styrkeberegning_G[[#Headers],[X base venstre]])+1,DB$7/(DA$7/$B$67),DB186/(DA186/$B$67))</f>
        <v>-2.8015817870135784</v>
      </c>
      <c r="DC187">
        <f>Styrkeberegning_G[[#This Row],[X base venstre]]*-1</f>
        <v>2.8015817870135784</v>
      </c>
      <c r="DN187" s="32">
        <f t="shared" si="261"/>
        <v>177</v>
      </c>
      <c r="DO187" s="32">
        <f t="shared" si="262"/>
        <v>178</v>
      </c>
      <c r="DP187" s="32">
        <f t="shared" si="263"/>
        <v>22.024394250462869</v>
      </c>
      <c r="DQ187" s="32" t="e">
        <f t="shared" si="264"/>
        <v>#N/A</v>
      </c>
      <c r="DR187" s="32" t="e">
        <f t="shared" si="265"/>
        <v>#N/A</v>
      </c>
      <c r="DS187" s="32">
        <f t="shared" si="266"/>
        <v>7.6914759938026978E-3</v>
      </c>
      <c r="DT187" s="32" t="e">
        <f t="shared" si="267"/>
        <v>#N/A</v>
      </c>
      <c r="DU187" s="32" t="b">
        <f t="shared" si="268"/>
        <v>0</v>
      </c>
      <c r="DV187" s="32" t="b">
        <f t="shared" si="269"/>
        <v>1</v>
      </c>
      <c r="DW187" s="32" t="b">
        <f t="shared" si="270"/>
        <v>1</v>
      </c>
      <c r="DX187" s="32" t="b">
        <f t="shared" si="271"/>
        <v>0</v>
      </c>
      <c r="DY187" s="32">
        <f t="shared" si="272"/>
        <v>7.6914759938026978E-3</v>
      </c>
      <c r="DZ187" s="32">
        <f t="shared" si="273"/>
        <v>7.6914759938026978E-3</v>
      </c>
      <c r="EA187" s="32" t="e">
        <f t="shared" si="274"/>
        <v>#N/A</v>
      </c>
      <c r="EB187" s="45" t="str">
        <f t="shared" si="275"/>
        <v/>
      </c>
      <c r="EG187" s="32">
        <f t="shared" si="276"/>
        <v>177</v>
      </c>
      <c r="EH187" s="32">
        <f t="shared" si="277"/>
        <v>178</v>
      </c>
      <c r="EI187" s="32">
        <f t="shared" si="278"/>
        <v>1.1498538813647681</v>
      </c>
      <c r="EJ187" s="32">
        <f t="shared" si="279"/>
        <v>0.20597087422427382</v>
      </c>
      <c r="EK187" s="32" t="e">
        <f t="shared" si="280"/>
        <v>#N/A</v>
      </c>
      <c r="EL187" s="32" t="e">
        <f t="shared" si="281"/>
        <v>#N/A</v>
      </c>
      <c r="EM187" s="32" t="e">
        <f t="shared" si="282"/>
        <v>#N/A</v>
      </c>
      <c r="EN187" s="32" t="b">
        <f t="shared" si="283"/>
        <v>0</v>
      </c>
      <c r="EO187" s="32" t="b">
        <f t="shared" si="284"/>
        <v>1</v>
      </c>
      <c r="EP187" s="32" t="b">
        <f t="shared" si="285"/>
        <v>0</v>
      </c>
      <c r="EQ187" s="32" t="b">
        <f t="shared" si="286"/>
        <v>1</v>
      </c>
      <c r="ER187" s="32">
        <f t="shared" si="287"/>
        <v>0.20597087422427382</v>
      </c>
      <c r="ES187" s="32" t="e">
        <f t="shared" si="288"/>
        <v>#N/A</v>
      </c>
      <c r="ET187" s="32">
        <f t="shared" si="289"/>
        <v>0.20597087422427382</v>
      </c>
      <c r="EU187" s="45" t="str">
        <f t="shared" si="290"/>
        <v/>
      </c>
      <c r="EV18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7" s="32" t="e" cm="1">
        <f t="array" ref="EY187">IF($CR$3,INDEX(Eu_tabel_a[[#This Row],[Styrke venstre]:[Styrke tosidet]],EY$7),NA())</f>
        <v>#N/A</v>
      </c>
      <c r="EZ187" s="32" t="e">
        <f>IF(EY$3,IF(CHOOSE(EY$7,Eu_tabel_a[[#This Row],[x base]]&gt;0,Eu_tabel_a[[#This Row],[x base]]&lt;0,Eu_tabel_a[[#This Row],[x base]]=0),1,NA()),NA())</f>
        <v>#N/A</v>
      </c>
      <c r="FA187" s="32" t="e">
        <f>IF(CHOOSE(EY$7,Eu_tabel_a[[#This Row],[x base]]&gt;0,Eu_tabel_a[[#This Row],[x base]]&lt;0,Eu_tabel_a[[#This Row],[x base]]=0),Eu_tabel_a[[#This Row],[Styrke, aktiv]],NA())</f>
        <v>#N/A</v>
      </c>
      <c r="FB187" s="32" t="e">
        <f>IFERROR(IF($EY$3,Eu_tabel_a[[#This Row],[Styrke, aktiv]],NA()),NA())</f>
        <v>#N/A</v>
      </c>
      <c r="FC187" s="32" t="e">
        <f>IF(ISNA(Eu_tabel_a[[#This Row],[Sand negativ
Nulhypotese afvises
Korrekt]]),NA(),IF(EY$3,1,NA()))</f>
        <v>#N/A</v>
      </c>
      <c r="FD187" s="33" t="str" cm="1">
        <f t="array" ref="FD187">IFERROR(_xlfn.SWITCH(Eu_tabel_a[[#This Row],[Indeks]],_xlfn.IFNA(FB$2,-99),FB$5,_xlfn.IFNA(FB$3,-99),FB$6,_xlfn.IFNA(FB$4,-99),FB$7,""),"")</f>
        <v/>
      </c>
      <c r="FE187" s="32">
        <f>Eu_tabel_a[[#This Row],[x base]]*SQRT(Eu_a_h0_x*(1-Eu_a_h0_x)/Eu_a_n_x)+Eu_a_h0_x</f>
        <v>0</v>
      </c>
      <c r="FJ187" s="74" t="e">
        <f t="shared" si="234"/>
        <v>#N/A</v>
      </c>
      <c r="FK187" s="82" t="e">
        <f t="shared" si="322"/>
        <v>#DIV/0!</v>
      </c>
      <c r="FL187" s="7" t="e">
        <f t="shared" si="228"/>
        <v>#DIV/0!</v>
      </c>
      <c r="FM187" t="e">
        <f t="shared" si="323"/>
        <v>#DIV/0!</v>
      </c>
      <c r="FN187" s="8" t="e">
        <f t="shared" si="324"/>
        <v>#DIV/0!</v>
      </c>
      <c r="FO187" s="8" t="e">
        <f t="shared" si="325"/>
        <v>#DIV/0!</v>
      </c>
      <c r="FP187" s="81" t="e">
        <f t="shared" si="326"/>
        <v>#DIV/0!</v>
      </c>
      <c r="FQ187" s="74" t="e">
        <f t="shared" ca="1" si="229"/>
        <v>#N/A</v>
      </c>
      <c r="FR187" s="82" t="e" vm="3">
        <f t="shared" ca="1" si="235"/>
        <v>#VALUE!</v>
      </c>
      <c r="FS187" s="7" t="e" vm="3">
        <f t="shared" ca="1" si="230"/>
        <v>#VALUE!</v>
      </c>
      <c r="FT187" t="e" vm="3">
        <f t="shared" ca="1" si="224"/>
        <v>#VALUE!</v>
      </c>
      <c r="FU187" s="8" t="e" vm="3">
        <f t="shared" ca="1" si="225"/>
        <v>#VALUE!</v>
      </c>
      <c r="FV187" s="8" t="e" vm="3">
        <f t="shared" ca="1" si="226"/>
        <v>#VALUE!</v>
      </c>
      <c r="FW187" s="81" t="e" vm="3">
        <f t="shared" ca="1" si="227"/>
        <v>#VALUE!</v>
      </c>
      <c r="FX187" s="74" t="e">
        <f t="shared" si="231"/>
        <v>#N/A</v>
      </c>
      <c r="FY187" s="82" t="e">
        <f t="shared" si="236"/>
        <v>#N/A</v>
      </c>
      <c r="FZ187" s="7" t="e">
        <f t="shared" si="232"/>
        <v>#N/A</v>
      </c>
      <c r="GA187" t="e">
        <f t="shared" si="237"/>
        <v>#N/A</v>
      </c>
      <c r="GB187" s="8" t="e">
        <f t="shared" si="238"/>
        <v>#N/A</v>
      </c>
      <c r="GC187" s="8" t="e">
        <f t="shared" si="239"/>
        <v>#N/A</v>
      </c>
      <c r="GD187" s="81" t="e">
        <f t="shared" si="240"/>
        <v>#N/A</v>
      </c>
      <c r="GE187" s="74" t="e">
        <f t="shared" si="241"/>
        <v>#N/A</v>
      </c>
      <c r="GF187" s="82" t="e">
        <f t="shared" si="242"/>
        <v>#N/A</v>
      </c>
      <c r="GG187" s="7" t="e">
        <f t="shared" si="233"/>
        <v>#N/A</v>
      </c>
      <c r="GH187" t="e">
        <f t="shared" si="243"/>
        <v>#N/A</v>
      </c>
      <c r="GI187" s="8" t="e">
        <f t="shared" si="244"/>
        <v>#N/A</v>
      </c>
      <c r="GJ187" s="8" t="e">
        <f t="shared" si="245"/>
        <v>#N/A</v>
      </c>
      <c r="GK187" s="81" t="e">
        <f t="shared" si="246"/>
        <v>#N/A</v>
      </c>
      <c r="GL187" s="81"/>
      <c r="GM187" s="81"/>
      <c r="GP187" s="32">
        <f t="shared" si="291"/>
        <v>177</v>
      </c>
      <c r="GQ187" s="32">
        <f t="shared" si="292"/>
        <v>178</v>
      </c>
      <c r="GR187" s="32">
        <f t="shared" si="293"/>
        <v>1.1498538813647681</v>
      </c>
      <c r="GS187" s="32">
        <f t="shared" si="294"/>
        <v>0.20597087422427382</v>
      </c>
      <c r="GT187" s="32" t="e">
        <f t="shared" si="295"/>
        <v>#N/A</v>
      </c>
      <c r="GU187" s="32" t="e">
        <f t="shared" si="296"/>
        <v>#N/A</v>
      </c>
      <c r="GV187" s="32" t="e">
        <f t="shared" si="297"/>
        <v>#N/A</v>
      </c>
      <c r="GW187" s="32" t="b">
        <f t="shared" si="298"/>
        <v>0</v>
      </c>
      <c r="GX187" s="32" t="b">
        <f t="shared" si="299"/>
        <v>1</v>
      </c>
      <c r="GY187" s="32" t="b">
        <f t="shared" si="300"/>
        <v>0</v>
      </c>
      <c r="GZ187" s="32" t="b">
        <f t="shared" si="301"/>
        <v>1</v>
      </c>
      <c r="HA187" s="32">
        <f t="shared" si="302"/>
        <v>0.20597087422427382</v>
      </c>
      <c r="HB187" s="32" t="e">
        <f t="shared" si="303"/>
        <v>#N/A</v>
      </c>
      <c r="HC187" s="32">
        <f t="shared" si="304"/>
        <v>0.20597087422427382</v>
      </c>
      <c r="HD187" s="45" t="str">
        <f t="shared" si="305"/>
        <v/>
      </c>
      <c r="HJ187" s="32">
        <f t="shared" si="306"/>
        <v>177</v>
      </c>
      <c r="HK187" s="32">
        <f t="shared" si="307"/>
        <v>178</v>
      </c>
      <c r="HL187" s="32">
        <f t="shared" si="308"/>
        <v>1.7805728850747284</v>
      </c>
      <c r="HM187" s="32" t="e">
        <f t="shared" si="309"/>
        <v>#N/A</v>
      </c>
      <c r="HN187" s="32">
        <f t="shared" si="310"/>
        <v>8.6394145158752933E-2</v>
      </c>
      <c r="HO187" s="32" t="e">
        <f t="shared" si="311"/>
        <v>#N/A</v>
      </c>
      <c r="HP187" s="32" t="e">
        <f t="shared" si="312"/>
        <v>#N/A</v>
      </c>
      <c r="HQ187" s="32" t="b">
        <f t="shared" si="313"/>
        <v>0</v>
      </c>
      <c r="HR187" s="32" t="b">
        <f t="shared" si="314"/>
        <v>1</v>
      </c>
      <c r="HS187" s="32" t="b">
        <f t="shared" si="315"/>
        <v>1</v>
      </c>
      <c r="HT187" s="32" t="b">
        <f t="shared" si="316"/>
        <v>0</v>
      </c>
      <c r="HU187" s="32">
        <f t="shared" si="317"/>
        <v>8.6394145158752933E-2</v>
      </c>
      <c r="HV187" s="32" t="e">
        <f t="shared" si="318"/>
        <v>#N/A</v>
      </c>
      <c r="HW187" s="32">
        <f t="shared" si="319"/>
        <v>8.6394145158752933E-2</v>
      </c>
      <c r="HX187" s="45" t="str">
        <f t="shared" si="320"/>
        <v/>
      </c>
    </row>
    <row r="188" spans="78:232" x14ac:dyDescent="0.2">
      <c r="BZ188" s="32">
        <f t="shared" si="247"/>
        <v>178</v>
      </c>
      <c r="CA188" s="32">
        <f>Eu_tabel_g[[#This Row],[Indeks]]+1</f>
        <v>179</v>
      </c>
      <c r="CB188" s="32">
        <f t="shared" si="248"/>
        <v>1.173809170559867</v>
      </c>
      <c r="CC188" s="32">
        <f t="shared" si="249"/>
        <v>0.20031733043738451</v>
      </c>
      <c r="CD188" s="32" t="e">
        <f t="shared" si="250"/>
        <v>#N/A</v>
      </c>
      <c r="CE188" s="32" t="e">
        <f t="shared" si="251"/>
        <v>#N/A</v>
      </c>
      <c r="CF188" s="32" t="e">
        <f t="shared" si="252"/>
        <v>#N/A</v>
      </c>
      <c r="CG188" s="32" t="b">
        <f t="shared" si="253"/>
        <v>0</v>
      </c>
      <c r="CH188" s="32" t="b">
        <f t="shared" si="254"/>
        <v>1</v>
      </c>
      <c r="CI188" s="32" t="b">
        <f t="shared" si="255"/>
        <v>0</v>
      </c>
      <c r="CJ188" s="32" t="b">
        <f t="shared" si="256"/>
        <v>1</v>
      </c>
      <c r="CK188" s="32">
        <f t="shared" si="321"/>
        <v>0.20031733043738451</v>
      </c>
      <c r="CL188" s="32" t="e">
        <f t="shared" si="257"/>
        <v>#N/A</v>
      </c>
      <c r="CM188" s="32">
        <f t="shared" si="258"/>
        <v>0.20031733043738451</v>
      </c>
      <c r="CN188" s="45" t="str">
        <f t="shared" si="259"/>
        <v/>
      </c>
      <c r="CO188" s="32">
        <f>_xlfn.NORM.DIST(_xlfn.NORM.INV(1-Eu_g_konfidensniveau,0,1)-Eu_tabel_g[[#This Row],[x base]],0,1,TRUE)</f>
        <v>2.4112074767851824E-3</v>
      </c>
      <c r="CP188" s="32">
        <f>1-_xlfn.NORM.DIST(_xlfn.NORM.INV(Eu_g_konfidensniveau,0,1)-Eu_tabel_g[[#This Row],[x base]],0,1,TRUE)</f>
        <v>0.31880449413911849</v>
      </c>
      <c r="CQ188" s="32">
        <f>_xlfn.NORM.DIST(_xlfn.NORM.INV((1-Eu_g_konfidensniveau)/2,0,1)-Eu_tabel_g[[#This Row],[x base]],0,1,TRUE)+1-_xlfn.NORM.DIST(_xlfn.NORM.INV(1-(1-Eu_g_konfidensniveau)/2,0,1)-Eu_tabel_g[[#This Row],[x base]],0,1,TRUE)</f>
        <v>0.21675126840622105</v>
      </c>
      <c r="CR188" s="32" t="e" cm="1">
        <f t="array" ref="CR188">IF($CR$3,INDEX(Eu_tabel_g[[#This Row],[Styrke venstre]:[Styrke tosidet]],CR$7),NA())</f>
        <v>#N/A</v>
      </c>
      <c r="CS188" s="52" t="e">
        <f>Eu_tabel_g[[#This Row],[Falsk positiv
Nulhypotese accepteres
Fejltype 1]]</f>
        <v>#N/A</v>
      </c>
      <c r="CT188" s="52" t="e">
        <f>IF(CHOOSE(CR$7,Eu_tabel_g[[#This Row],[x base]]&gt;0,Eu_tabel_g[[#This Row],[x base]]&lt;0,Eu_tabel_g[[#This Row],[x base]]=0),Eu_tabel_g[[#This Row],[Styrke, aktiv]],NA())</f>
        <v>#N/A</v>
      </c>
      <c r="CU188" s="52" t="e">
        <f>IFERROR(IF($CR$3,Eu_tabel_g[[#This Row],[Styrke, aktiv]],NA()),NA())</f>
        <v>#N/A</v>
      </c>
      <c r="CV188" s="52" t="e">
        <f>IF(ISNA(Eu_tabel_g[[#This Row],[Sand negativ
Nulhypotese afvises
Korrekt]]),NA(),IF($CR$3,1,NA()))</f>
        <v>#N/A</v>
      </c>
      <c r="CW188" s="34" t="str" cm="1">
        <f t="array" ref="CW188">_xlfn.SWITCH(BZ188,_xlfn.IFNA(CU$2,-99),CU$5,_xlfn.IFNA(CU$3,-99),CU$6,_xlfn.IFNA(CU$4,-99),CU$7,"")</f>
        <v/>
      </c>
      <c r="DA188" s="7">
        <f t="shared" si="260"/>
        <v>0.8</v>
      </c>
      <c r="DB188">
        <f>IF(ROW(Styrkeberegning_G[[#This Row],[X base venstre]])=ROW(Styrkeberegning_G[[#Headers],[X base venstre]])+1,DB$7/(DA$7/$B$67),DB187/(DA187/$B$67))</f>
        <v>-2.8015817870135784</v>
      </c>
      <c r="DC188">
        <f>Styrkeberegning_G[[#This Row],[X base venstre]]*-1</f>
        <v>2.8015817870135784</v>
      </c>
      <c r="DN188" s="32">
        <f t="shared" si="261"/>
        <v>178</v>
      </c>
      <c r="DO188" s="32">
        <f t="shared" si="262"/>
        <v>179</v>
      </c>
      <c r="DP188" s="32">
        <f t="shared" si="263"/>
        <v>22.13846510687987</v>
      </c>
      <c r="DQ188" s="32" t="e">
        <f t="shared" si="264"/>
        <v>#N/A</v>
      </c>
      <c r="DR188" s="32" t="e">
        <f t="shared" si="265"/>
        <v>#N/A</v>
      </c>
      <c r="DS188" s="32">
        <f t="shared" si="266"/>
        <v>7.4359322344494704E-3</v>
      </c>
      <c r="DT188" s="32" t="e">
        <f t="shared" si="267"/>
        <v>#N/A</v>
      </c>
      <c r="DU188" s="32" t="b">
        <f t="shared" si="268"/>
        <v>0</v>
      </c>
      <c r="DV188" s="32" t="b">
        <f t="shared" si="269"/>
        <v>1</v>
      </c>
      <c r="DW188" s="32" t="b">
        <f t="shared" si="270"/>
        <v>1</v>
      </c>
      <c r="DX188" s="32" t="b">
        <f t="shared" si="271"/>
        <v>0</v>
      </c>
      <c r="DY188" s="32">
        <f t="shared" si="272"/>
        <v>7.4359322344494704E-3</v>
      </c>
      <c r="DZ188" s="32">
        <f t="shared" si="273"/>
        <v>7.4359322344494704E-3</v>
      </c>
      <c r="EA188" s="32" t="e">
        <f t="shared" si="274"/>
        <v>#N/A</v>
      </c>
      <c r="EB188" s="45" t="str">
        <f t="shared" si="275"/>
        <v/>
      </c>
      <c r="EG188" s="32">
        <f t="shared" si="276"/>
        <v>178</v>
      </c>
      <c r="EH188" s="32">
        <f t="shared" si="277"/>
        <v>179</v>
      </c>
      <c r="EI188" s="32">
        <f t="shared" si="278"/>
        <v>1.173809170559867</v>
      </c>
      <c r="EJ188" s="32">
        <f t="shared" si="279"/>
        <v>0.20031733043738451</v>
      </c>
      <c r="EK188" s="32" t="e">
        <f t="shared" si="280"/>
        <v>#N/A</v>
      </c>
      <c r="EL188" s="32" t="e">
        <f t="shared" si="281"/>
        <v>#N/A</v>
      </c>
      <c r="EM188" s="32" t="e">
        <f t="shared" si="282"/>
        <v>#N/A</v>
      </c>
      <c r="EN188" s="32" t="b">
        <f t="shared" si="283"/>
        <v>0</v>
      </c>
      <c r="EO188" s="32" t="b">
        <f t="shared" si="284"/>
        <v>1</v>
      </c>
      <c r="EP188" s="32" t="b">
        <f t="shared" si="285"/>
        <v>0</v>
      </c>
      <c r="EQ188" s="32" t="b">
        <f t="shared" si="286"/>
        <v>1</v>
      </c>
      <c r="ER188" s="32">
        <f t="shared" si="287"/>
        <v>0.20031733043738451</v>
      </c>
      <c r="ES188" s="32" t="e">
        <f t="shared" si="288"/>
        <v>#N/A</v>
      </c>
      <c r="ET188" s="32">
        <f t="shared" si="289"/>
        <v>0.20031733043738451</v>
      </c>
      <c r="EU188" s="45" t="str">
        <f t="shared" si="290"/>
        <v/>
      </c>
      <c r="EV18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8" s="32" t="e" cm="1">
        <f t="array" ref="EY188">IF($CR$3,INDEX(Eu_tabel_a[[#This Row],[Styrke venstre]:[Styrke tosidet]],EY$7),NA())</f>
        <v>#N/A</v>
      </c>
      <c r="EZ188" s="32" t="e">
        <f>IF(EY$3,IF(CHOOSE(EY$7,Eu_tabel_a[[#This Row],[x base]]&gt;0,Eu_tabel_a[[#This Row],[x base]]&lt;0,Eu_tabel_a[[#This Row],[x base]]=0),1,NA()),NA())</f>
        <v>#N/A</v>
      </c>
      <c r="FA188" s="32" t="e">
        <f>IF(CHOOSE(EY$7,Eu_tabel_a[[#This Row],[x base]]&gt;0,Eu_tabel_a[[#This Row],[x base]]&lt;0,Eu_tabel_a[[#This Row],[x base]]=0),Eu_tabel_a[[#This Row],[Styrke, aktiv]],NA())</f>
        <v>#N/A</v>
      </c>
      <c r="FB188" s="32" t="e">
        <f>IFERROR(IF($EY$3,Eu_tabel_a[[#This Row],[Styrke, aktiv]],NA()),NA())</f>
        <v>#N/A</v>
      </c>
      <c r="FC188" s="32" t="e">
        <f>IF(ISNA(Eu_tabel_a[[#This Row],[Sand negativ
Nulhypotese afvises
Korrekt]]),NA(),IF(EY$3,1,NA()))</f>
        <v>#N/A</v>
      </c>
      <c r="FD188" s="33" t="str" cm="1">
        <f t="array" ref="FD188">IFERROR(_xlfn.SWITCH(Eu_tabel_a[[#This Row],[Indeks]],_xlfn.IFNA(FB$2,-99),FB$5,_xlfn.IFNA(FB$3,-99),FB$6,_xlfn.IFNA(FB$4,-99),FB$7,""),"")</f>
        <v/>
      </c>
      <c r="FE188" s="32">
        <f>Eu_tabel_a[[#This Row],[x base]]*SQRT(Eu_a_h0_x*(1-Eu_a_h0_x)/Eu_a_n_x)+Eu_a_h0_x</f>
        <v>0</v>
      </c>
      <c r="FJ188" s="74" t="e">
        <f t="shared" si="234"/>
        <v>#N/A</v>
      </c>
      <c r="FK188" s="82" t="e">
        <f t="shared" si="322"/>
        <v>#DIV/0!</v>
      </c>
      <c r="FL188" s="7" t="e">
        <f t="shared" si="228"/>
        <v>#DIV/0!</v>
      </c>
      <c r="FM188" t="e">
        <f t="shared" si="323"/>
        <v>#DIV/0!</v>
      </c>
      <c r="FN188" s="8" t="e">
        <f t="shared" si="324"/>
        <v>#DIV/0!</v>
      </c>
      <c r="FO188" s="8" t="e">
        <f t="shared" si="325"/>
        <v>#DIV/0!</v>
      </c>
      <c r="FP188" s="81" t="e">
        <f t="shared" si="326"/>
        <v>#DIV/0!</v>
      </c>
      <c r="FQ188" s="74" t="e">
        <f t="shared" ca="1" si="229"/>
        <v>#N/A</v>
      </c>
      <c r="FR188" s="82" t="e" vm="3">
        <f t="shared" ca="1" si="235"/>
        <v>#VALUE!</v>
      </c>
      <c r="FS188" s="7" t="e" vm="3">
        <f t="shared" ca="1" si="230"/>
        <v>#VALUE!</v>
      </c>
      <c r="FT188" t="e" vm="3">
        <f t="shared" ca="1" si="224"/>
        <v>#VALUE!</v>
      </c>
      <c r="FU188" s="8" t="e" vm="3">
        <f t="shared" ca="1" si="225"/>
        <v>#VALUE!</v>
      </c>
      <c r="FV188" s="8" t="e" vm="3">
        <f t="shared" ca="1" si="226"/>
        <v>#VALUE!</v>
      </c>
      <c r="FW188" s="81" t="e" vm="3">
        <f t="shared" ca="1" si="227"/>
        <v>#VALUE!</v>
      </c>
      <c r="FX188" s="74" t="e">
        <f t="shared" si="231"/>
        <v>#N/A</v>
      </c>
      <c r="FY188" s="82" t="e">
        <f t="shared" si="236"/>
        <v>#N/A</v>
      </c>
      <c r="FZ188" s="7" t="e">
        <f t="shared" si="232"/>
        <v>#N/A</v>
      </c>
      <c r="GA188" t="e">
        <f t="shared" si="237"/>
        <v>#N/A</v>
      </c>
      <c r="GB188" s="8" t="e">
        <f t="shared" si="238"/>
        <v>#N/A</v>
      </c>
      <c r="GC188" s="8" t="e">
        <f t="shared" si="239"/>
        <v>#N/A</v>
      </c>
      <c r="GD188" s="81" t="e">
        <f t="shared" si="240"/>
        <v>#N/A</v>
      </c>
      <c r="GE188" s="74" t="e">
        <f t="shared" si="241"/>
        <v>#N/A</v>
      </c>
      <c r="GF188" s="82" t="e">
        <f t="shared" si="242"/>
        <v>#N/A</v>
      </c>
      <c r="GG188" s="7" t="e">
        <f t="shared" si="233"/>
        <v>#N/A</v>
      </c>
      <c r="GH188" t="e">
        <f t="shared" si="243"/>
        <v>#N/A</v>
      </c>
      <c r="GI188" s="8" t="e">
        <f t="shared" si="244"/>
        <v>#N/A</v>
      </c>
      <c r="GJ188" s="8" t="e">
        <f t="shared" si="245"/>
        <v>#N/A</v>
      </c>
      <c r="GK188" s="81" t="e">
        <f t="shared" si="246"/>
        <v>#N/A</v>
      </c>
      <c r="GL188" s="81"/>
      <c r="GM188" s="81"/>
      <c r="GP188" s="32">
        <f t="shared" si="291"/>
        <v>178</v>
      </c>
      <c r="GQ188" s="32">
        <f t="shared" si="292"/>
        <v>179</v>
      </c>
      <c r="GR188" s="32">
        <f t="shared" si="293"/>
        <v>1.173809170559867</v>
      </c>
      <c r="GS188" s="32">
        <f t="shared" si="294"/>
        <v>0.20031733043738451</v>
      </c>
      <c r="GT188" s="32" t="e">
        <f t="shared" si="295"/>
        <v>#N/A</v>
      </c>
      <c r="GU188" s="32" t="e">
        <f t="shared" si="296"/>
        <v>#N/A</v>
      </c>
      <c r="GV188" s="32" t="e">
        <f t="shared" si="297"/>
        <v>#N/A</v>
      </c>
      <c r="GW188" s="32" t="b">
        <f t="shared" si="298"/>
        <v>0</v>
      </c>
      <c r="GX188" s="32" t="b">
        <f t="shared" si="299"/>
        <v>1</v>
      </c>
      <c r="GY188" s="32" t="b">
        <f t="shared" si="300"/>
        <v>0</v>
      </c>
      <c r="GZ188" s="32" t="b">
        <f t="shared" si="301"/>
        <v>1</v>
      </c>
      <c r="HA188" s="32">
        <f t="shared" si="302"/>
        <v>0.20031733043738451</v>
      </c>
      <c r="HB188" s="32" t="e">
        <f t="shared" si="303"/>
        <v>#N/A</v>
      </c>
      <c r="HC188" s="32">
        <f t="shared" si="304"/>
        <v>0.20031733043738451</v>
      </c>
      <c r="HD188" s="45" t="str">
        <f t="shared" si="305"/>
        <v/>
      </c>
      <c r="HJ188" s="32">
        <f t="shared" si="306"/>
        <v>178</v>
      </c>
      <c r="HK188" s="32">
        <f t="shared" si="307"/>
        <v>179</v>
      </c>
      <c r="HL188" s="32">
        <f t="shared" si="308"/>
        <v>1.817668153513786</v>
      </c>
      <c r="HM188" s="32" t="e">
        <f t="shared" si="309"/>
        <v>#N/A</v>
      </c>
      <c r="HN188" s="32">
        <f t="shared" si="310"/>
        <v>8.2003757335797123E-2</v>
      </c>
      <c r="HO188" s="32" t="e">
        <f t="shared" si="311"/>
        <v>#N/A</v>
      </c>
      <c r="HP188" s="32" t="e">
        <f t="shared" si="312"/>
        <v>#N/A</v>
      </c>
      <c r="HQ188" s="32" t="b">
        <f t="shared" si="313"/>
        <v>0</v>
      </c>
      <c r="HR188" s="32" t="b">
        <f t="shared" si="314"/>
        <v>1</v>
      </c>
      <c r="HS188" s="32" t="b">
        <f t="shared" si="315"/>
        <v>1</v>
      </c>
      <c r="HT188" s="32" t="b">
        <f t="shared" si="316"/>
        <v>0</v>
      </c>
      <c r="HU188" s="32">
        <f t="shared" si="317"/>
        <v>8.2003757335797123E-2</v>
      </c>
      <c r="HV188" s="32" t="e">
        <f t="shared" si="318"/>
        <v>#N/A</v>
      </c>
      <c r="HW188" s="32">
        <f t="shared" si="319"/>
        <v>8.2003757335797123E-2</v>
      </c>
      <c r="HX188" s="45" t="str">
        <f t="shared" si="320"/>
        <v/>
      </c>
    </row>
    <row r="189" spans="78:232" x14ac:dyDescent="0.2">
      <c r="BZ189" s="32">
        <f t="shared" si="247"/>
        <v>179</v>
      </c>
      <c r="CA189" s="32">
        <f>Eu_tabel_g[[#This Row],[Indeks]]+1</f>
        <v>180</v>
      </c>
      <c r="CB189" s="32">
        <f t="shared" si="248"/>
        <v>1.1977644597549659</v>
      </c>
      <c r="CC189" s="32">
        <f t="shared" si="249"/>
        <v>0.1947072006985737</v>
      </c>
      <c r="CD189" s="32" t="e">
        <f t="shared" si="250"/>
        <v>#N/A</v>
      </c>
      <c r="CE189" s="32" t="e">
        <f t="shared" si="251"/>
        <v>#N/A</v>
      </c>
      <c r="CF189" s="32" t="e">
        <f t="shared" si="252"/>
        <v>#N/A</v>
      </c>
      <c r="CG189" s="32" t="b">
        <f t="shared" si="253"/>
        <v>0</v>
      </c>
      <c r="CH189" s="32" t="b">
        <f t="shared" si="254"/>
        <v>1</v>
      </c>
      <c r="CI189" s="32" t="b">
        <f t="shared" si="255"/>
        <v>0</v>
      </c>
      <c r="CJ189" s="32" t="b">
        <f t="shared" si="256"/>
        <v>1</v>
      </c>
      <c r="CK189" s="32">
        <f t="shared" si="321"/>
        <v>0.1947072006985737</v>
      </c>
      <c r="CL189" s="32" t="e">
        <f t="shared" si="257"/>
        <v>#N/A</v>
      </c>
      <c r="CM189" s="32">
        <f t="shared" si="258"/>
        <v>0.1947072006985737</v>
      </c>
      <c r="CN189" s="45" t="str">
        <f t="shared" si="259"/>
        <v/>
      </c>
      <c r="CO189" s="32">
        <f>_xlfn.NORM.DIST(_xlfn.NORM.INV(1-Eu_g_konfidensniveau,0,1)-Eu_tabel_g[[#This Row],[x base]],0,1,TRUE)</f>
        <v>2.2372326012062415E-3</v>
      </c>
      <c r="CP189" s="32">
        <f>1-_xlfn.NORM.DIST(_xlfn.NORM.INV(Eu_g_konfidensniveau,0,1)-Eu_tabel_g[[#This Row],[x base]],0,1,TRUE)</f>
        <v>0.32740534012693767</v>
      </c>
      <c r="CQ189" s="32">
        <f>_xlfn.NORM.DIST(_xlfn.NORM.INV((1-Eu_g_konfidensniveau)/2,0,1)-Eu_tabel_g[[#This Row],[x base]],0,1,TRUE)+1-_xlfn.NORM.DIST(_xlfn.NORM.INV(1-(1-Eu_g_konfidensniveau)/2,0,1)-Eu_tabel_g[[#This Row],[x base]],0,1,TRUE)</f>
        <v>0.22376548284288722</v>
      </c>
      <c r="CR189" s="32" t="e" cm="1">
        <f t="array" ref="CR189">IF($CR$3,INDEX(Eu_tabel_g[[#This Row],[Styrke venstre]:[Styrke tosidet]],CR$7),NA())</f>
        <v>#N/A</v>
      </c>
      <c r="CS189" s="52" t="e">
        <f>Eu_tabel_g[[#This Row],[Falsk positiv
Nulhypotese accepteres
Fejltype 1]]</f>
        <v>#N/A</v>
      </c>
      <c r="CT189" s="52" t="e">
        <f>IF(CHOOSE(CR$7,Eu_tabel_g[[#This Row],[x base]]&gt;0,Eu_tabel_g[[#This Row],[x base]]&lt;0,Eu_tabel_g[[#This Row],[x base]]=0),Eu_tabel_g[[#This Row],[Styrke, aktiv]],NA())</f>
        <v>#N/A</v>
      </c>
      <c r="CU189" s="52" t="e">
        <f>IFERROR(IF($CR$3,Eu_tabel_g[[#This Row],[Styrke, aktiv]],NA()),NA())</f>
        <v>#N/A</v>
      </c>
      <c r="CV189" s="52" t="e">
        <f>IF(ISNA(Eu_tabel_g[[#This Row],[Sand negativ
Nulhypotese afvises
Korrekt]]),NA(),IF($CR$3,1,NA()))</f>
        <v>#N/A</v>
      </c>
      <c r="CW189" s="34" t="str" cm="1">
        <f t="array" ref="CW189">_xlfn.SWITCH(BZ189,_xlfn.IFNA(CU$2,-99),CU$5,_xlfn.IFNA(CU$3,-99),CU$6,_xlfn.IFNA(CU$4,-99),CU$7,"")</f>
        <v/>
      </c>
      <c r="DA189" s="7">
        <f t="shared" si="260"/>
        <v>0.8</v>
      </c>
      <c r="DB189">
        <f>IF(ROW(Styrkeberegning_G[[#This Row],[X base venstre]])=ROW(Styrkeberegning_G[[#Headers],[X base venstre]])+1,DB$7/(DA$7/$B$67),DB188/(DA188/$B$67))</f>
        <v>-2.8015817870135784</v>
      </c>
      <c r="DC189">
        <f>Styrkeberegning_G[[#This Row],[X base venstre]]*-1</f>
        <v>2.8015817870135784</v>
      </c>
      <c r="DN189" s="32">
        <f t="shared" si="261"/>
        <v>179</v>
      </c>
      <c r="DO189" s="32">
        <f t="shared" si="262"/>
        <v>180</v>
      </c>
      <c r="DP189" s="32">
        <f t="shared" si="263"/>
        <v>22.252535963296872</v>
      </c>
      <c r="DQ189" s="32" t="e">
        <f t="shared" si="264"/>
        <v>#N/A</v>
      </c>
      <c r="DR189" s="32" t="e">
        <f t="shared" si="265"/>
        <v>#N/A</v>
      </c>
      <c r="DS189" s="32">
        <f t="shared" si="266"/>
        <v>7.1880199014143151E-3</v>
      </c>
      <c r="DT189" s="32" t="e">
        <f t="shared" si="267"/>
        <v>#N/A</v>
      </c>
      <c r="DU189" s="32" t="b">
        <f t="shared" si="268"/>
        <v>0</v>
      </c>
      <c r="DV189" s="32" t="b">
        <f t="shared" si="269"/>
        <v>1</v>
      </c>
      <c r="DW189" s="32" t="b">
        <f t="shared" si="270"/>
        <v>1</v>
      </c>
      <c r="DX189" s="32" t="b">
        <f t="shared" si="271"/>
        <v>0</v>
      </c>
      <c r="DY189" s="32">
        <f t="shared" si="272"/>
        <v>7.1880199014143151E-3</v>
      </c>
      <c r="DZ189" s="32">
        <f t="shared" si="273"/>
        <v>7.1880199014143151E-3</v>
      </c>
      <c r="EA189" s="32" t="e">
        <f t="shared" si="274"/>
        <v>#N/A</v>
      </c>
      <c r="EB189" s="45" t="str">
        <f t="shared" si="275"/>
        <v/>
      </c>
      <c r="EG189" s="32">
        <f t="shared" si="276"/>
        <v>179</v>
      </c>
      <c r="EH189" s="32">
        <f t="shared" si="277"/>
        <v>180</v>
      </c>
      <c r="EI189" s="32">
        <f t="shared" si="278"/>
        <v>1.1977644597549659</v>
      </c>
      <c r="EJ189" s="32">
        <f t="shared" si="279"/>
        <v>0.1947072006985737</v>
      </c>
      <c r="EK189" s="32" t="e">
        <f t="shared" si="280"/>
        <v>#N/A</v>
      </c>
      <c r="EL189" s="32" t="e">
        <f t="shared" si="281"/>
        <v>#N/A</v>
      </c>
      <c r="EM189" s="32" t="e">
        <f t="shared" si="282"/>
        <v>#N/A</v>
      </c>
      <c r="EN189" s="32" t="b">
        <f t="shared" si="283"/>
        <v>0</v>
      </c>
      <c r="EO189" s="32" t="b">
        <f t="shared" si="284"/>
        <v>1</v>
      </c>
      <c r="EP189" s="32" t="b">
        <f t="shared" si="285"/>
        <v>0</v>
      </c>
      <c r="EQ189" s="32" t="b">
        <f t="shared" si="286"/>
        <v>1</v>
      </c>
      <c r="ER189" s="32">
        <f t="shared" si="287"/>
        <v>0.1947072006985737</v>
      </c>
      <c r="ES189" s="32" t="e">
        <f t="shared" si="288"/>
        <v>#N/A</v>
      </c>
      <c r="ET189" s="32">
        <f t="shared" si="289"/>
        <v>0.1947072006985737</v>
      </c>
      <c r="EU189" s="45" t="str">
        <f t="shared" si="290"/>
        <v/>
      </c>
      <c r="EV18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9" s="32" t="e" cm="1">
        <f t="array" ref="EY189">IF($CR$3,INDEX(Eu_tabel_a[[#This Row],[Styrke venstre]:[Styrke tosidet]],EY$7),NA())</f>
        <v>#N/A</v>
      </c>
      <c r="EZ189" s="32" t="e">
        <f>IF(EY$3,IF(CHOOSE(EY$7,Eu_tabel_a[[#This Row],[x base]]&gt;0,Eu_tabel_a[[#This Row],[x base]]&lt;0,Eu_tabel_a[[#This Row],[x base]]=0),1,NA()),NA())</f>
        <v>#N/A</v>
      </c>
      <c r="FA189" s="32" t="e">
        <f>IF(CHOOSE(EY$7,Eu_tabel_a[[#This Row],[x base]]&gt;0,Eu_tabel_a[[#This Row],[x base]]&lt;0,Eu_tabel_a[[#This Row],[x base]]=0),Eu_tabel_a[[#This Row],[Styrke, aktiv]],NA())</f>
        <v>#N/A</v>
      </c>
      <c r="FB189" s="32" t="e">
        <f>IFERROR(IF($EY$3,Eu_tabel_a[[#This Row],[Styrke, aktiv]],NA()),NA())</f>
        <v>#N/A</v>
      </c>
      <c r="FC189" s="32" t="e">
        <f>IF(ISNA(Eu_tabel_a[[#This Row],[Sand negativ
Nulhypotese afvises
Korrekt]]),NA(),IF(EY$3,1,NA()))</f>
        <v>#N/A</v>
      </c>
      <c r="FD189" s="33" t="str" cm="1">
        <f t="array" ref="FD189">IFERROR(_xlfn.SWITCH(Eu_tabel_a[[#This Row],[Indeks]],_xlfn.IFNA(FB$2,-99),FB$5,_xlfn.IFNA(FB$3,-99),FB$6,_xlfn.IFNA(FB$4,-99),FB$7,""),"")</f>
        <v/>
      </c>
      <c r="FE189" s="32">
        <f>Eu_tabel_a[[#This Row],[x base]]*SQRT(Eu_a_h0_x*(1-Eu_a_h0_x)/Eu_a_n_x)+Eu_a_h0_x</f>
        <v>0</v>
      </c>
      <c r="FJ189" s="74" t="e">
        <f t="shared" si="234"/>
        <v>#N/A</v>
      </c>
      <c r="FK189" s="82" t="e">
        <f t="shared" si="322"/>
        <v>#DIV/0!</v>
      </c>
      <c r="FL189" s="7" t="e">
        <f t="shared" si="228"/>
        <v>#DIV/0!</v>
      </c>
      <c r="FM189" t="e">
        <f t="shared" si="323"/>
        <v>#DIV/0!</v>
      </c>
      <c r="FN189" s="8" t="e">
        <f t="shared" si="324"/>
        <v>#DIV/0!</v>
      </c>
      <c r="FO189" s="8" t="e">
        <f t="shared" si="325"/>
        <v>#DIV/0!</v>
      </c>
      <c r="FP189" s="81" t="e">
        <f t="shared" si="326"/>
        <v>#DIV/0!</v>
      </c>
      <c r="FQ189" s="74" t="e">
        <f t="shared" ca="1" si="229"/>
        <v>#N/A</v>
      </c>
      <c r="FR189" s="82" t="e" vm="3">
        <f t="shared" ca="1" si="235"/>
        <v>#VALUE!</v>
      </c>
      <c r="FS189" s="7" t="e" vm="3">
        <f t="shared" ca="1" si="230"/>
        <v>#VALUE!</v>
      </c>
      <c r="FT189" t="e" vm="3">
        <f t="shared" ca="1" si="224"/>
        <v>#VALUE!</v>
      </c>
      <c r="FU189" s="8" t="e" vm="3">
        <f t="shared" ca="1" si="225"/>
        <v>#VALUE!</v>
      </c>
      <c r="FV189" s="8" t="e" vm="3">
        <f t="shared" ca="1" si="226"/>
        <v>#VALUE!</v>
      </c>
      <c r="FW189" s="81" t="e" vm="3">
        <f t="shared" ca="1" si="227"/>
        <v>#VALUE!</v>
      </c>
      <c r="FX189" s="74" t="e">
        <f t="shared" si="231"/>
        <v>#N/A</v>
      </c>
      <c r="FY189" s="82" t="e">
        <f t="shared" si="236"/>
        <v>#N/A</v>
      </c>
      <c r="FZ189" s="7" t="e">
        <f t="shared" si="232"/>
        <v>#N/A</v>
      </c>
      <c r="GA189" t="e">
        <f t="shared" si="237"/>
        <v>#N/A</v>
      </c>
      <c r="GB189" s="8" t="e">
        <f t="shared" si="238"/>
        <v>#N/A</v>
      </c>
      <c r="GC189" s="8" t="e">
        <f t="shared" si="239"/>
        <v>#N/A</v>
      </c>
      <c r="GD189" s="81" t="e">
        <f t="shared" si="240"/>
        <v>#N/A</v>
      </c>
      <c r="GE189" s="74" t="e">
        <f t="shared" si="241"/>
        <v>#N/A</v>
      </c>
      <c r="GF189" s="82" t="e">
        <f t="shared" si="242"/>
        <v>#N/A</v>
      </c>
      <c r="GG189" s="7" t="e">
        <f t="shared" si="233"/>
        <v>#N/A</v>
      </c>
      <c r="GH189" t="e">
        <f t="shared" si="243"/>
        <v>#N/A</v>
      </c>
      <c r="GI189" s="8" t="e">
        <f t="shared" si="244"/>
        <v>#N/A</v>
      </c>
      <c r="GJ189" s="8" t="e">
        <f t="shared" si="245"/>
        <v>#N/A</v>
      </c>
      <c r="GK189" s="81" t="e">
        <f t="shared" si="246"/>
        <v>#N/A</v>
      </c>
      <c r="GL189" s="81"/>
      <c r="GM189" s="81"/>
      <c r="GP189" s="32">
        <f t="shared" si="291"/>
        <v>179</v>
      </c>
      <c r="GQ189" s="32">
        <f t="shared" si="292"/>
        <v>180</v>
      </c>
      <c r="GR189" s="32">
        <f t="shared" si="293"/>
        <v>1.1977644597549659</v>
      </c>
      <c r="GS189" s="32">
        <f t="shared" si="294"/>
        <v>0.1947072006985737</v>
      </c>
      <c r="GT189" s="32" t="e">
        <f t="shared" si="295"/>
        <v>#N/A</v>
      </c>
      <c r="GU189" s="32" t="e">
        <f t="shared" si="296"/>
        <v>#N/A</v>
      </c>
      <c r="GV189" s="32" t="e">
        <f t="shared" si="297"/>
        <v>#N/A</v>
      </c>
      <c r="GW189" s="32" t="b">
        <f t="shared" si="298"/>
        <v>0</v>
      </c>
      <c r="GX189" s="32" t="b">
        <f t="shared" si="299"/>
        <v>1</v>
      </c>
      <c r="GY189" s="32" t="b">
        <f t="shared" si="300"/>
        <v>0</v>
      </c>
      <c r="GZ189" s="32" t="b">
        <f t="shared" si="301"/>
        <v>1</v>
      </c>
      <c r="HA189" s="32">
        <f t="shared" si="302"/>
        <v>0.1947072006985737</v>
      </c>
      <c r="HB189" s="32" t="e">
        <f t="shared" si="303"/>
        <v>#N/A</v>
      </c>
      <c r="HC189" s="32">
        <f t="shared" si="304"/>
        <v>0.1947072006985737</v>
      </c>
      <c r="HD189" s="45" t="str">
        <f t="shared" si="305"/>
        <v/>
      </c>
      <c r="HJ189" s="32">
        <f t="shared" si="306"/>
        <v>179</v>
      </c>
      <c r="HK189" s="32">
        <f t="shared" si="307"/>
        <v>180</v>
      </c>
      <c r="HL189" s="32">
        <f t="shared" si="308"/>
        <v>1.8547634219528426</v>
      </c>
      <c r="HM189" s="32" t="e">
        <f t="shared" si="309"/>
        <v>#N/A</v>
      </c>
      <c r="HN189" s="32">
        <f t="shared" si="310"/>
        <v>7.7806652771627752E-2</v>
      </c>
      <c r="HO189" s="32" t="e">
        <f t="shared" si="311"/>
        <v>#N/A</v>
      </c>
      <c r="HP189" s="32" t="e">
        <f t="shared" si="312"/>
        <v>#N/A</v>
      </c>
      <c r="HQ189" s="32" t="b">
        <f t="shared" si="313"/>
        <v>0</v>
      </c>
      <c r="HR189" s="32" t="b">
        <f t="shared" si="314"/>
        <v>1</v>
      </c>
      <c r="HS189" s="32" t="b">
        <f t="shared" si="315"/>
        <v>1</v>
      </c>
      <c r="HT189" s="32" t="b">
        <f t="shared" si="316"/>
        <v>0</v>
      </c>
      <c r="HU189" s="32">
        <f t="shared" si="317"/>
        <v>7.7806652771627752E-2</v>
      </c>
      <c r="HV189" s="32" t="e">
        <f t="shared" si="318"/>
        <v>#N/A</v>
      </c>
      <c r="HW189" s="32">
        <f t="shared" si="319"/>
        <v>7.7806652771627752E-2</v>
      </c>
      <c r="HX189" s="45" t="str">
        <f t="shared" si="320"/>
        <v/>
      </c>
    </row>
    <row r="190" spans="78:232" x14ac:dyDescent="0.2">
      <c r="BZ190" s="32">
        <f t="shared" si="247"/>
        <v>180</v>
      </c>
      <c r="CA190" s="32">
        <f>Eu_tabel_g[[#This Row],[Indeks]]+1</f>
        <v>181</v>
      </c>
      <c r="CB190" s="32">
        <f t="shared" si="248"/>
        <v>1.2217197489500657</v>
      </c>
      <c r="CC190" s="32">
        <f t="shared" si="249"/>
        <v>0.18914561597203963</v>
      </c>
      <c r="CD190" s="32" t="e">
        <f t="shared" si="250"/>
        <v>#N/A</v>
      </c>
      <c r="CE190" s="32" t="e">
        <f t="shared" si="251"/>
        <v>#N/A</v>
      </c>
      <c r="CF190" s="32" t="e">
        <f t="shared" si="252"/>
        <v>#N/A</v>
      </c>
      <c r="CG190" s="32" t="b">
        <f t="shared" si="253"/>
        <v>0</v>
      </c>
      <c r="CH190" s="32" t="b">
        <f t="shared" si="254"/>
        <v>1</v>
      </c>
      <c r="CI190" s="32" t="b">
        <f t="shared" si="255"/>
        <v>0</v>
      </c>
      <c r="CJ190" s="32" t="b">
        <f t="shared" si="256"/>
        <v>1</v>
      </c>
      <c r="CK190" s="32">
        <f t="shared" ref="CK190:CK221" si="327">_xlfn.AGGREGATE(9,6,CC190:CF190)</f>
        <v>0.18914561597203963</v>
      </c>
      <c r="CL190" s="32" t="e">
        <f t="shared" si="257"/>
        <v>#N/A</v>
      </c>
      <c r="CM190" s="32">
        <f t="shared" si="258"/>
        <v>0.18914561597203963</v>
      </c>
      <c r="CN190" s="45" t="str">
        <f t="shared" si="259"/>
        <v/>
      </c>
      <c r="CO190" s="32">
        <f>_xlfn.NORM.DIST(_xlfn.NORM.INV(1-Eu_g_konfidensniveau,0,1)-Eu_tabel_g[[#This Row],[x base]],0,1,TRUE)</f>
        <v>2.0747097827240502E-3</v>
      </c>
      <c r="CP190" s="32">
        <f>1-_xlfn.NORM.DIST(_xlfn.NORM.INV(Eu_g_konfidensniveau,0,1)-Eu_tabel_g[[#This Row],[x base]],0,1,TRUE)</f>
        <v>0.33609879307128609</v>
      </c>
      <c r="CQ190" s="32">
        <f>_xlfn.NORM.DIST(_xlfn.NORM.INV((1-Eu_g_konfidensniveau)/2,0,1)-Eu_tabel_g[[#This Row],[x base]],0,1,TRUE)+1-_xlfn.NORM.DIST(_xlfn.NORM.INV(1-(1-Eu_g_konfidensniveau)/2,0,1)-Eu_tabel_g[[#This Row],[x base]],0,1,TRUE)</f>
        <v>0.23091513127223462</v>
      </c>
      <c r="CR190" s="32" t="e" cm="1">
        <f t="array" ref="CR190">IF($CR$3,INDEX(Eu_tabel_g[[#This Row],[Styrke venstre]:[Styrke tosidet]],CR$7),NA())</f>
        <v>#N/A</v>
      </c>
      <c r="CS190" s="52" t="e">
        <f>Eu_tabel_g[[#This Row],[Falsk positiv
Nulhypotese accepteres
Fejltype 1]]</f>
        <v>#N/A</v>
      </c>
      <c r="CT190" s="52" t="e">
        <f>IF(CHOOSE(CR$7,Eu_tabel_g[[#This Row],[x base]]&gt;0,Eu_tabel_g[[#This Row],[x base]]&lt;0,Eu_tabel_g[[#This Row],[x base]]=0),Eu_tabel_g[[#This Row],[Styrke, aktiv]],NA())</f>
        <v>#N/A</v>
      </c>
      <c r="CU190" s="52" t="e">
        <f>IFERROR(IF($CR$3,Eu_tabel_g[[#This Row],[Styrke, aktiv]],NA()),NA())</f>
        <v>#N/A</v>
      </c>
      <c r="CV190" s="52" t="e">
        <f>IF(ISNA(Eu_tabel_g[[#This Row],[Sand negativ
Nulhypotese afvises
Korrekt]]),NA(),IF($CR$3,1,NA()))</f>
        <v>#N/A</v>
      </c>
      <c r="CW190" s="34" t="str" cm="1">
        <f t="array" ref="CW190">_xlfn.SWITCH(BZ190,_xlfn.IFNA(CU$2,-99),CU$5,_xlfn.IFNA(CU$3,-99),CU$6,_xlfn.IFNA(CU$4,-99),CU$7,"")</f>
        <v/>
      </c>
      <c r="DA190" s="7">
        <f t="shared" si="260"/>
        <v>0.8</v>
      </c>
      <c r="DB190">
        <f>IF(ROW(Styrkeberegning_G[[#This Row],[X base venstre]])=ROW(Styrkeberegning_G[[#Headers],[X base venstre]])+1,DB$7/(DA$7/$B$67),DB189/(DA189/$B$67))</f>
        <v>-2.8015817870135784</v>
      </c>
      <c r="DC190">
        <f>Styrkeberegning_G[[#This Row],[X base venstre]]*-1</f>
        <v>2.8015817870135784</v>
      </c>
      <c r="DN190" s="32">
        <f t="shared" si="261"/>
        <v>180</v>
      </c>
      <c r="DO190" s="32">
        <f t="shared" si="262"/>
        <v>181</v>
      </c>
      <c r="DP190" s="32">
        <f t="shared" si="263"/>
        <v>22.366606819713869</v>
      </c>
      <c r="DQ190" s="32" t="e">
        <f t="shared" si="264"/>
        <v>#N/A</v>
      </c>
      <c r="DR190" s="32" t="e">
        <f t="shared" si="265"/>
        <v>#N/A</v>
      </c>
      <c r="DS190" s="32">
        <f t="shared" si="266"/>
        <v>6.9475513000146864E-3</v>
      </c>
      <c r="DT190" s="32" t="e">
        <f t="shared" si="267"/>
        <v>#N/A</v>
      </c>
      <c r="DU190" s="32" t="b">
        <f t="shared" si="268"/>
        <v>0</v>
      </c>
      <c r="DV190" s="32" t="b">
        <f t="shared" si="269"/>
        <v>1</v>
      </c>
      <c r="DW190" s="32" t="b">
        <f t="shared" si="270"/>
        <v>1</v>
      </c>
      <c r="DX190" s="32" t="b">
        <f t="shared" si="271"/>
        <v>0</v>
      </c>
      <c r="DY190" s="32">
        <f t="shared" si="272"/>
        <v>6.9475513000146864E-3</v>
      </c>
      <c r="DZ190" s="32">
        <f t="shared" si="273"/>
        <v>6.9475513000146864E-3</v>
      </c>
      <c r="EA190" s="32" t="e">
        <f t="shared" si="274"/>
        <v>#N/A</v>
      </c>
      <c r="EB190" s="45" t="str">
        <f t="shared" si="275"/>
        <v/>
      </c>
      <c r="EG190" s="32">
        <f t="shared" si="276"/>
        <v>180</v>
      </c>
      <c r="EH190" s="32">
        <f t="shared" si="277"/>
        <v>181</v>
      </c>
      <c r="EI190" s="32">
        <f t="shared" si="278"/>
        <v>1.2217197489500657</v>
      </c>
      <c r="EJ190" s="32">
        <f t="shared" si="279"/>
        <v>0.18914561597203963</v>
      </c>
      <c r="EK190" s="32" t="e">
        <f t="shared" si="280"/>
        <v>#N/A</v>
      </c>
      <c r="EL190" s="32" t="e">
        <f t="shared" si="281"/>
        <v>#N/A</v>
      </c>
      <c r="EM190" s="32" t="e">
        <f t="shared" si="282"/>
        <v>#N/A</v>
      </c>
      <c r="EN190" s="32" t="b">
        <f t="shared" si="283"/>
        <v>0</v>
      </c>
      <c r="EO190" s="32" t="b">
        <f t="shared" si="284"/>
        <v>1</v>
      </c>
      <c r="EP190" s="32" t="b">
        <f t="shared" si="285"/>
        <v>0</v>
      </c>
      <c r="EQ190" s="32" t="b">
        <f t="shared" si="286"/>
        <v>1</v>
      </c>
      <c r="ER190" s="32">
        <f t="shared" si="287"/>
        <v>0.18914561597203963</v>
      </c>
      <c r="ES190" s="32" t="e">
        <f t="shared" si="288"/>
        <v>#N/A</v>
      </c>
      <c r="ET190" s="32">
        <f t="shared" si="289"/>
        <v>0.18914561597203963</v>
      </c>
      <c r="EU190" s="45" t="str">
        <f t="shared" si="290"/>
        <v/>
      </c>
      <c r="EV19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0" s="32" t="e" cm="1">
        <f t="array" ref="EY190">IF($CR$3,INDEX(Eu_tabel_a[[#This Row],[Styrke venstre]:[Styrke tosidet]],EY$7),NA())</f>
        <v>#N/A</v>
      </c>
      <c r="EZ190" s="32" t="e">
        <f>IF(EY$3,IF(CHOOSE(EY$7,Eu_tabel_a[[#This Row],[x base]]&gt;0,Eu_tabel_a[[#This Row],[x base]]&lt;0,Eu_tabel_a[[#This Row],[x base]]=0),1,NA()),NA())</f>
        <v>#N/A</v>
      </c>
      <c r="FA190" s="32" t="e">
        <f>IF(CHOOSE(EY$7,Eu_tabel_a[[#This Row],[x base]]&gt;0,Eu_tabel_a[[#This Row],[x base]]&lt;0,Eu_tabel_a[[#This Row],[x base]]=0),Eu_tabel_a[[#This Row],[Styrke, aktiv]],NA())</f>
        <v>#N/A</v>
      </c>
      <c r="FB190" s="32" t="e">
        <f>IFERROR(IF($EY$3,Eu_tabel_a[[#This Row],[Styrke, aktiv]],NA()),NA())</f>
        <v>#N/A</v>
      </c>
      <c r="FC190" s="32" t="e">
        <f>IF(ISNA(Eu_tabel_a[[#This Row],[Sand negativ
Nulhypotese afvises
Korrekt]]),NA(),IF(EY$3,1,NA()))</f>
        <v>#N/A</v>
      </c>
      <c r="FD190" s="33" t="str" cm="1">
        <f t="array" ref="FD190">IFERROR(_xlfn.SWITCH(Eu_tabel_a[[#This Row],[Indeks]],_xlfn.IFNA(FB$2,-99),FB$5,_xlfn.IFNA(FB$3,-99),FB$6,_xlfn.IFNA(FB$4,-99),FB$7,""),"")</f>
        <v/>
      </c>
      <c r="FE190" s="32">
        <f>Eu_tabel_a[[#This Row],[x base]]*SQRT(Eu_a_h0_x*(1-Eu_a_h0_x)/Eu_a_n_x)+Eu_a_h0_x</f>
        <v>0</v>
      </c>
      <c r="FJ190" s="74" t="e">
        <f t="shared" si="234"/>
        <v>#N/A</v>
      </c>
      <c r="FK190" s="82" t="e">
        <f t="shared" si="322"/>
        <v>#DIV/0!</v>
      </c>
      <c r="FL190" s="7" t="e">
        <f t="shared" si="228"/>
        <v>#DIV/0!</v>
      </c>
      <c r="FM190" t="e">
        <f t="shared" si="323"/>
        <v>#DIV/0!</v>
      </c>
      <c r="FN190" s="8" t="e">
        <f t="shared" si="324"/>
        <v>#DIV/0!</v>
      </c>
      <c r="FO190" s="8" t="e">
        <f t="shared" si="325"/>
        <v>#DIV/0!</v>
      </c>
      <c r="FP190" s="81" t="e">
        <f t="shared" si="326"/>
        <v>#DIV/0!</v>
      </c>
      <c r="FQ190" s="74" t="e">
        <f t="shared" ca="1" si="229"/>
        <v>#N/A</v>
      </c>
      <c r="FR190" s="82" t="e" vm="3">
        <f t="shared" ca="1" si="235"/>
        <v>#VALUE!</v>
      </c>
      <c r="FS190" s="7" t="e" vm="3">
        <f t="shared" ca="1" si="230"/>
        <v>#VALUE!</v>
      </c>
      <c r="FT190" t="e" vm="3">
        <f t="shared" ca="1" si="224"/>
        <v>#VALUE!</v>
      </c>
      <c r="FU190" s="8" t="e" vm="3">
        <f t="shared" ca="1" si="225"/>
        <v>#VALUE!</v>
      </c>
      <c r="FV190" s="8" t="e" vm="3">
        <f t="shared" ca="1" si="226"/>
        <v>#VALUE!</v>
      </c>
      <c r="FW190" s="81" t="e" vm="3">
        <f t="shared" ca="1" si="227"/>
        <v>#VALUE!</v>
      </c>
      <c r="FX190" s="74" t="e">
        <f t="shared" si="231"/>
        <v>#N/A</v>
      </c>
      <c r="FY190" s="82" t="e">
        <f t="shared" si="236"/>
        <v>#N/A</v>
      </c>
      <c r="FZ190" s="7" t="e">
        <f t="shared" si="232"/>
        <v>#N/A</v>
      </c>
      <c r="GA190" t="e">
        <f t="shared" si="237"/>
        <v>#N/A</v>
      </c>
      <c r="GB190" s="8" t="e">
        <f t="shared" si="238"/>
        <v>#N/A</v>
      </c>
      <c r="GC190" s="8" t="e">
        <f t="shared" si="239"/>
        <v>#N/A</v>
      </c>
      <c r="GD190" s="81" t="e">
        <f t="shared" si="240"/>
        <v>#N/A</v>
      </c>
      <c r="GE190" s="74" t="e">
        <f t="shared" si="241"/>
        <v>#N/A</v>
      </c>
      <c r="GF190" s="82" t="e">
        <f t="shared" si="242"/>
        <v>#N/A</v>
      </c>
      <c r="GG190" s="7" t="e">
        <f t="shared" si="233"/>
        <v>#N/A</v>
      </c>
      <c r="GH190" t="e">
        <f t="shared" si="243"/>
        <v>#N/A</v>
      </c>
      <c r="GI190" s="8" t="e">
        <f t="shared" si="244"/>
        <v>#N/A</v>
      </c>
      <c r="GJ190" s="8" t="e">
        <f t="shared" si="245"/>
        <v>#N/A</v>
      </c>
      <c r="GK190" s="81" t="e">
        <f t="shared" si="246"/>
        <v>#N/A</v>
      </c>
      <c r="GL190" s="81"/>
      <c r="GM190" s="81"/>
      <c r="GP190" s="32">
        <f t="shared" si="291"/>
        <v>180</v>
      </c>
      <c r="GQ190" s="32">
        <f t="shared" si="292"/>
        <v>181</v>
      </c>
      <c r="GR190" s="32">
        <f t="shared" si="293"/>
        <v>1.2217197489500657</v>
      </c>
      <c r="GS190" s="32">
        <f t="shared" si="294"/>
        <v>0.18914561597203963</v>
      </c>
      <c r="GT190" s="32" t="e">
        <f t="shared" si="295"/>
        <v>#N/A</v>
      </c>
      <c r="GU190" s="32" t="e">
        <f t="shared" si="296"/>
        <v>#N/A</v>
      </c>
      <c r="GV190" s="32" t="e">
        <f t="shared" si="297"/>
        <v>#N/A</v>
      </c>
      <c r="GW190" s="32" t="b">
        <f t="shared" si="298"/>
        <v>0</v>
      </c>
      <c r="GX190" s="32" t="b">
        <f t="shared" si="299"/>
        <v>1</v>
      </c>
      <c r="GY190" s="32" t="b">
        <f t="shared" si="300"/>
        <v>0</v>
      </c>
      <c r="GZ190" s="32" t="b">
        <f t="shared" si="301"/>
        <v>1</v>
      </c>
      <c r="HA190" s="32">
        <f t="shared" si="302"/>
        <v>0.18914561597203963</v>
      </c>
      <c r="HB190" s="32" t="e">
        <f t="shared" si="303"/>
        <v>#N/A</v>
      </c>
      <c r="HC190" s="32">
        <f t="shared" si="304"/>
        <v>0.18914561597203963</v>
      </c>
      <c r="HD190" s="45" t="str">
        <f t="shared" si="305"/>
        <v/>
      </c>
      <c r="HJ190" s="32">
        <f t="shared" si="306"/>
        <v>180</v>
      </c>
      <c r="HK190" s="32">
        <f t="shared" si="307"/>
        <v>181</v>
      </c>
      <c r="HL190" s="32">
        <f t="shared" si="308"/>
        <v>1.8918586903918992</v>
      </c>
      <c r="HM190" s="32" t="e">
        <f t="shared" si="309"/>
        <v>#N/A</v>
      </c>
      <c r="HN190" s="32">
        <f t="shared" si="310"/>
        <v>7.3797821923210966E-2</v>
      </c>
      <c r="HO190" s="32" t="e">
        <f t="shared" si="311"/>
        <v>#N/A</v>
      </c>
      <c r="HP190" s="32" t="e">
        <f t="shared" si="312"/>
        <v>#N/A</v>
      </c>
      <c r="HQ190" s="32" t="b">
        <f t="shared" si="313"/>
        <v>0</v>
      </c>
      <c r="HR190" s="32" t="b">
        <f t="shared" si="314"/>
        <v>1</v>
      </c>
      <c r="HS190" s="32" t="b">
        <f t="shared" si="315"/>
        <v>1</v>
      </c>
      <c r="HT190" s="32" t="b">
        <f t="shared" si="316"/>
        <v>0</v>
      </c>
      <c r="HU190" s="32">
        <f t="shared" si="317"/>
        <v>7.3797821923210966E-2</v>
      </c>
      <c r="HV190" s="32" t="e">
        <f t="shared" si="318"/>
        <v>#N/A</v>
      </c>
      <c r="HW190" s="32">
        <f t="shared" si="319"/>
        <v>7.3797821923210966E-2</v>
      </c>
      <c r="HX190" s="45" t="str">
        <f t="shared" si="320"/>
        <v/>
      </c>
    </row>
    <row r="191" spans="78:232" x14ac:dyDescent="0.2">
      <c r="BZ191" s="32">
        <f t="shared" si="247"/>
        <v>181</v>
      </c>
      <c r="CA191" s="32">
        <f>Eu_tabel_g[[#This Row],[Indeks]]+1</f>
        <v>182</v>
      </c>
      <c r="CB191" s="32">
        <f t="shared" si="248"/>
        <v>1.2456750381451647</v>
      </c>
      <c r="CC191" s="32">
        <f t="shared" si="249"/>
        <v>0.18363747975432304</v>
      </c>
      <c r="CD191" s="32" t="e">
        <f t="shared" si="250"/>
        <v>#N/A</v>
      </c>
      <c r="CE191" s="32" t="e">
        <f t="shared" si="251"/>
        <v>#N/A</v>
      </c>
      <c r="CF191" s="32" t="e">
        <f t="shared" si="252"/>
        <v>#N/A</v>
      </c>
      <c r="CG191" s="32" t="b">
        <f t="shared" si="253"/>
        <v>0</v>
      </c>
      <c r="CH191" s="32" t="b">
        <f t="shared" si="254"/>
        <v>1</v>
      </c>
      <c r="CI191" s="32" t="b">
        <f t="shared" si="255"/>
        <v>0</v>
      </c>
      <c r="CJ191" s="32" t="b">
        <f t="shared" si="256"/>
        <v>1</v>
      </c>
      <c r="CK191" s="32">
        <f t="shared" si="327"/>
        <v>0.18363747975432304</v>
      </c>
      <c r="CL191" s="32" t="e">
        <f t="shared" si="257"/>
        <v>#N/A</v>
      </c>
      <c r="CM191" s="32">
        <f t="shared" si="258"/>
        <v>0.18363747975432304</v>
      </c>
      <c r="CN191" s="45" t="str">
        <f t="shared" si="259"/>
        <v/>
      </c>
      <c r="CO191" s="32">
        <f>_xlfn.NORM.DIST(_xlfn.NORM.INV(1-Eu_g_konfidensniveau,0,1)-Eu_tabel_g[[#This Row],[x base]],0,1,TRUE)</f>
        <v>1.9229722753726902E-3</v>
      </c>
      <c r="CP191" s="32">
        <f>1-_xlfn.NORM.DIST(_xlfn.NORM.INV(Eu_g_konfidensniveau,0,1)-Eu_tabel_g[[#This Row],[x base]],0,1,TRUE)</f>
        <v>0.34488080927221854</v>
      </c>
      <c r="CQ191" s="32">
        <f>_xlfn.NORM.DIST(_xlfn.NORM.INV((1-Eu_g_konfidensniveau)/2,0,1)-Eu_tabel_g[[#This Row],[x base]],0,1,TRUE)+1-_xlfn.NORM.DIST(_xlfn.NORM.INV(1-(1-Eu_g_konfidensniveau)/2,0,1)-Eu_tabel_g[[#This Row],[x base]],0,1,TRUE)</f>
        <v>0.23819807758479283</v>
      </c>
      <c r="CR191" s="32" t="e" cm="1">
        <f t="array" ref="CR191">IF($CR$3,INDEX(Eu_tabel_g[[#This Row],[Styrke venstre]:[Styrke tosidet]],CR$7),NA())</f>
        <v>#N/A</v>
      </c>
      <c r="CS191" s="52" t="e">
        <f>Eu_tabel_g[[#This Row],[Falsk positiv
Nulhypotese accepteres
Fejltype 1]]</f>
        <v>#N/A</v>
      </c>
      <c r="CT191" s="52" t="e">
        <f>IF(CHOOSE(CR$7,Eu_tabel_g[[#This Row],[x base]]&gt;0,Eu_tabel_g[[#This Row],[x base]]&lt;0,Eu_tabel_g[[#This Row],[x base]]=0),Eu_tabel_g[[#This Row],[Styrke, aktiv]],NA())</f>
        <v>#N/A</v>
      </c>
      <c r="CU191" s="52" t="e">
        <f>IFERROR(IF($CR$3,Eu_tabel_g[[#This Row],[Styrke, aktiv]],NA()),NA())</f>
        <v>#N/A</v>
      </c>
      <c r="CV191" s="52" t="e">
        <f>IF(ISNA(Eu_tabel_g[[#This Row],[Sand negativ
Nulhypotese afvises
Korrekt]]),NA(),IF($CR$3,1,NA()))</f>
        <v>#N/A</v>
      </c>
      <c r="CW191" s="34" t="str" cm="1">
        <f t="array" ref="CW191">_xlfn.SWITCH(BZ191,_xlfn.IFNA(CU$2,-99),CU$5,_xlfn.IFNA(CU$3,-99),CU$6,_xlfn.IFNA(CU$4,-99),CU$7,"")</f>
        <v/>
      </c>
      <c r="DA191" s="7">
        <f t="shared" si="260"/>
        <v>0.8</v>
      </c>
      <c r="DB191">
        <f>IF(ROW(Styrkeberegning_G[[#This Row],[X base venstre]])=ROW(Styrkeberegning_G[[#Headers],[X base venstre]])+1,DB$7/(DA$7/$B$67),DB190/(DA190/$B$67))</f>
        <v>-2.8015817870135784</v>
      </c>
      <c r="DC191">
        <f>Styrkeberegning_G[[#This Row],[X base venstre]]*-1</f>
        <v>2.8015817870135784</v>
      </c>
      <c r="DN191" s="32">
        <f t="shared" si="261"/>
        <v>181</v>
      </c>
      <c r="DO191" s="32">
        <f t="shared" si="262"/>
        <v>182</v>
      </c>
      <c r="DP191" s="32">
        <f t="shared" si="263"/>
        <v>22.48067767613087</v>
      </c>
      <c r="DQ191" s="32" t="e">
        <f t="shared" si="264"/>
        <v>#N/A</v>
      </c>
      <c r="DR191" s="32" t="e">
        <f t="shared" si="265"/>
        <v>#N/A</v>
      </c>
      <c r="DS191" s="32">
        <f t="shared" si="266"/>
        <v>6.7143414024175164E-3</v>
      </c>
      <c r="DT191" s="32" t="e">
        <f t="shared" si="267"/>
        <v>#N/A</v>
      </c>
      <c r="DU191" s="32" t="b">
        <f t="shared" si="268"/>
        <v>0</v>
      </c>
      <c r="DV191" s="32" t="b">
        <f t="shared" si="269"/>
        <v>1</v>
      </c>
      <c r="DW191" s="32" t="b">
        <f t="shared" si="270"/>
        <v>1</v>
      </c>
      <c r="DX191" s="32" t="b">
        <f t="shared" si="271"/>
        <v>0</v>
      </c>
      <c r="DY191" s="32">
        <f t="shared" si="272"/>
        <v>6.7143414024175164E-3</v>
      </c>
      <c r="DZ191" s="32">
        <f t="shared" si="273"/>
        <v>6.7143414024175164E-3</v>
      </c>
      <c r="EA191" s="32" t="e">
        <f t="shared" si="274"/>
        <v>#N/A</v>
      </c>
      <c r="EB191" s="45" t="str">
        <f t="shared" si="275"/>
        <v/>
      </c>
      <c r="EG191" s="32">
        <f t="shared" si="276"/>
        <v>181</v>
      </c>
      <c r="EH191" s="32">
        <f t="shared" si="277"/>
        <v>182</v>
      </c>
      <c r="EI191" s="32">
        <f t="shared" si="278"/>
        <v>1.2456750381451647</v>
      </c>
      <c r="EJ191" s="32">
        <f t="shared" si="279"/>
        <v>0.18363747975432304</v>
      </c>
      <c r="EK191" s="32" t="e">
        <f t="shared" si="280"/>
        <v>#N/A</v>
      </c>
      <c r="EL191" s="32" t="e">
        <f t="shared" si="281"/>
        <v>#N/A</v>
      </c>
      <c r="EM191" s="32" t="e">
        <f t="shared" si="282"/>
        <v>#N/A</v>
      </c>
      <c r="EN191" s="32" t="b">
        <f t="shared" si="283"/>
        <v>0</v>
      </c>
      <c r="EO191" s="32" t="b">
        <f t="shared" si="284"/>
        <v>1</v>
      </c>
      <c r="EP191" s="32" t="b">
        <f t="shared" si="285"/>
        <v>0</v>
      </c>
      <c r="EQ191" s="32" t="b">
        <f t="shared" si="286"/>
        <v>1</v>
      </c>
      <c r="ER191" s="32">
        <f t="shared" si="287"/>
        <v>0.18363747975432304</v>
      </c>
      <c r="ES191" s="32" t="e">
        <f t="shared" si="288"/>
        <v>#N/A</v>
      </c>
      <c r="ET191" s="32">
        <f t="shared" si="289"/>
        <v>0.18363747975432304</v>
      </c>
      <c r="EU191" s="45" t="str">
        <f t="shared" si="290"/>
        <v/>
      </c>
      <c r="EV19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1" s="32" t="e" cm="1">
        <f t="array" ref="EY191">IF($CR$3,INDEX(Eu_tabel_a[[#This Row],[Styrke venstre]:[Styrke tosidet]],EY$7),NA())</f>
        <v>#N/A</v>
      </c>
      <c r="EZ191" s="32" t="e">
        <f>IF(EY$3,IF(CHOOSE(EY$7,Eu_tabel_a[[#This Row],[x base]]&gt;0,Eu_tabel_a[[#This Row],[x base]]&lt;0,Eu_tabel_a[[#This Row],[x base]]=0),1,NA()),NA())</f>
        <v>#N/A</v>
      </c>
      <c r="FA191" s="32" t="e">
        <f>IF(CHOOSE(EY$7,Eu_tabel_a[[#This Row],[x base]]&gt;0,Eu_tabel_a[[#This Row],[x base]]&lt;0,Eu_tabel_a[[#This Row],[x base]]=0),Eu_tabel_a[[#This Row],[Styrke, aktiv]],NA())</f>
        <v>#N/A</v>
      </c>
      <c r="FB191" s="32" t="e">
        <f>IFERROR(IF($EY$3,Eu_tabel_a[[#This Row],[Styrke, aktiv]],NA()),NA())</f>
        <v>#N/A</v>
      </c>
      <c r="FC191" s="32" t="e">
        <f>IF(ISNA(Eu_tabel_a[[#This Row],[Sand negativ
Nulhypotese afvises
Korrekt]]),NA(),IF(EY$3,1,NA()))</f>
        <v>#N/A</v>
      </c>
      <c r="FD191" s="33" t="str" cm="1">
        <f t="array" ref="FD191">IFERROR(_xlfn.SWITCH(Eu_tabel_a[[#This Row],[Indeks]],_xlfn.IFNA(FB$2,-99),FB$5,_xlfn.IFNA(FB$3,-99),FB$6,_xlfn.IFNA(FB$4,-99),FB$7,""),"")</f>
        <v/>
      </c>
      <c r="FE191" s="32">
        <f>Eu_tabel_a[[#This Row],[x base]]*SQRT(Eu_a_h0_x*(1-Eu_a_h0_x)/Eu_a_n_x)+Eu_a_h0_x</f>
        <v>0</v>
      </c>
      <c r="FJ191" s="74" t="e">
        <f t="shared" si="234"/>
        <v>#N/A</v>
      </c>
      <c r="FK191" s="82" t="e">
        <f t="shared" si="322"/>
        <v>#DIV/0!</v>
      </c>
      <c r="FL191" s="7" t="e">
        <f t="shared" si="228"/>
        <v>#DIV/0!</v>
      </c>
      <c r="FM191" t="e">
        <f t="shared" si="323"/>
        <v>#DIV/0!</v>
      </c>
      <c r="FN191" s="8" t="e">
        <f t="shared" si="324"/>
        <v>#DIV/0!</v>
      </c>
      <c r="FO191" s="8" t="e">
        <f t="shared" si="325"/>
        <v>#DIV/0!</v>
      </c>
      <c r="FP191" s="81" t="e">
        <f t="shared" si="326"/>
        <v>#DIV/0!</v>
      </c>
      <c r="FQ191" s="74" t="e">
        <f t="shared" ca="1" si="229"/>
        <v>#N/A</v>
      </c>
      <c r="FR191" s="82" t="e" vm="3">
        <f t="shared" ca="1" si="235"/>
        <v>#VALUE!</v>
      </c>
      <c r="FS191" s="7" t="e" vm="3">
        <f t="shared" ca="1" si="230"/>
        <v>#VALUE!</v>
      </c>
      <c r="FT191" t="e" vm="3">
        <f t="shared" ca="1" si="224"/>
        <v>#VALUE!</v>
      </c>
      <c r="FU191" s="8" t="e" vm="3">
        <f t="shared" ca="1" si="225"/>
        <v>#VALUE!</v>
      </c>
      <c r="FV191" s="8" t="e" vm="3">
        <f t="shared" ca="1" si="226"/>
        <v>#VALUE!</v>
      </c>
      <c r="FW191" s="81" t="e" vm="3">
        <f t="shared" ca="1" si="227"/>
        <v>#VALUE!</v>
      </c>
      <c r="FX191" s="74" t="e">
        <f t="shared" si="231"/>
        <v>#N/A</v>
      </c>
      <c r="FY191" s="82" t="e">
        <f t="shared" si="236"/>
        <v>#N/A</v>
      </c>
      <c r="FZ191" s="7" t="e">
        <f t="shared" si="232"/>
        <v>#N/A</v>
      </c>
      <c r="GA191" t="e">
        <f t="shared" si="237"/>
        <v>#N/A</v>
      </c>
      <c r="GB191" s="8" t="e">
        <f t="shared" si="238"/>
        <v>#N/A</v>
      </c>
      <c r="GC191" s="8" t="e">
        <f t="shared" si="239"/>
        <v>#N/A</v>
      </c>
      <c r="GD191" s="81" t="e">
        <f t="shared" si="240"/>
        <v>#N/A</v>
      </c>
      <c r="GE191" s="74" t="e">
        <f t="shared" si="241"/>
        <v>#N/A</v>
      </c>
      <c r="GF191" s="82" t="e">
        <f t="shared" si="242"/>
        <v>#N/A</v>
      </c>
      <c r="GG191" s="7" t="e">
        <f t="shared" si="233"/>
        <v>#N/A</v>
      </c>
      <c r="GH191" t="e">
        <f t="shared" si="243"/>
        <v>#N/A</v>
      </c>
      <c r="GI191" s="8" t="e">
        <f t="shared" si="244"/>
        <v>#N/A</v>
      </c>
      <c r="GJ191" s="8" t="e">
        <f t="shared" si="245"/>
        <v>#N/A</v>
      </c>
      <c r="GK191" s="81" t="e">
        <f t="shared" si="246"/>
        <v>#N/A</v>
      </c>
      <c r="GL191" s="81"/>
      <c r="GM191" s="81"/>
      <c r="GP191" s="32">
        <f t="shared" si="291"/>
        <v>181</v>
      </c>
      <c r="GQ191" s="32">
        <f t="shared" si="292"/>
        <v>182</v>
      </c>
      <c r="GR191" s="32">
        <f t="shared" si="293"/>
        <v>1.2456750381451647</v>
      </c>
      <c r="GS191" s="32">
        <f t="shared" si="294"/>
        <v>0.18363747975432304</v>
      </c>
      <c r="GT191" s="32" t="e">
        <f t="shared" si="295"/>
        <v>#N/A</v>
      </c>
      <c r="GU191" s="32" t="e">
        <f t="shared" si="296"/>
        <v>#N/A</v>
      </c>
      <c r="GV191" s="32" t="e">
        <f t="shared" si="297"/>
        <v>#N/A</v>
      </c>
      <c r="GW191" s="32" t="b">
        <f t="shared" si="298"/>
        <v>0</v>
      </c>
      <c r="GX191" s="32" t="b">
        <f t="shared" si="299"/>
        <v>1</v>
      </c>
      <c r="GY191" s="32" t="b">
        <f t="shared" si="300"/>
        <v>0</v>
      </c>
      <c r="GZ191" s="32" t="b">
        <f t="shared" si="301"/>
        <v>1</v>
      </c>
      <c r="HA191" s="32">
        <f t="shared" si="302"/>
        <v>0.18363747975432304</v>
      </c>
      <c r="HB191" s="32" t="e">
        <f t="shared" si="303"/>
        <v>#N/A</v>
      </c>
      <c r="HC191" s="32">
        <f t="shared" si="304"/>
        <v>0.18363747975432304</v>
      </c>
      <c r="HD191" s="45" t="str">
        <f t="shared" si="305"/>
        <v/>
      </c>
      <c r="HJ191" s="32">
        <f t="shared" si="306"/>
        <v>181</v>
      </c>
      <c r="HK191" s="32">
        <f t="shared" si="307"/>
        <v>182</v>
      </c>
      <c r="HL191" s="32">
        <f t="shared" si="308"/>
        <v>1.9289539588309559</v>
      </c>
      <c r="HM191" s="32" t="e">
        <f t="shared" si="309"/>
        <v>#N/A</v>
      </c>
      <c r="HN191" s="32">
        <f t="shared" si="310"/>
        <v>6.9971985868934911E-2</v>
      </c>
      <c r="HO191" s="32" t="e">
        <f t="shared" si="311"/>
        <v>#N/A</v>
      </c>
      <c r="HP191" s="32" t="e">
        <f t="shared" si="312"/>
        <v>#N/A</v>
      </c>
      <c r="HQ191" s="32" t="b">
        <f t="shared" si="313"/>
        <v>0</v>
      </c>
      <c r="HR191" s="32" t="b">
        <f t="shared" si="314"/>
        <v>1</v>
      </c>
      <c r="HS191" s="32" t="b">
        <f t="shared" si="315"/>
        <v>1</v>
      </c>
      <c r="HT191" s="32" t="b">
        <f t="shared" si="316"/>
        <v>0</v>
      </c>
      <c r="HU191" s="32">
        <f t="shared" si="317"/>
        <v>6.9971985868934911E-2</v>
      </c>
      <c r="HV191" s="32" t="e">
        <f t="shared" si="318"/>
        <v>#N/A</v>
      </c>
      <c r="HW191" s="32">
        <f t="shared" si="319"/>
        <v>6.9971985868934911E-2</v>
      </c>
      <c r="HX191" s="45" t="str">
        <f t="shared" si="320"/>
        <v/>
      </c>
    </row>
    <row r="192" spans="78:232" x14ac:dyDescent="0.2">
      <c r="BZ192" s="32">
        <f t="shared" si="247"/>
        <v>182</v>
      </c>
      <c r="CA192" s="32">
        <f>Eu_tabel_g[[#This Row],[Indeks]]+1</f>
        <v>183</v>
      </c>
      <c r="CB192" s="32">
        <f t="shared" si="248"/>
        <v>1.2696303273402645</v>
      </c>
      <c r="CC192" s="32">
        <f t="shared" si="249"/>
        <v>0.17818746348109929</v>
      </c>
      <c r="CD192" s="32" t="e">
        <f t="shared" si="250"/>
        <v>#N/A</v>
      </c>
      <c r="CE192" s="32" t="e">
        <f t="shared" si="251"/>
        <v>#N/A</v>
      </c>
      <c r="CF192" s="32" t="e">
        <f t="shared" si="252"/>
        <v>#N/A</v>
      </c>
      <c r="CG192" s="32" t="b">
        <f t="shared" si="253"/>
        <v>0</v>
      </c>
      <c r="CH192" s="32" t="b">
        <f t="shared" si="254"/>
        <v>1</v>
      </c>
      <c r="CI192" s="32" t="b">
        <f t="shared" si="255"/>
        <v>0</v>
      </c>
      <c r="CJ192" s="32" t="b">
        <f t="shared" si="256"/>
        <v>1</v>
      </c>
      <c r="CK192" s="32">
        <f t="shared" si="327"/>
        <v>0.17818746348109929</v>
      </c>
      <c r="CL192" s="32" t="e">
        <f t="shared" si="257"/>
        <v>#N/A</v>
      </c>
      <c r="CM192" s="32">
        <f t="shared" si="258"/>
        <v>0.17818746348109929</v>
      </c>
      <c r="CN192" s="45" t="str">
        <f t="shared" si="259"/>
        <v/>
      </c>
      <c r="CO192" s="32">
        <f>_xlfn.NORM.DIST(_xlfn.NORM.INV(1-Eu_g_konfidensniveau,0,1)-Eu_tabel_g[[#This Row],[x base]],0,1,TRUE)</f>
        <v>1.7813856159707405E-3</v>
      </c>
      <c r="CP192" s="32">
        <f>1-_xlfn.NORM.DIST(_xlfn.NORM.INV(Eu_g_konfidensniveau,0,1)-Eu_tabel_g[[#This Row],[x base]],0,1,TRUE)</f>
        <v>0.35374720170655238</v>
      </c>
      <c r="CQ192" s="32">
        <f>_xlfn.NORM.DIST(_xlfn.NORM.INV((1-Eu_g_konfidensniveau)/2,0,1)-Eu_tabel_g[[#This Row],[x base]],0,1,TRUE)+1-_xlfn.NORM.DIST(_xlfn.NORM.INV(1-(1-Eu_g_konfidensniveau)/2,0,1)-Eu_tabel_g[[#This Row],[x base]],0,1,TRUE)</f>
        <v>0.24561202329949894</v>
      </c>
      <c r="CR192" s="32" t="e" cm="1">
        <f t="array" ref="CR192">IF($CR$3,INDEX(Eu_tabel_g[[#This Row],[Styrke venstre]:[Styrke tosidet]],CR$7),NA())</f>
        <v>#N/A</v>
      </c>
      <c r="CS192" s="52" t="e">
        <f>Eu_tabel_g[[#This Row],[Falsk positiv
Nulhypotese accepteres
Fejltype 1]]</f>
        <v>#N/A</v>
      </c>
      <c r="CT192" s="52" t="e">
        <f>IF(CHOOSE(CR$7,Eu_tabel_g[[#This Row],[x base]]&gt;0,Eu_tabel_g[[#This Row],[x base]]&lt;0,Eu_tabel_g[[#This Row],[x base]]=0),Eu_tabel_g[[#This Row],[Styrke, aktiv]],NA())</f>
        <v>#N/A</v>
      </c>
      <c r="CU192" s="52" t="e">
        <f>IFERROR(IF($CR$3,Eu_tabel_g[[#This Row],[Styrke, aktiv]],NA()),NA())</f>
        <v>#N/A</v>
      </c>
      <c r="CV192" s="52" t="e">
        <f>IF(ISNA(Eu_tabel_g[[#This Row],[Sand negativ
Nulhypotese afvises
Korrekt]]),NA(),IF($CR$3,1,NA()))</f>
        <v>#N/A</v>
      </c>
      <c r="CW192" s="34" t="str" cm="1">
        <f t="array" ref="CW192">_xlfn.SWITCH(BZ192,_xlfn.IFNA(CU$2,-99),CU$5,_xlfn.IFNA(CU$3,-99),CU$6,_xlfn.IFNA(CU$4,-99),CU$7,"")</f>
        <v/>
      </c>
      <c r="DA192" s="7">
        <f t="shared" si="260"/>
        <v>0.8</v>
      </c>
      <c r="DB192">
        <f>IF(ROW(Styrkeberegning_G[[#This Row],[X base venstre]])=ROW(Styrkeberegning_G[[#Headers],[X base venstre]])+1,DB$7/(DA$7/$B$67),DB191/(DA191/$B$67))</f>
        <v>-2.8015817870135784</v>
      </c>
      <c r="DC192">
        <f>Styrkeberegning_G[[#This Row],[X base venstre]]*-1</f>
        <v>2.8015817870135784</v>
      </c>
      <c r="DN192" s="32">
        <f t="shared" si="261"/>
        <v>182</v>
      </c>
      <c r="DO192" s="32">
        <f t="shared" si="262"/>
        <v>183</v>
      </c>
      <c r="DP192" s="32">
        <f t="shared" si="263"/>
        <v>22.594748532547872</v>
      </c>
      <c r="DQ192" s="32" t="e">
        <f t="shared" si="264"/>
        <v>#N/A</v>
      </c>
      <c r="DR192" s="32" t="e">
        <f t="shared" si="265"/>
        <v>#N/A</v>
      </c>
      <c r="DS192" s="32">
        <f t="shared" si="266"/>
        <v>6.4882079162847089E-3</v>
      </c>
      <c r="DT192" s="32" t="e">
        <f t="shared" si="267"/>
        <v>#N/A</v>
      </c>
      <c r="DU192" s="32" t="b">
        <f t="shared" si="268"/>
        <v>0</v>
      </c>
      <c r="DV192" s="32" t="b">
        <f t="shared" si="269"/>
        <v>1</v>
      </c>
      <c r="DW192" s="32" t="b">
        <f t="shared" si="270"/>
        <v>1</v>
      </c>
      <c r="DX192" s="32" t="b">
        <f t="shared" si="271"/>
        <v>0</v>
      </c>
      <c r="DY192" s="32">
        <f t="shared" si="272"/>
        <v>6.4882079162847089E-3</v>
      </c>
      <c r="DZ192" s="32">
        <f t="shared" si="273"/>
        <v>6.4882079162847089E-3</v>
      </c>
      <c r="EA192" s="32" t="e">
        <f t="shared" si="274"/>
        <v>#N/A</v>
      </c>
      <c r="EB192" s="45" t="str">
        <f t="shared" si="275"/>
        <v/>
      </c>
      <c r="EG192" s="32">
        <f t="shared" si="276"/>
        <v>182</v>
      </c>
      <c r="EH192" s="32">
        <f t="shared" si="277"/>
        <v>183</v>
      </c>
      <c r="EI192" s="32">
        <f t="shared" si="278"/>
        <v>1.2696303273402645</v>
      </c>
      <c r="EJ192" s="32">
        <f t="shared" si="279"/>
        <v>0.17818746348109929</v>
      </c>
      <c r="EK192" s="32" t="e">
        <f t="shared" si="280"/>
        <v>#N/A</v>
      </c>
      <c r="EL192" s="32" t="e">
        <f t="shared" si="281"/>
        <v>#N/A</v>
      </c>
      <c r="EM192" s="32" t="e">
        <f t="shared" si="282"/>
        <v>#N/A</v>
      </c>
      <c r="EN192" s="32" t="b">
        <f t="shared" si="283"/>
        <v>0</v>
      </c>
      <c r="EO192" s="32" t="b">
        <f t="shared" si="284"/>
        <v>1</v>
      </c>
      <c r="EP192" s="32" t="b">
        <f t="shared" si="285"/>
        <v>0</v>
      </c>
      <c r="EQ192" s="32" t="b">
        <f t="shared" si="286"/>
        <v>1</v>
      </c>
      <c r="ER192" s="32">
        <f t="shared" si="287"/>
        <v>0.17818746348109929</v>
      </c>
      <c r="ES192" s="32" t="e">
        <f t="shared" si="288"/>
        <v>#N/A</v>
      </c>
      <c r="ET192" s="32">
        <f t="shared" si="289"/>
        <v>0.17818746348109929</v>
      </c>
      <c r="EU192" s="45" t="str">
        <f t="shared" si="290"/>
        <v/>
      </c>
      <c r="EV19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2" s="32" t="e" cm="1">
        <f t="array" ref="EY192">IF($CR$3,INDEX(Eu_tabel_a[[#This Row],[Styrke venstre]:[Styrke tosidet]],EY$7),NA())</f>
        <v>#N/A</v>
      </c>
      <c r="EZ192" s="32" t="e">
        <f>IF(EY$3,IF(CHOOSE(EY$7,Eu_tabel_a[[#This Row],[x base]]&gt;0,Eu_tabel_a[[#This Row],[x base]]&lt;0,Eu_tabel_a[[#This Row],[x base]]=0),1,NA()),NA())</f>
        <v>#N/A</v>
      </c>
      <c r="FA192" s="32" t="e">
        <f>IF(CHOOSE(EY$7,Eu_tabel_a[[#This Row],[x base]]&gt;0,Eu_tabel_a[[#This Row],[x base]]&lt;0,Eu_tabel_a[[#This Row],[x base]]=0),Eu_tabel_a[[#This Row],[Styrke, aktiv]],NA())</f>
        <v>#N/A</v>
      </c>
      <c r="FB192" s="32" t="e">
        <f>IFERROR(IF($EY$3,Eu_tabel_a[[#This Row],[Styrke, aktiv]],NA()),NA())</f>
        <v>#N/A</v>
      </c>
      <c r="FC192" s="32" t="e">
        <f>IF(ISNA(Eu_tabel_a[[#This Row],[Sand negativ
Nulhypotese afvises
Korrekt]]),NA(),IF(EY$3,1,NA()))</f>
        <v>#N/A</v>
      </c>
      <c r="FD192" s="33" t="str" cm="1">
        <f t="array" ref="FD192">IFERROR(_xlfn.SWITCH(Eu_tabel_a[[#This Row],[Indeks]],_xlfn.IFNA(FB$2,-99),FB$5,_xlfn.IFNA(FB$3,-99),FB$6,_xlfn.IFNA(FB$4,-99),FB$7,""),"")</f>
        <v/>
      </c>
      <c r="FE192" s="32">
        <f>Eu_tabel_a[[#This Row],[x base]]*SQRT(Eu_a_h0_x*(1-Eu_a_h0_x)/Eu_a_n_x)+Eu_a_h0_x</f>
        <v>0</v>
      </c>
      <c r="FJ192" s="74" t="e">
        <f t="shared" si="234"/>
        <v>#N/A</v>
      </c>
      <c r="FK192" s="82" t="e">
        <f t="shared" si="322"/>
        <v>#DIV/0!</v>
      </c>
      <c r="FL192" s="7" t="e">
        <f t="shared" si="228"/>
        <v>#DIV/0!</v>
      </c>
      <c r="FM192" t="e">
        <f t="shared" si="323"/>
        <v>#DIV/0!</v>
      </c>
      <c r="FN192" s="8" t="e">
        <f t="shared" si="324"/>
        <v>#DIV/0!</v>
      </c>
      <c r="FO192" s="8" t="e">
        <f t="shared" si="325"/>
        <v>#DIV/0!</v>
      </c>
      <c r="FP192" s="81" t="e">
        <f t="shared" si="326"/>
        <v>#DIV/0!</v>
      </c>
      <c r="FQ192" s="74" t="e">
        <f t="shared" ca="1" si="229"/>
        <v>#N/A</v>
      </c>
      <c r="FR192" s="82" t="e" vm="3">
        <f t="shared" ca="1" si="235"/>
        <v>#VALUE!</v>
      </c>
      <c r="FS192" s="7" t="e" vm="3">
        <f t="shared" ca="1" si="230"/>
        <v>#VALUE!</v>
      </c>
      <c r="FT192" t="e" vm="3">
        <f t="shared" ca="1" si="224"/>
        <v>#VALUE!</v>
      </c>
      <c r="FU192" s="8" t="e" vm="3">
        <f t="shared" ca="1" si="225"/>
        <v>#VALUE!</v>
      </c>
      <c r="FV192" s="8" t="e" vm="3">
        <f t="shared" ca="1" si="226"/>
        <v>#VALUE!</v>
      </c>
      <c r="FW192" s="81" t="e" vm="3">
        <f t="shared" ca="1" si="227"/>
        <v>#VALUE!</v>
      </c>
      <c r="FX192" s="74" t="e">
        <f t="shared" si="231"/>
        <v>#N/A</v>
      </c>
      <c r="FY192" s="82" t="e">
        <f t="shared" si="236"/>
        <v>#N/A</v>
      </c>
      <c r="FZ192" s="7" t="e">
        <f t="shared" si="232"/>
        <v>#N/A</v>
      </c>
      <c r="GA192" t="e">
        <f t="shared" si="237"/>
        <v>#N/A</v>
      </c>
      <c r="GB192" s="8" t="e">
        <f t="shared" si="238"/>
        <v>#N/A</v>
      </c>
      <c r="GC192" s="8" t="e">
        <f t="shared" si="239"/>
        <v>#N/A</v>
      </c>
      <c r="GD192" s="81" t="e">
        <f t="shared" si="240"/>
        <v>#N/A</v>
      </c>
      <c r="GE192" s="74" t="e">
        <f t="shared" si="241"/>
        <v>#N/A</v>
      </c>
      <c r="GF192" s="82" t="e">
        <f t="shared" si="242"/>
        <v>#N/A</v>
      </c>
      <c r="GG192" s="7" t="e">
        <f t="shared" si="233"/>
        <v>#N/A</v>
      </c>
      <c r="GH192" t="e">
        <f t="shared" si="243"/>
        <v>#N/A</v>
      </c>
      <c r="GI192" s="8" t="e">
        <f t="shared" si="244"/>
        <v>#N/A</v>
      </c>
      <c r="GJ192" s="8" t="e">
        <f t="shared" si="245"/>
        <v>#N/A</v>
      </c>
      <c r="GK192" s="81" t="e">
        <f t="shared" si="246"/>
        <v>#N/A</v>
      </c>
      <c r="GL192" s="81"/>
      <c r="GM192" s="81"/>
      <c r="GP192" s="32">
        <f t="shared" si="291"/>
        <v>182</v>
      </c>
      <c r="GQ192" s="32">
        <f t="shared" si="292"/>
        <v>183</v>
      </c>
      <c r="GR192" s="32">
        <f t="shared" si="293"/>
        <v>1.2696303273402645</v>
      </c>
      <c r="GS192" s="32">
        <f t="shared" si="294"/>
        <v>0.17818746348109929</v>
      </c>
      <c r="GT192" s="32" t="e">
        <f t="shared" si="295"/>
        <v>#N/A</v>
      </c>
      <c r="GU192" s="32" t="e">
        <f t="shared" si="296"/>
        <v>#N/A</v>
      </c>
      <c r="GV192" s="32" t="e">
        <f t="shared" si="297"/>
        <v>#N/A</v>
      </c>
      <c r="GW192" s="32" t="b">
        <f t="shared" si="298"/>
        <v>0</v>
      </c>
      <c r="GX192" s="32" t="b">
        <f t="shared" si="299"/>
        <v>1</v>
      </c>
      <c r="GY192" s="32" t="b">
        <f t="shared" si="300"/>
        <v>0</v>
      </c>
      <c r="GZ192" s="32" t="b">
        <f t="shared" si="301"/>
        <v>1</v>
      </c>
      <c r="HA192" s="32">
        <f t="shared" si="302"/>
        <v>0.17818746348109929</v>
      </c>
      <c r="HB192" s="32" t="e">
        <f t="shared" si="303"/>
        <v>#N/A</v>
      </c>
      <c r="HC192" s="32">
        <f t="shared" si="304"/>
        <v>0.17818746348109929</v>
      </c>
      <c r="HD192" s="45" t="str">
        <f t="shared" si="305"/>
        <v/>
      </c>
      <c r="HJ192" s="32">
        <f t="shared" si="306"/>
        <v>182</v>
      </c>
      <c r="HK192" s="32">
        <f t="shared" si="307"/>
        <v>183</v>
      </c>
      <c r="HL192" s="32">
        <f t="shared" si="308"/>
        <v>1.9660492272700134</v>
      </c>
      <c r="HM192" s="32" t="e">
        <f t="shared" si="309"/>
        <v>#N/A</v>
      </c>
      <c r="HN192" s="32">
        <f t="shared" si="310"/>
        <v>6.6323652171868239E-2</v>
      </c>
      <c r="HO192" s="32" t="e">
        <f t="shared" si="311"/>
        <v>#N/A</v>
      </c>
      <c r="HP192" s="32" t="e">
        <f t="shared" si="312"/>
        <v>#N/A</v>
      </c>
      <c r="HQ192" s="32" t="b">
        <f t="shared" si="313"/>
        <v>0</v>
      </c>
      <c r="HR192" s="32" t="b">
        <f t="shared" si="314"/>
        <v>1</v>
      </c>
      <c r="HS192" s="32" t="b">
        <f t="shared" si="315"/>
        <v>1</v>
      </c>
      <c r="HT192" s="32" t="b">
        <f t="shared" si="316"/>
        <v>0</v>
      </c>
      <c r="HU192" s="32">
        <f t="shared" si="317"/>
        <v>6.6323652171868239E-2</v>
      </c>
      <c r="HV192" s="32" t="e">
        <f t="shared" si="318"/>
        <v>#N/A</v>
      </c>
      <c r="HW192" s="32">
        <f t="shared" si="319"/>
        <v>6.6323652171868239E-2</v>
      </c>
      <c r="HX192" s="45" t="str">
        <f t="shared" si="320"/>
        <v/>
      </c>
    </row>
    <row r="193" spans="78:232" x14ac:dyDescent="0.2">
      <c r="BZ193" s="32">
        <f t="shared" si="247"/>
        <v>183</v>
      </c>
      <c r="CA193" s="32">
        <f>Eu_tabel_g[[#This Row],[Indeks]]+1</f>
        <v>184</v>
      </c>
      <c r="CB193" s="32">
        <f t="shared" si="248"/>
        <v>1.2935856165353634</v>
      </c>
      <c r="CC193" s="32">
        <f t="shared" si="249"/>
        <v>0.17280000272227755</v>
      </c>
      <c r="CD193" s="32" t="e">
        <f t="shared" si="250"/>
        <v>#N/A</v>
      </c>
      <c r="CE193" s="32" t="e">
        <f t="shared" si="251"/>
        <v>#N/A</v>
      </c>
      <c r="CF193" s="32" t="e">
        <f t="shared" si="252"/>
        <v>#N/A</v>
      </c>
      <c r="CG193" s="32" t="b">
        <f t="shared" si="253"/>
        <v>0</v>
      </c>
      <c r="CH193" s="32" t="b">
        <f t="shared" si="254"/>
        <v>1</v>
      </c>
      <c r="CI193" s="32" t="b">
        <f t="shared" si="255"/>
        <v>0</v>
      </c>
      <c r="CJ193" s="32" t="b">
        <f t="shared" si="256"/>
        <v>1</v>
      </c>
      <c r="CK193" s="32">
        <f t="shared" si="327"/>
        <v>0.17280000272227755</v>
      </c>
      <c r="CL193" s="32" t="e">
        <f t="shared" si="257"/>
        <v>#N/A</v>
      </c>
      <c r="CM193" s="32">
        <f t="shared" si="258"/>
        <v>0.17280000272227755</v>
      </c>
      <c r="CN193" s="45" t="str">
        <f t="shared" si="259"/>
        <v/>
      </c>
      <c r="CO193" s="32">
        <f>_xlfn.NORM.DIST(_xlfn.NORM.INV(1-Eu_g_konfidensniveau,0,1)-Eu_tabel_g[[#This Row],[x base]],0,1,TRUE)</f>
        <v>1.6493465284941056E-3</v>
      </c>
      <c r="CP193" s="32">
        <f>1-_xlfn.NORM.DIST(_xlfn.NORM.INV(Eu_g_konfidensniveau,0,1)-Eu_tabel_g[[#This Row],[x base]],0,1,TRUE)</f>
        <v>0.36269364585060182</v>
      </c>
      <c r="CQ193" s="32">
        <f>_xlfn.NORM.DIST(_xlfn.NORM.INV((1-Eu_g_konfidensniveau)/2,0,1)-Eu_tabel_g[[#This Row],[x base]],0,1,TRUE)+1-_xlfn.NORM.DIST(_xlfn.NORM.INV(1-(1-Eu_g_konfidensniveau)/2,0,1)-Eu_tabel_g[[#This Row],[x base]],0,1,TRUE)</f>
        <v>0.25315450695979325</v>
      </c>
      <c r="CR193" s="32" t="e" cm="1">
        <f t="array" ref="CR193">IF($CR$3,INDEX(Eu_tabel_g[[#This Row],[Styrke venstre]:[Styrke tosidet]],CR$7),NA())</f>
        <v>#N/A</v>
      </c>
      <c r="CS193" s="52" t="e">
        <f>Eu_tabel_g[[#This Row],[Falsk positiv
Nulhypotese accepteres
Fejltype 1]]</f>
        <v>#N/A</v>
      </c>
      <c r="CT193" s="52" t="e">
        <f>IF(CHOOSE(CR$7,Eu_tabel_g[[#This Row],[x base]]&gt;0,Eu_tabel_g[[#This Row],[x base]]&lt;0,Eu_tabel_g[[#This Row],[x base]]=0),Eu_tabel_g[[#This Row],[Styrke, aktiv]],NA())</f>
        <v>#N/A</v>
      </c>
      <c r="CU193" s="52" t="e">
        <f>IFERROR(IF($CR$3,Eu_tabel_g[[#This Row],[Styrke, aktiv]],NA()),NA())</f>
        <v>#N/A</v>
      </c>
      <c r="CV193" s="52" t="e">
        <f>IF(ISNA(Eu_tabel_g[[#This Row],[Sand negativ
Nulhypotese afvises
Korrekt]]),NA(),IF($CR$3,1,NA()))</f>
        <v>#N/A</v>
      </c>
      <c r="CW193" s="34" t="str" cm="1">
        <f t="array" ref="CW193">_xlfn.SWITCH(BZ193,_xlfn.IFNA(CU$2,-99),CU$5,_xlfn.IFNA(CU$3,-99),CU$6,_xlfn.IFNA(CU$4,-99),CU$7,"")</f>
        <v/>
      </c>
      <c r="DA193" s="7">
        <f t="shared" si="260"/>
        <v>0.8</v>
      </c>
      <c r="DB193">
        <f>IF(ROW(Styrkeberegning_G[[#This Row],[X base venstre]])=ROW(Styrkeberegning_G[[#Headers],[X base venstre]])+1,DB$7/(DA$7/$B$67),DB192/(DA192/$B$67))</f>
        <v>-2.8015817870135784</v>
      </c>
      <c r="DC193">
        <f>Styrkeberegning_G[[#This Row],[X base venstre]]*-1</f>
        <v>2.8015817870135784</v>
      </c>
      <c r="DN193" s="32">
        <f t="shared" si="261"/>
        <v>183</v>
      </c>
      <c r="DO193" s="32">
        <f t="shared" si="262"/>
        <v>184</v>
      </c>
      <c r="DP193" s="32">
        <f t="shared" si="263"/>
        <v>22.708819388964873</v>
      </c>
      <c r="DQ193" s="32" t="e">
        <f t="shared" si="264"/>
        <v>#N/A</v>
      </c>
      <c r="DR193" s="32" t="e">
        <f t="shared" si="265"/>
        <v>#N/A</v>
      </c>
      <c r="DS193" s="32">
        <f t="shared" si="266"/>
        <v>6.2689713455861351E-3</v>
      </c>
      <c r="DT193" s="32" t="e">
        <f t="shared" si="267"/>
        <v>#N/A</v>
      </c>
      <c r="DU193" s="32" t="b">
        <f t="shared" si="268"/>
        <v>0</v>
      </c>
      <c r="DV193" s="32" t="b">
        <f t="shared" si="269"/>
        <v>1</v>
      </c>
      <c r="DW193" s="32" t="b">
        <f t="shared" si="270"/>
        <v>1</v>
      </c>
      <c r="DX193" s="32" t="b">
        <f t="shared" si="271"/>
        <v>0</v>
      </c>
      <c r="DY193" s="32">
        <f t="shared" si="272"/>
        <v>6.2689713455861351E-3</v>
      </c>
      <c r="DZ193" s="32">
        <f t="shared" si="273"/>
        <v>6.2689713455861351E-3</v>
      </c>
      <c r="EA193" s="32" t="e">
        <f t="shared" si="274"/>
        <v>#N/A</v>
      </c>
      <c r="EB193" s="45" t="str">
        <f t="shared" si="275"/>
        <v/>
      </c>
      <c r="EG193" s="32">
        <f t="shared" si="276"/>
        <v>183</v>
      </c>
      <c r="EH193" s="32">
        <f t="shared" si="277"/>
        <v>184</v>
      </c>
      <c r="EI193" s="32">
        <f t="shared" si="278"/>
        <v>1.2935856165353634</v>
      </c>
      <c r="EJ193" s="32">
        <f t="shared" si="279"/>
        <v>0.17280000272227755</v>
      </c>
      <c r="EK193" s="32" t="e">
        <f t="shared" si="280"/>
        <v>#N/A</v>
      </c>
      <c r="EL193" s="32" t="e">
        <f t="shared" si="281"/>
        <v>#N/A</v>
      </c>
      <c r="EM193" s="32" t="e">
        <f t="shared" si="282"/>
        <v>#N/A</v>
      </c>
      <c r="EN193" s="32" t="b">
        <f t="shared" si="283"/>
        <v>0</v>
      </c>
      <c r="EO193" s="32" t="b">
        <f t="shared" si="284"/>
        <v>1</v>
      </c>
      <c r="EP193" s="32" t="b">
        <f t="shared" si="285"/>
        <v>0</v>
      </c>
      <c r="EQ193" s="32" t="b">
        <f t="shared" si="286"/>
        <v>1</v>
      </c>
      <c r="ER193" s="32">
        <f t="shared" si="287"/>
        <v>0.17280000272227755</v>
      </c>
      <c r="ES193" s="32" t="e">
        <f t="shared" si="288"/>
        <v>#N/A</v>
      </c>
      <c r="ET193" s="32">
        <f t="shared" si="289"/>
        <v>0.17280000272227755</v>
      </c>
      <c r="EU193" s="45" t="str">
        <f t="shared" si="290"/>
        <v/>
      </c>
      <c r="EV19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3" s="32" t="e" cm="1">
        <f t="array" ref="EY193">IF($CR$3,INDEX(Eu_tabel_a[[#This Row],[Styrke venstre]:[Styrke tosidet]],EY$7),NA())</f>
        <v>#N/A</v>
      </c>
      <c r="EZ193" s="32" t="e">
        <f>IF(EY$3,IF(CHOOSE(EY$7,Eu_tabel_a[[#This Row],[x base]]&gt;0,Eu_tabel_a[[#This Row],[x base]]&lt;0,Eu_tabel_a[[#This Row],[x base]]=0),1,NA()),NA())</f>
        <v>#N/A</v>
      </c>
      <c r="FA193" s="32" t="e">
        <f>IF(CHOOSE(EY$7,Eu_tabel_a[[#This Row],[x base]]&gt;0,Eu_tabel_a[[#This Row],[x base]]&lt;0,Eu_tabel_a[[#This Row],[x base]]=0),Eu_tabel_a[[#This Row],[Styrke, aktiv]],NA())</f>
        <v>#N/A</v>
      </c>
      <c r="FB193" s="32" t="e">
        <f>IFERROR(IF($EY$3,Eu_tabel_a[[#This Row],[Styrke, aktiv]],NA()),NA())</f>
        <v>#N/A</v>
      </c>
      <c r="FC193" s="32" t="e">
        <f>IF(ISNA(Eu_tabel_a[[#This Row],[Sand negativ
Nulhypotese afvises
Korrekt]]),NA(),IF(EY$3,1,NA()))</f>
        <v>#N/A</v>
      </c>
      <c r="FD193" s="33" t="str" cm="1">
        <f t="array" ref="FD193">IFERROR(_xlfn.SWITCH(Eu_tabel_a[[#This Row],[Indeks]],_xlfn.IFNA(FB$2,-99),FB$5,_xlfn.IFNA(FB$3,-99),FB$6,_xlfn.IFNA(FB$4,-99),FB$7,""),"")</f>
        <v/>
      </c>
      <c r="FE193" s="32">
        <f>Eu_tabel_a[[#This Row],[x base]]*SQRT(Eu_a_h0_x*(1-Eu_a_h0_x)/Eu_a_n_x)+Eu_a_h0_x</f>
        <v>0</v>
      </c>
      <c r="FJ193" s="74" t="e">
        <f t="shared" si="234"/>
        <v>#N/A</v>
      </c>
      <c r="FK193" s="82" t="e">
        <f t="shared" si="322"/>
        <v>#DIV/0!</v>
      </c>
      <c r="FL193" s="7" t="e">
        <f t="shared" si="228"/>
        <v>#DIV/0!</v>
      </c>
      <c r="FM193" t="e">
        <f t="shared" si="323"/>
        <v>#DIV/0!</v>
      </c>
      <c r="FN193" s="8" t="e">
        <f t="shared" si="324"/>
        <v>#DIV/0!</v>
      </c>
      <c r="FO193" s="8" t="e">
        <f t="shared" si="325"/>
        <v>#DIV/0!</v>
      </c>
      <c r="FP193" s="81" t="e">
        <f t="shared" si="326"/>
        <v>#DIV/0!</v>
      </c>
      <c r="FQ193" s="74" t="e">
        <f t="shared" ca="1" si="229"/>
        <v>#N/A</v>
      </c>
      <c r="FR193" s="82" t="e" vm="3">
        <f t="shared" ca="1" si="235"/>
        <v>#VALUE!</v>
      </c>
      <c r="FS193" s="7" t="e" vm="3">
        <f t="shared" ca="1" si="230"/>
        <v>#VALUE!</v>
      </c>
      <c r="FT193" t="e" vm="3">
        <f t="shared" ca="1" si="224"/>
        <v>#VALUE!</v>
      </c>
      <c r="FU193" s="8" t="e" vm="3">
        <f t="shared" ca="1" si="225"/>
        <v>#VALUE!</v>
      </c>
      <c r="FV193" s="8" t="e" vm="3">
        <f t="shared" ca="1" si="226"/>
        <v>#VALUE!</v>
      </c>
      <c r="FW193" s="81" t="e" vm="3">
        <f t="shared" ca="1" si="227"/>
        <v>#VALUE!</v>
      </c>
      <c r="FX193" s="74" t="e">
        <f t="shared" si="231"/>
        <v>#N/A</v>
      </c>
      <c r="FY193" s="82" t="e">
        <f t="shared" si="236"/>
        <v>#N/A</v>
      </c>
      <c r="FZ193" s="7" t="e">
        <f t="shared" si="232"/>
        <v>#N/A</v>
      </c>
      <c r="GA193" t="e">
        <f t="shared" si="237"/>
        <v>#N/A</v>
      </c>
      <c r="GB193" s="8" t="e">
        <f t="shared" si="238"/>
        <v>#N/A</v>
      </c>
      <c r="GC193" s="8" t="e">
        <f t="shared" si="239"/>
        <v>#N/A</v>
      </c>
      <c r="GD193" s="81" t="e">
        <f t="shared" si="240"/>
        <v>#N/A</v>
      </c>
      <c r="GE193" s="74" t="e">
        <f t="shared" si="241"/>
        <v>#N/A</v>
      </c>
      <c r="GF193" s="82" t="e">
        <f t="shared" si="242"/>
        <v>#N/A</v>
      </c>
      <c r="GG193" s="7" t="e">
        <f t="shared" si="233"/>
        <v>#N/A</v>
      </c>
      <c r="GH193" t="e">
        <f t="shared" si="243"/>
        <v>#N/A</v>
      </c>
      <c r="GI193" s="8" t="e">
        <f t="shared" si="244"/>
        <v>#N/A</v>
      </c>
      <c r="GJ193" s="8" t="e">
        <f t="shared" si="245"/>
        <v>#N/A</v>
      </c>
      <c r="GK193" s="81" t="e">
        <f t="shared" si="246"/>
        <v>#N/A</v>
      </c>
      <c r="GL193" s="81"/>
      <c r="GM193" s="81"/>
      <c r="GP193" s="32">
        <f t="shared" si="291"/>
        <v>183</v>
      </c>
      <c r="GQ193" s="32">
        <f t="shared" si="292"/>
        <v>184</v>
      </c>
      <c r="GR193" s="32">
        <f t="shared" si="293"/>
        <v>1.2935856165353634</v>
      </c>
      <c r="GS193" s="32">
        <f t="shared" si="294"/>
        <v>0.17280000272227755</v>
      </c>
      <c r="GT193" s="32" t="e">
        <f t="shared" si="295"/>
        <v>#N/A</v>
      </c>
      <c r="GU193" s="32" t="e">
        <f t="shared" si="296"/>
        <v>#N/A</v>
      </c>
      <c r="GV193" s="32" t="e">
        <f t="shared" si="297"/>
        <v>#N/A</v>
      </c>
      <c r="GW193" s="32" t="b">
        <f t="shared" si="298"/>
        <v>0</v>
      </c>
      <c r="GX193" s="32" t="b">
        <f t="shared" si="299"/>
        <v>1</v>
      </c>
      <c r="GY193" s="32" t="b">
        <f t="shared" si="300"/>
        <v>0</v>
      </c>
      <c r="GZ193" s="32" t="b">
        <f t="shared" si="301"/>
        <v>1</v>
      </c>
      <c r="HA193" s="32">
        <f t="shared" si="302"/>
        <v>0.17280000272227755</v>
      </c>
      <c r="HB193" s="32" t="e">
        <f t="shared" si="303"/>
        <v>#N/A</v>
      </c>
      <c r="HC193" s="32">
        <f t="shared" si="304"/>
        <v>0.17280000272227755</v>
      </c>
      <c r="HD193" s="45" t="str">
        <f t="shared" si="305"/>
        <v/>
      </c>
      <c r="HJ193" s="32">
        <f t="shared" si="306"/>
        <v>183</v>
      </c>
      <c r="HK193" s="32">
        <f t="shared" si="307"/>
        <v>184</v>
      </c>
      <c r="HL193" s="32">
        <f t="shared" si="308"/>
        <v>2.00314449570907</v>
      </c>
      <c r="HM193" s="32" t="e">
        <f t="shared" si="309"/>
        <v>#N/A</v>
      </c>
      <c r="HN193" s="32">
        <f t="shared" si="310"/>
        <v>6.2847166029487422E-2</v>
      </c>
      <c r="HO193" s="32" t="e">
        <f t="shared" si="311"/>
        <v>#N/A</v>
      </c>
      <c r="HP193" s="32" t="e">
        <f t="shared" si="312"/>
        <v>#N/A</v>
      </c>
      <c r="HQ193" s="32" t="b">
        <f t="shared" si="313"/>
        <v>0</v>
      </c>
      <c r="HR193" s="32" t="b">
        <f t="shared" si="314"/>
        <v>1</v>
      </c>
      <c r="HS193" s="32" t="b">
        <f t="shared" si="315"/>
        <v>1</v>
      </c>
      <c r="HT193" s="32" t="b">
        <f t="shared" si="316"/>
        <v>0</v>
      </c>
      <c r="HU193" s="32">
        <f t="shared" si="317"/>
        <v>6.2847166029487422E-2</v>
      </c>
      <c r="HV193" s="32" t="e">
        <f t="shared" si="318"/>
        <v>#N/A</v>
      </c>
      <c r="HW193" s="32">
        <f t="shared" si="319"/>
        <v>6.2847166029487422E-2</v>
      </c>
      <c r="HX193" s="45" t="str">
        <f t="shared" si="320"/>
        <v/>
      </c>
    </row>
    <row r="194" spans="78:232" x14ac:dyDescent="0.2">
      <c r="BZ194" s="32">
        <f t="shared" si="247"/>
        <v>184</v>
      </c>
      <c r="CA194" s="32">
        <f>Eu_tabel_g[[#This Row],[Indeks]]+1</f>
        <v>185</v>
      </c>
      <c r="CB194" s="32">
        <f t="shared" si="248"/>
        <v>1.3175409057304632</v>
      </c>
      <c r="CC194" s="32">
        <f t="shared" si="249"/>
        <v>0.16747929415535212</v>
      </c>
      <c r="CD194" s="32" t="e">
        <f t="shared" si="250"/>
        <v>#N/A</v>
      </c>
      <c r="CE194" s="32" t="e">
        <f t="shared" si="251"/>
        <v>#N/A</v>
      </c>
      <c r="CF194" s="32" t="e">
        <f t="shared" si="252"/>
        <v>#N/A</v>
      </c>
      <c r="CG194" s="32" t="b">
        <f t="shared" si="253"/>
        <v>0</v>
      </c>
      <c r="CH194" s="32" t="b">
        <f t="shared" si="254"/>
        <v>1</v>
      </c>
      <c r="CI194" s="32" t="b">
        <f t="shared" si="255"/>
        <v>0</v>
      </c>
      <c r="CJ194" s="32" t="b">
        <f t="shared" si="256"/>
        <v>1</v>
      </c>
      <c r="CK194" s="32">
        <f t="shared" si="327"/>
        <v>0.16747929415535212</v>
      </c>
      <c r="CL194" s="32" t="e">
        <f t="shared" si="257"/>
        <v>#N/A</v>
      </c>
      <c r="CM194" s="32">
        <f t="shared" si="258"/>
        <v>0.16747929415535212</v>
      </c>
      <c r="CN194" s="45" t="str">
        <f t="shared" si="259"/>
        <v/>
      </c>
      <c r="CO194" s="32">
        <f>_xlfn.NORM.DIST(_xlfn.NORM.INV(1-Eu_g_konfidensniveau,0,1)-Eu_tabel_g[[#This Row],[x base]],0,1,TRUE)</f>
        <v>1.5262818325969226E-3</v>
      </c>
      <c r="CP194" s="32">
        <f>1-_xlfn.NORM.DIST(_xlfn.NORM.INV(Eu_g_konfidensniveau,0,1)-Eu_tabel_g[[#This Row],[x base]],0,1,TRUE)</f>
        <v>0.37171568587583348</v>
      </c>
      <c r="CQ194" s="32">
        <f>_xlfn.NORM.DIST(_xlfn.NORM.INV((1-Eu_g_konfidensniveau)/2,0,1)-Eu_tabel_g[[#This Row],[x base]],0,1,TRUE)+1-_xlfn.NORM.DIST(_xlfn.NORM.INV(1-(1-Eu_g_konfidensniveau)/2,0,1)-Eu_tabel_g[[#This Row],[x base]],0,1,TRUE)</f>
        <v>0.26082290397850783</v>
      </c>
      <c r="CR194" s="32" t="e" cm="1">
        <f t="array" ref="CR194">IF($CR$3,INDEX(Eu_tabel_g[[#This Row],[Styrke venstre]:[Styrke tosidet]],CR$7),NA())</f>
        <v>#N/A</v>
      </c>
      <c r="CS194" s="52" t="e">
        <f>Eu_tabel_g[[#This Row],[Falsk positiv
Nulhypotese accepteres
Fejltype 1]]</f>
        <v>#N/A</v>
      </c>
      <c r="CT194" s="52" t="e">
        <f>IF(CHOOSE(CR$7,Eu_tabel_g[[#This Row],[x base]]&gt;0,Eu_tabel_g[[#This Row],[x base]]&lt;0,Eu_tabel_g[[#This Row],[x base]]=0),Eu_tabel_g[[#This Row],[Styrke, aktiv]],NA())</f>
        <v>#N/A</v>
      </c>
      <c r="CU194" s="52" t="e">
        <f>IFERROR(IF($CR$3,Eu_tabel_g[[#This Row],[Styrke, aktiv]],NA()),NA())</f>
        <v>#N/A</v>
      </c>
      <c r="CV194" s="52" t="e">
        <f>IF(ISNA(Eu_tabel_g[[#This Row],[Sand negativ
Nulhypotese afvises
Korrekt]]),NA(),IF($CR$3,1,NA()))</f>
        <v>#N/A</v>
      </c>
      <c r="CW194" s="34" t="str" cm="1">
        <f t="array" ref="CW194">_xlfn.SWITCH(BZ194,_xlfn.IFNA(CU$2,-99),CU$5,_xlfn.IFNA(CU$3,-99),CU$6,_xlfn.IFNA(CU$4,-99),CU$7,"")</f>
        <v/>
      </c>
      <c r="DA194" s="7">
        <f t="shared" si="260"/>
        <v>0.8</v>
      </c>
      <c r="DB194">
        <f>IF(ROW(Styrkeberegning_G[[#This Row],[X base venstre]])=ROW(Styrkeberegning_G[[#Headers],[X base venstre]])+1,DB$7/(DA$7/$B$67),DB193/(DA193/$B$67))</f>
        <v>-2.8015817870135784</v>
      </c>
      <c r="DC194">
        <f>Styrkeberegning_G[[#This Row],[X base venstre]]*-1</f>
        <v>2.8015817870135784</v>
      </c>
      <c r="DN194" s="32">
        <f t="shared" si="261"/>
        <v>184</v>
      </c>
      <c r="DO194" s="32">
        <f t="shared" si="262"/>
        <v>185</v>
      </c>
      <c r="DP194" s="32">
        <f t="shared" si="263"/>
        <v>22.822890245381874</v>
      </c>
      <c r="DQ194" s="32" t="e">
        <f t="shared" si="264"/>
        <v>#N/A</v>
      </c>
      <c r="DR194" s="32" t="e">
        <f t="shared" si="265"/>
        <v>#N/A</v>
      </c>
      <c r="DS194" s="32">
        <f t="shared" si="266"/>
        <v>6.0564550439681829E-3</v>
      </c>
      <c r="DT194" s="32" t="e">
        <f t="shared" si="267"/>
        <v>#N/A</v>
      </c>
      <c r="DU194" s="32" t="b">
        <f t="shared" si="268"/>
        <v>0</v>
      </c>
      <c r="DV194" s="32" t="b">
        <f t="shared" si="269"/>
        <v>1</v>
      </c>
      <c r="DW194" s="32" t="b">
        <f t="shared" si="270"/>
        <v>1</v>
      </c>
      <c r="DX194" s="32" t="b">
        <f t="shared" si="271"/>
        <v>0</v>
      </c>
      <c r="DY194" s="32">
        <f t="shared" si="272"/>
        <v>6.0564550439681829E-3</v>
      </c>
      <c r="DZ194" s="32">
        <f t="shared" si="273"/>
        <v>6.0564550439681829E-3</v>
      </c>
      <c r="EA194" s="32" t="e">
        <f t="shared" si="274"/>
        <v>#N/A</v>
      </c>
      <c r="EB194" s="45" t="str">
        <f t="shared" si="275"/>
        <v/>
      </c>
      <c r="EG194" s="32">
        <f t="shared" si="276"/>
        <v>184</v>
      </c>
      <c r="EH194" s="32">
        <f t="shared" si="277"/>
        <v>185</v>
      </c>
      <c r="EI194" s="32">
        <f t="shared" si="278"/>
        <v>1.3175409057304632</v>
      </c>
      <c r="EJ194" s="32">
        <f t="shared" si="279"/>
        <v>0.16747929415535212</v>
      </c>
      <c r="EK194" s="32" t="e">
        <f t="shared" si="280"/>
        <v>#N/A</v>
      </c>
      <c r="EL194" s="32" t="e">
        <f t="shared" si="281"/>
        <v>#N/A</v>
      </c>
      <c r="EM194" s="32" t="e">
        <f t="shared" si="282"/>
        <v>#N/A</v>
      </c>
      <c r="EN194" s="32" t="b">
        <f t="shared" si="283"/>
        <v>0</v>
      </c>
      <c r="EO194" s="32" t="b">
        <f t="shared" si="284"/>
        <v>1</v>
      </c>
      <c r="EP194" s="32" t="b">
        <f t="shared" si="285"/>
        <v>0</v>
      </c>
      <c r="EQ194" s="32" t="b">
        <f t="shared" si="286"/>
        <v>1</v>
      </c>
      <c r="ER194" s="32">
        <f t="shared" si="287"/>
        <v>0.16747929415535212</v>
      </c>
      <c r="ES194" s="32" t="e">
        <f t="shared" si="288"/>
        <v>#N/A</v>
      </c>
      <c r="ET194" s="32">
        <f t="shared" si="289"/>
        <v>0.16747929415535212</v>
      </c>
      <c r="EU194" s="45" t="str">
        <f t="shared" si="290"/>
        <v/>
      </c>
      <c r="EV19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4" s="32" t="e" cm="1">
        <f t="array" ref="EY194">IF($CR$3,INDEX(Eu_tabel_a[[#This Row],[Styrke venstre]:[Styrke tosidet]],EY$7),NA())</f>
        <v>#N/A</v>
      </c>
      <c r="EZ194" s="32" t="e">
        <f>IF(EY$3,IF(CHOOSE(EY$7,Eu_tabel_a[[#This Row],[x base]]&gt;0,Eu_tabel_a[[#This Row],[x base]]&lt;0,Eu_tabel_a[[#This Row],[x base]]=0),1,NA()),NA())</f>
        <v>#N/A</v>
      </c>
      <c r="FA194" s="32" t="e">
        <f>IF(CHOOSE(EY$7,Eu_tabel_a[[#This Row],[x base]]&gt;0,Eu_tabel_a[[#This Row],[x base]]&lt;0,Eu_tabel_a[[#This Row],[x base]]=0),Eu_tabel_a[[#This Row],[Styrke, aktiv]],NA())</f>
        <v>#N/A</v>
      </c>
      <c r="FB194" s="32" t="e">
        <f>IFERROR(IF($EY$3,Eu_tabel_a[[#This Row],[Styrke, aktiv]],NA()),NA())</f>
        <v>#N/A</v>
      </c>
      <c r="FC194" s="32" t="e">
        <f>IF(ISNA(Eu_tabel_a[[#This Row],[Sand negativ
Nulhypotese afvises
Korrekt]]),NA(),IF(EY$3,1,NA()))</f>
        <v>#N/A</v>
      </c>
      <c r="FD194" s="33" t="str" cm="1">
        <f t="array" ref="FD194">IFERROR(_xlfn.SWITCH(Eu_tabel_a[[#This Row],[Indeks]],_xlfn.IFNA(FB$2,-99),FB$5,_xlfn.IFNA(FB$3,-99),FB$6,_xlfn.IFNA(FB$4,-99),FB$7,""),"")</f>
        <v/>
      </c>
      <c r="FE194" s="32">
        <f>Eu_tabel_a[[#This Row],[x base]]*SQRT(Eu_a_h0_x*(1-Eu_a_h0_x)/Eu_a_n_x)+Eu_a_h0_x</f>
        <v>0</v>
      </c>
      <c r="FJ194" s="74" t="e">
        <f t="shared" si="234"/>
        <v>#N/A</v>
      </c>
      <c r="FK194" s="82" t="e">
        <f t="shared" si="322"/>
        <v>#DIV/0!</v>
      </c>
      <c r="FL194" s="7" t="e">
        <f t="shared" si="228"/>
        <v>#DIV/0!</v>
      </c>
      <c r="FM194" t="e">
        <f t="shared" si="323"/>
        <v>#DIV/0!</v>
      </c>
      <c r="FN194" s="8" t="e">
        <f t="shared" si="324"/>
        <v>#DIV/0!</v>
      </c>
      <c r="FO194" s="8" t="e">
        <f t="shared" si="325"/>
        <v>#DIV/0!</v>
      </c>
      <c r="FP194" s="81" t="e">
        <f t="shared" si="326"/>
        <v>#DIV/0!</v>
      </c>
      <c r="FQ194" s="74" t="e">
        <f t="shared" ca="1" si="229"/>
        <v>#N/A</v>
      </c>
      <c r="FR194" s="82" t="e" vm="3">
        <f t="shared" ca="1" si="235"/>
        <v>#VALUE!</v>
      </c>
      <c r="FS194" s="7" t="e" vm="3">
        <f t="shared" ca="1" si="230"/>
        <v>#VALUE!</v>
      </c>
      <c r="FT194" t="e" vm="3">
        <f t="shared" ca="1" si="224"/>
        <v>#VALUE!</v>
      </c>
      <c r="FU194" s="8" t="e" vm="3">
        <f t="shared" ca="1" si="225"/>
        <v>#VALUE!</v>
      </c>
      <c r="FV194" s="8" t="e" vm="3">
        <f t="shared" ca="1" si="226"/>
        <v>#VALUE!</v>
      </c>
      <c r="FW194" s="81" t="e" vm="3">
        <f t="shared" ca="1" si="227"/>
        <v>#VALUE!</v>
      </c>
      <c r="FX194" s="74" t="e">
        <f t="shared" si="231"/>
        <v>#N/A</v>
      </c>
      <c r="FY194" s="82" t="e">
        <f t="shared" si="236"/>
        <v>#N/A</v>
      </c>
      <c r="FZ194" s="7" t="e">
        <f t="shared" si="232"/>
        <v>#N/A</v>
      </c>
      <c r="GA194" t="e">
        <f t="shared" si="237"/>
        <v>#N/A</v>
      </c>
      <c r="GB194" s="8" t="e">
        <f t="shared" si="238"/>
        <v>#N/A</v>
      </c>
      <c r="GC194" s="8" t="e">
        <f t="shared" si="239"/>
        <v>#N/A</v>
      </c>
      <c r="GD194" s="81" t="e">
        <f t="shared" si="240"/>
        <v>#N/A</v>
      </c>
      <c r="GE194" s="74" t="e">
        <f t="shared" si="241"/>
        <v>#N/A</v>
      </c>
      <c r="GF194" s="82" t="e">
        <f t="shared" si="242"/>
        <v>#N/A</v>
      </c>
      <c r="GG194" s="7" t="e">
        <f t="shared" si="233"/>
        <v>#N/A</v>
      </c>
      <c r="GH194" t="e">
        <f t="shared" si="243"/>
        <v>#N/A</v>
      </c>
      <c r="GI194" s="8" t="e">
        <f t="shared" si="244"/>
        <v>#N/A</v>
      </c>
      <c r="GJ194" s="8" t="e">
        <f t="shared" si="245"/>
        <v>#N/A</v>
      </c>
      <c r="GK194" s="81" t="e">
        <f t="shared" si="246"/>
        <v>#N/A</v>
      </c>
      <c r="GL194" s="81"/>
      <c r="GM194" s="81"/>
      <c r="GP194" s="32">
        <f t="shared" si="291"/>
        <v>184</v>
      </c>
      <c r="GQ194" s="32">
        <f t="shared" si="292"/>
        <v>185</v>
      </c>
      <c r="GR194" s="32">
        <f t="shared" si="293"/>
        <v>1.3175409057304632</v>
      </c>
      <c r="GS194" s="32">
        <f t="shared" si="294"/>
        <v>0.16747929415535212</v>
      </c>
      <c r="GT194" s="32" t="e">
        <f t="shared" si="295"/>
        <v>#N/A</v>
      </c>
      <c r="GU194" s="32" t="e">
        <f t="shared" si="296"/>
        <v>#N/A</v>
      </c>
      <c r="GV194" s="32" t="e">
        <f t="shared" si="297"/>
        <v>#N/A</v>
      </c>
      <c r="GW194" s="32" t="b">
        <f t="shared" si="298"/>
        <v>0</v>
      </c>
      <c r="GX194" s="32" t="b">
        <f t="shared" si="299"/>
        <v>1</v>
      </c>
      <c r="GY194" s="32" t="b">
        <f t="shared" si="300"/>
        <v>0</v>
      </c>
      <c r="GZ194" s="32" t="b">
        <f t="shared" si="301"/>
        <v>1</v>
      </c>
      <c r="HA194" s="32">
        <f t="shared" si="302"/>
        <v>0.16747929415535212</v>
      </c>
      <c r="HB194" s="32" t="e">
        <f t="shared" si="303"/>
        <v>#N/A</v>
      </c>
      <c r="HC194" s="32">
        <f t="shared" si="304"/>
        <v>0.16747929415535212</v>
      </c>
      <c r="HD194" s="45" t="str">
        <f t="shared" si="305"/>
        <v/>
      </c>
      <c r="HJ194" s="32">
        <f t="shared" si="306"/>
        <v>184</v>
      </c>
      <c r="HK194" s="32">
        <f t="shared" si="307"/>
        <v>185</v>
      </c>
      <c r="HL194" s="32">
        <f t="shared" si="308"/>
        <v>2.0402397641481267</v>
      </c>
      <c r="HM194" s="32" t="e">
        <f t="shared" si="309"/>
        <v>#N/A</v>
      </c>
      <c r="HN194" s="32">
        <f t="shared" si="310"/>
        <v>5.9536756814595783E-2</v>
      </c>
      <c r="HO194" s="32" t="e">
        <f t="shared" si="311"/>
        <v>#N/A</v>
      </c>
      <c r="HP194" s="32" t="e">
        <f t="shared" si="312"/>
        <v>#N/A</v>
      </c>
      <c r="HQ194" s="32" t="b">
        <f t="shared" si="313"/>
        <v>0</v>
      </c>
      <c r="HR194" s="32" t="b">
        <f t="shared" si="314"/>
        <v>1</v>
      </c>
      <c r="HS194" s="32" t="b">
        <f t="shared" si="315"/>
        <v>1</v>
      </c>
      <c r="HT194" s="32" t="b">
        <f t="shared" si="316"/>
        <v>0</v>
      </c>
      <c r="HU194" s="32">
        <f t="shared" si="317"/>
        <v>5.9536756814595783E-2</v>
      </c>
      <c r="HV194" s="32" t="e">
        <f t="shared" si="318"/>
        <v>#N/A</v>
      </c>
      <c r="HW194" s="32">
        <f t="shared" si="319"/>
        <v>5.9536756814595783E-2</v>
      </c>
      <c r="HX194" s="45" t="str">
        <f t="shared" si="320"/>
        <v/>
      </c>
    </row>
    <row r="195" spans="78:232" x14ac:dyDescent="0.2">
      <c r="BZ195" s="32">
        <f t="shared" si="247"/>
        <v>185</v>
      </c>
      <c r="CA195" s="32">
        <f>Eu_tabel_g[[#This Row],[Indeks]]+1</f>
        <v>186</v>
      </c>
      <c r="CB195" s="32">
        <f t="shared" si="248"/>
        <v>1.3414961949255622</v>
      </c>
      <c r="CC195" s="32">
        <f t="shared" si="249"/>
        <v>0.16222929330418065</v>
      </c>
      <c r="CD195" s="32" t="e">
        <f t="shared" si="250"/>
        <v>#N/A</v>
      </c>
      <c r="CE195" s="32" t="e">
        <f t="shared" si="251"/>
        <v>#N/A</v>
      </c>
      <c r="CF195" s="32" t="e">
        <f t="shared" si="252"/>
        <v>#N/A</v>
      </c>
      <c r="CG195" s="32" t="b">
        <f t="shared" si="253"/>
        <v>0</v>
      </c>
      <c r="CH195" s="32" t="b">
        <f t="shared" si="254"/>
        <v>1</v>
      </c>
      <c r="CI195" s="32" t="b">
        <f t="shared" si="255"/>
        <v>0</v>
      </c>
      <c r="CJ195" s="32" t="b">
        <f t="shared" si="256"/>
        <v>1</v>
      </c>
      <c r="CK195" s="32">
        <f t="shared" si="327"/>
        <v>0.16222929330418065</v>
      </c>
      <c r="CL195" s="32" t="e">
        <f t="shared" si="257"/>
        <v>#N/A</v>
      </c>
      <c r="CM195" s="32">
        <f t="shared" si="258"/>
        <v>0.16222929330418065</v>
      </c>
      <c r="CN195" s="45" t="str">
        <f t="shared" si="259"/>
        <v/>
      </c>
      <c r="CO195" s="32">
        <f>_xlfn.NORM.DIST(_xlfn.NORM.INV(1-Eu_g_konfidensniveau,0,1)-Eu_tabel_g[[#This Row],[x base]],0,1,TRUE)</f>
        <v>1.4116473590257601E-3</v>
      </c>
      <c r="CP195" s="32">
        <f>1-_xlfn.NORM.DIST(_xlfn.NORM.INV(Eu_g_konfidensniveau,0,1)-Eu_tabel_g[[#This Row],[x base]],0,1,TRUE)</f>
        <v>0.38080874120305852</v>
      </c>
      <c r="CQ195" s="32">
        <f>_xlfn.NORM.DIST(_xlfn.NORM.INV((1-Eu_g_konfidensniveau)/2,0,1)-Eu_tabel_g[[#This Row],[x base]],0,1,TRUE)+1-_xlfn.NORM.DIST(_xlfn.NORM.INV(1-(1-Eu_g_konfidensniveau)/2,0,1)-Eu_tabel_g[[#This Row],[x base]],0,1,TRUE)</f>
        <v>0.26861442693718096</v>
      </c>
      <c r="CR195" s="32" t="e" cm="1">
        <f t="array" ref="CR195">IF($CR$3,INDEX(Eu_tabel_g[[#This Row],[Styrke venstre]:[Styrke tosidet]],CR$7),NA())</f>
        <v>#N/A</v>
      </c>
      <c r="CS195" s="52" t="e">
        <f>Eu_tabel_g[[#This Row],[Falsk positiv
Nulhypotese accepteres
Fejltype 1]]</f>
        <v>#N/A</v>
      </c>
      <c r="CT195" s="52" t="e">
        <f>IF(CHOOSE(CR$7,Eu_tabel_g[[#This Row],[x base]]&gt;0,Eu_tabel_g[[#This Row],[x base]]&lt;0,Eu_tabel_g[[#This Row],[x base]]=0),Eu_tabel_g[[#This Row],[Styrke, aktiv]],NA())</f>
        <v>#N/A</v>
      </c>
      <c r="CU195" s="52" t="e">
        <f>IFERROR(IF($CR$3,Eu_tabel_g[[#This Row],[Styrke, aktiv]],NA()),NA())</f>
        <v>#N/A</v>
      </c>
      <c r="CV195" s="52" t="e">
        <f>IF(ISNA(Eu_tabel_g[[#This Row],[Sand negativ
Nulhypotese afvises
Korrekt]]),NA(),IF($CR$3,1,NA()))</f>
        <v>#N/A</v>
      </c>
      <c r="CW195" s="34" t="str" cm="1">
        <f t="array" ref="CW195">_xlfn.SWITCH(BZ195,_xlfn.IFNA(CU$2,-99),CU$5,_xlfn.IFNA(CU$3,-99),CU$6,_xlfn.IFNA(CU$4,-99),CU$7,"")</f>
        <v/>
      </c>
      <c r="DA195" s="7">
        <f t="shared" si="260"/>
        <v>0.8</v>
      </c>
      <c r="DB195">
        <f>IF(ROW(Styrkeberegning_G[[#This Row],[X base venstre]])=ROW(Styrkeberegning_G[[#Headers],[X base venstre]])+1,DB$7/(DA$7/$B$67),DB194/(DA194/$B$67))</f>
        <v>-2.8015817870135784</v>
      </c>
      <c r="DC195">
        <f>Styrkeberegning_G[[#This Row],[X base venstre]]*-1</f>
        <v>2.8015817870135784</v>
      </c>
      <c r="DN195" s="32">
        <f t="shared" si="261"/>
        <v>185</v>
      </c>
      <c r="DO195" s="32">
        <f t="shared" si="262"/>
        <v>186</v>
      </c>
      <c r="DP195" s="32">
        <f t="shared" si="263"/>
        <v>22.936961101798875</v>
      </c>
      <c r="DQ195" s="32" t="e">
        <f t="shared" si="264"/>
        <v>#N/A</v>
      </c>
      <c r="DR195" s="32" t="e">
        <f t="shared" si="265"/>
        <v>#N/A</v>
      </c>
      <c r="DS195" s="32">
        <f t="shared" si="266"/>
        <v>5.8504852610541331E-3</v>
      </c>
      <c r="DT195" s="32" t="e">
        <f t="shared" si="267"/>
        <v>#N/A</v>
      </c>
      <c r="DU195" s="32" t="b">
        <f t="shared" si="268"/>
        <v>0</v>
      </c>
      <c r="DV195" s="32" t="b">
        <f t="shared" si="269"/>
        <v>1</v>
      </c>
      <c r="DW195" s="32" t="b">
        <f t="shared" si="270"/>
        <v>1</v>
      </c>
      <c r="DX195" s="32" t="b">
        <f t="shared" si="271"/>
        <v>0</v>
      </c>
      <c r="DY195" s="32">
        <f t="shared" si="272"/>
        <v>5.8504852610541331E-3</v>
      </c>
      <c r="DZ195" s="32">
        <f t="shared" si="273"/>
        <v>5.8504852610541331E-3</v>
      </c>
      <c r="EA195" s="32" t="e">
        <f t="shared" si="274"/>
        <v>#N/A</v>
      </c>
      <c r="EB195" s="45" t="str">
        <f t="shared" si="275"/>
        <v/>
      </c>
      <c r="EG195" s="32">
        <f t="shared" si="276"/>
        <v>185</v>
      </c>
      <c r="EH195" s="32">
        <f t="shared" si="277"/>
        <v>186</v>
      </c>
      <c r="EI195" s="32">
        <f t="shared" si="278"/>
        <v>1.3414961949255622</v>
      </c>
      <c r="EJ195" s="32">
        <f t="shared" si="279"/>
        <v>0.16222929330418065</v>
      </c>
      <c r="EK195" s="32" t="e">
        <f t="shared" si="280"/>
        <v>#N/A</v>
      </c>
      <c r="EL195" s="32" t="e">
        <f t="shared" si="281"/>
        <v>#N/A</v>
      </c>
      <c r="EM195" s="32" t="e">
        <f t="shared" si="282"/>
        <v>#N/A</v>
      </c>
      <c r="EN195" s="32" t="b">
        <f t="shared" si="283"/>
        <v>0</v>
      </c>
      <c r="EO195" s="32" t="b">
        <f t="shared" si="284"/>
        <v>1</v>
      </c>
      <c r="EP195" s="32" t="b">
        <f t="shared" si="285"/>
        <v>0</v>
      </c>
      <c r="EQ195" s="32" t="b">
        <f t="shared" si="286"/>
        <v>1</v>
      </c>
      <c r="ER195" s="32">
        <f t="shared" si="287"/>
        <v>0.16222929330418065</v>
      </c>
      <c r="ES195" s="32" t="e">
        <f t="shared" si="288"/>
        <v>#N/A</v>
      </c>
      <c r="ET195" s="32">
        <f t="shared" si="289"/>
        <v>0.16222929330418065</v>
      </c>
      <c r="EU195" s="45" t="str">
        <f t="shared" si="290"/>
        <v/>
      </c>
      <c r="EV19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5" s="32" t="e" cm="1">
        <f t="array" ref="EY195">IF($CR$3,INDEX(Eu_tabel_a[[#This Row],[Styrke venstre]:[Styrke tosidet]],EY$7),NA())</f>
        <v>#N/A</v>
      </c>
      <c r="EZ195" s="32" t="e">
        <f>IF(EY$3,IF(CHOOSE(EY$7,Eu_tabel_a[[#This Row],[x base]]&gt;0,Eu_tabel_a[[#This Row],[x base]]&lt;0,Eu_tabel_a[[#This Row],[x base]]=0),1,NA()),NA())</f>
        <v>#N/A</v>
      </c>
      <c r="FA195" s="32" t="e">
        <f>IF(CHOOSE(EY$7,Eu_tabel_a[[#This Row],[x base]]&gt;0,Eu_tabel_a[[#This Row],[x base]]&lt;0,Eu_tabel_a[[#This Row],[x base]]=0),Eu_tabel_a[[#This Row],[Styrke, aktiv]],NA())</f>
        <v>#N/A</v>
      </c>
      <c r="FB195" s="32" t="e">
        <f>IFERROR(IF($EY$3,Eu_tabel_a[[#This Row],[Styrke, aktiv]],NA()),NA())</f>
        <v>#N/A</v>
      </c>
      <c r="FC195" s="32" t="e">
        <f>IF(ISNA(Eu_tabel_a[[#This Row],[Sand negativ
Nulhypotese afvises
Korrekt]]),NA(),IF(EY$3,1,NA()))</f>
        <v>#N/A</v>
      </c>
      <c r="FD195" s="33" t="str" cm="1">
        <f t="array" ref="FD195">IFERROR(_xlfn.SWITCH(Eu_tabel_a[[#This Row],[Indeks]],_xlfn.IFNA(FB$2,-99),FB$5,_xlfn.IFNA(FB$3,-99),FB$6,_xlfn.IFNA(FB$4,-99),FB$7,""),"")</f>
        <v/>
      </c>
      <c r="FE195" s="32">
        <f>Eu_tabel_a[[#This Row],[x base]]*SQRT(Eu_a_h0_x*(1-Eu_a_h0_x)/Eu_a_n_x)+Eu_a_h0_x</f>
        <v>0</v>
      </c>
      <c r="FJ195" s="74" t="e">
        <f t="shared" si="234"/>
        <v>#N/A</v>
      </c>
      <c r="FK195" s="82" t="e">
        <f t="shared" si="322"/>
        <v>#DIV/0!</v>
      </c>
      <c r="FL195" s="7" t="e">
        <f t="shared" si="228"/>
        <v>#DIV/0!</v>
      </c>
      <c r="FM195" t="e">
        <f t="shared" si="323"/>
        <v>#DIV/0!</v>
      </c>
      <c r="FN195" s="8" t="e">
        <f t="shared" si="324"/>
        <v>#DIV/0!</v>
      </c>
      <c r="FO195" s="8" t="e">
        <f t="shared" si="325"/>
        <v>#DIV/0!</v>
      </c>
      <c r="FP195" s="81" t="e">
        <f t="shared" si="326"/>
        <v>#DIV/0!</v>
      </c>
      <c r="FQ195" s="74" t="e">
        <f t="shared" ca="1" si="229"/>
        <v>#N/A</v>
      </c>
      <c r="FR195" s="82" t="e" vm="3">
        <f t="shared" ca="1" si="235"/>
        <v>#VALUE!</v>
      </c>
      <c r="FS195" s="7" t="e" vm="3">
        <f t="shared" ca="1" si="230"/>
        <v>#VALUE!</v>
      </c>
      <c r="FT195" t="e" vm="3">
        <f t="shared" ca="1" si="224"/>
        <v>#VALUE!</v>
      </c>
      <c r="FU195" s="8" t="e" vm="3">
        <f t="shared" ca="1" si="225"/>
        <v>#VALUE!</v>
      </c>
      <c r="FV195" s="8" t="e" vm="3">
        <f t="shared" ca="1" si="226"/>
        <v>#VALUE!</v>
      </c>
      <c r="FW195" s="81" t="e" vm="3">
        <f t="shared" ca="1" si="227"/>
        <v>#VALUE!</v>
      </c>
      <c r="FX195" s="74" t="e">
        <f t="shared" si="231"/>
        <v>#N/A</v>
      </c>
      <c r="FY195" s="82" t="e">
        <f t="shared" si="236"/>
        <v>#N/A</v>
      </c>
      <c r="FZ195" s="7" t="e">
        <f t="shared" si="232"/>
        <v>#N/A</v>
      </c>
      <c r="GA195" t="e">
        <f t="shared" si="237"/>
        <v>#N/A</v>
      </c>
      <c r="GB195" s="8" t="e">
        <f t="shared" si="238"/>
        <v>#N/A</v>
      </c>
      <c r="GC195" s="8" t="e">
        <f t="shared" si="239"/>
        <v>#N/A</v>
      </c>
      <c r="GD195" s="81" t="e">
        <f t="shared" si="240"/>
        <v>#N/A</v>
      </c>
      <c r="GE195" s="74" t="e">
        <f t="shared" si="241"/>
        <v>#N/A</v>
      </c>
      <c r="GF195" s="82" t="e">
        <f t="shared" si="242"/>
        <v>#N/A</v>
      </c>
      <c r="GG195" s="7" t="e">
        <f t="shared" si="233"/>
        <v>#N/A</v>
      </c>
      <c r="GH195" t="e">
        <f t="shared" si="243"/>
        <v>#N/A</v>
      </c>
      <c r="GI195" s="8" t="e">
        <f t="shared" si="244"/>
        <v>#N/A</v>
      </c>
      <c r="GJ195" s="8" t="e">
        <f t="shared" si="245"/>
        <v>#N/A</v>
      </c>
      <c r="GK195" s="81" t="e">
        <f t="shared" si="246"/>
        <v>#N/A</v>
      </c>
      <c r="GL195" s="81"/>
      <c r="GM195" s="81"/>
      <c r="GP195" s="32">
        <f t="shared" si="291"/>
        <v>185</v>
      </c>
      <c r="GQ195" s="32">
        <f t="shared" si="292"/>
        <v>186</v>
      </c>
      <c r="GR195" s="32">
        <f t="shared" si="293"/>
        <v>1.3414961949255622</v>
      </c>
      <c r="GS195" s="32">
        <f t="shared" si="294"/>
        <v>0.16222929330418065</v>
      </c>
      <c r="GT195" s="32" t="e">
        <f t="shared" si="295"/>
        <v>#N/A</v>
      </c>
      <c r="GU195" s="32" t="e">
        <f t="shared" si="296"/>
        <v>#N/A</v>
      </c>
      <c r="GV195" s="32" t="e">
        <f t="shared" si="297"/>
        <v>#N/A</v>
      </c>
      <c r="GW195" s="32" t="b">
        <f t="shared" si="298"/>
        <v>0</v>
      </c>
      <c r="GX195" s="32" t="b">
        <f t="shared" si="299"/>
        <v>1</v>
      </c>
      <c r="GY195" s="32" t="b">
        <f t="shared" si="300"/>
        <v>0</v>
      </c>
      <c r="GZ195" s="32" t="b">
        <f t="shared" si="301"/>
        <v>1</v>
      </c>
      <c r="HA195" s="32">
        <f t="shared" si="302"/>
        <v>0.16222929330418065</v>
      </c>
      <c r="HB195" s="32" t="e">
        <f t="shared" si="303"/>
        <v>#N/A</v>
      </c>
      <c r="HC195" s="32">
        <f t="shared" si="304"/>
        <v>0.16222929330418065</v>
      </c>
      <c r="HD195" s="45" t="str">
        <f t="shared" si="305"/>
        <v/>
      </c>
      <c r="HJ195" s="32">
        <f t="shared" si="306"/>
        <v>185</v>
      </c>
      <c r="HK195" s="32">
        <f t="shared" si="307"/>
        <v>186</v>
      </c>
      <c r="HL195" s="32">
        <f t="shared" si="308"/>
        <v>2.0773350325871833</v>
      </c>
      <c r="HM195" s="32" t="e">
        <f t="shared" si="309"/>
        <v>#N/A</v>
      </c>
      <c r="HN195" s="32">
        <f t="shared" si="310"/>
        <v>5.6386580151706368E-2</v>
      </c>
      <c r="HO195" s="32" t="e">
        <f t="shared" si="311"/>
        <v>#N/A</v>
      </c>
      <c r="HP195" s="32" t="e">
        <f t="shared" si="312"/>
        <v>#N/A</v>
      </c>
      <c r="HQ195" s="32" t="b">
        <f t="shared" si="313"/>
        <v>0</v>
      </c>
      <c r="HR195" s="32" t="b">
        <f t="shared" si="314"/>
        <v>1</v>
      </c>
      <c r="HS195" s="32" t="b">
        <f t="shared" si="315"/>
        <v>1</v>
      </c>
      <c r="HT195" s="32" t="b">
        <f t="shared" si="316"/>
        <v>0</v>
      </c>
      <c r="HU195" s="32">
        <f t="shared" si="317"/>
        <v>5.6386580151706368E-2</v>
      </c>
      <c r="HV195" s="32" t="e">
        <f t="shared" si="318"/>
        <v>#N/A</v>
      </c>
      <c r="HW195" s="32">
        <f t="shared" si="319"/>
        <v>5.6386580151706368E-2</v>
      </c>
      <c r="HX195" s="45" t="str">
        <f t="shared" si="320"/>
        <v/>
      </c>
    </row>
    <row r="196" spans="78:232" x14ac:dyDescent="0.2">
      <c r="BZ196" s="32">
        <f t="shared" si="247"/>
        <v>186</v>
      </c>
      <c r="CA196" s="32">
        <f>Eu_tabel_g[[#This Row],[Indeks]]+1</f>
        <v>187</v>
      </c>
      <c r="CB196" s="32">
        <f t="shared" si="248"/>
        <v>1.365451484120662</v>
      </c>
      <c r="CC196" s="32">
        <f t="shared" si="249"/>
        <v>0.1570537130277106</v>
      </c>
      <c r="CD196" s="32" t="e">
        <f t="shared" si="250"/>
        <v>#N/A</v>
      </c>
      <c r="CE196" s="32" t="e">
        <f t="shared" si="251"/>
        <v>#N/A</v>
      </c>
      <c r="CF196" s="32" t="e">
        <f t="shared" si="252"/>
        <v>#N/A</v>
      </c>
      <c r="CG196" s="32" t="b">
        <f t="shared" si="253"/>
        <v>0</v>
      </c>
      <c r="CH196" s="32" t="b">
        <f t="shared" si="254"/>
        <v>1</v>
      </c>
      <c r="CI196" s="32" t="b">
        <f t="shared" si="255"/>
        <v>0</v>
      </c>
      <c r="CJ196" s="32" t="b">
        <f t="shared" si="256"/>
        <v>1</v>
      </c>
      <c r="CK196" s="32">
        <f t="shared" si="327"/>
        <v>0.1570537130277106</v>
      </c>
      <c r="CL196" s="32" t="e">
        <f t="shared" si="257"/>
        <v>#N/A</v>
      </c>
      <c r="CM196" s="32">
        <f t="shared" si="258"/>
        <v>0.1570537130277106</v>
      </c>
      <c r="CN196" s="45" t="str">
        <f t="shared" si="259"/>
        <v/>
      </c>
      <c r="CO196" s="32">
        <f>_xlfn.NORM.DIST(_xlfn.NORM.INV(1-Eu_g_konfidensniveau,0,1)-Eu_tabel_g[[#This Row],[x base]],0,1,TRUE)</f>
        <v>1.3049268744640917E-3</v>
      </c>
      <c r="CP196" s="32">
        <f>1-_xlfn.NORM.DIST(_xlfn.NORM.INV(Eu_g_konfidensniveau,0,1)-Eu_tabel_g[[#This Row],[x base]],0,1,TRUE)</f>
        <v>0.3899681133994275</v>
      </c>
      <c r="CQ196" s="32">
        <f>_xlfn.NORM.DIST(_xlfn.NORM.INV((1-Eu_g_konfidensniveau)/2,0,1)-Eu_tabel_g[[#This Row],[x base]],0,1,TRUE)+1-_xlfn.NORM.DIST(_xlfn.NORM.INV(1-(1-Eu_g_konfidensniveau)/2,0,1)-Eu_tabel_g[[#This Row],[x base]],0,1,TRUE)</f>
        <v>0.27652612634393015</v>
      </c>
      <c r="CR196" s="32" t="e" cm="1">
        <f t="array" ref="CR196">IF($CR$3,INDEX(Eu_tabel_g[[#This Row],[Styrke venstre]:[Styrke tosidet]],CR$7),NA())</f>
        <v>#N/A</v>
      </c>
      <c r="CS196" s="52" t="e">
        <f>Eu_tabel_g[[#This Row],[Falsk positiv
Nulhypotese accepteres
Fejltype 1]]</f>
        <v>#N/A</v>
      </c>
      <c r="CT196" s="52" t="e">
        <f>IF(CHOOSE(CR$7,Eu_tabel_g[[#This Row],[x base]]&gt;0,Eu_tabel_g[[#This Row],[x base]]&lt;0,Eu_tabel_g[[#This Row],[x base]]=0),Eu_tabel_g[[#This Row],[Styrke, aktiv]],NA())</f>
        <v>#N/A</v>
      </c>
      <c r="CU196" s="52" t="e">
        <f>IFERROR(IF($CR$3,Eu_tabel_g[[#This Row],[Styrke, aktiv]],NA()),NA())</f>
        <v>#N/A</v>
      </c>
      <c r="CV196" s="52" t="e">
        <f>IF(ISNA(Eu_tabel_g[[#This Row],[Sand negativ
Nulhypotese afvises
Korrekt]]),NA(),IF($CR$3,1,NA()))</f>
        <v>#N/A</v>
      </c>
      <c r="CW196" s="34" t="str" cm="1">
        <f t="array" ref="CW196">_xlfn.SWITCH(BZ196,_xlfn.IFNA(CU$2,-99),CU$5,_xlfn.IFNA(CU$3,-99),CU$6,_xlfn.IFNA(CU$4,-99),CU$7,"")</f>
        <v/>
      </c>
      <c r="DA196" s="7">
        <f t="shared" si="260"/>
        <v>0.8</v>
      </c>
      <c r="DB196">
        <f>IF(ROW(Styrkeberegning_G[[#This Row],[X base venstre]])=ROW(Styrkeberegning_G[[#Headers],[X base venstre]])+1,DB$7/(DA$7/$B$67),DB195/(DA195/$B$67))</f>
        <v>-2.8015817870135784</v>
      </c>
      <c r="DC196">
        <f>Styrkeberegning_G[[#This Row],[X base venstre]]*-1</f>
        <v>2.8015817870135784</v>
      </c>
      <c r="DN196" s="32">
        <f t="shared" si="261"/>
        <v>186</v>
      </c>
      <c r="DO196" s="32">
        <f t="shared" si="262"/>
        <v>187</v>
      </c>
      <c r="DP196" s="32">
        <f t="shared" si="263"/>
        <v>23.051031958215876</v>
      </c>
      <c r="DQ196" s="32" t="e">
        <f t="shared" si="264"/>
        <v>#N/A</v>
      </c>
      <c r="DR196" s="32" t="e">
        <f t="shared" si="265"/>
        <v>#N/A</v>
      </c>
      <c r="DS196" s="32">
        <f t="shared" si="266"/>
        <v>5.6508911820412622E-3</v>
      </c>
      <c r="DT196" s="32" t="e">
        <f t="shared" si="267"/>
        <v>#N/A</v>
      </c>
      <c r="DU196" s="32" t="b">
        <f t="shared" si="268"/>
        <v>0</v>
      </c>
      <c r="DV196" s="32" t="b">
        <f t="shared" si="269"/>
        <v>1</v>
      </c>
      <c r="DW196" s="32" t="b">
        <f t="shared" si="270"/>
        <v>1</v>
      </c>
      <c r="DX196" s="32" t="b">
        <f t="shared" si="271"/>
        <v>0</v>
      </c>
      <c r="DY196" s="32">
        <f t="shared" si="272"/>
        <v>5.6508911820412622E-3</v>
      </c>
      <c r="DZ196" s="32">
        <f t="shared" si="273"/>
        <v>5.6508911820412622E-3</v>
      </c>
      <c r="EA196" s="32" t="e">
        <f t="shared" si="274"/>
        <v>#N/A</v>
      </c>
      <c r="EB196" s="45" t="str">
        <f t="shared" si="275"/>
        <v/>
      </c>
      <c r="EG196" s="32">
        <f t="shared" si="276"/>
        <v>186</v>
      </c>
      <c r="EH196" s="32">
        <f t="shared" si="277"/>
        <v>187</v>
      </c>
      <c r="EI196" s="32">
        <f t="shared" si="278"/>
        <v>1.365451484120662</v>
      </c>
      <c r="EJ196" s="32">
        <f t="shared" si="279"/>
        <v>0.1570537130277106</v>
      </c>
      <c r="EK196" s="32" t="e">
        <f t="shared" si="280"/>
        <v>#N/A</v>
      </c>
      <c r="EL196" s="32" t="e">
        <f t="shared" si="281"/>
        <v>#N/A</v>
      </c>
      <c r="EM196" s="32" t="e">
        <f t="shared" si="282"/>
        <v>#N/A</v>
      </c>
      <c r="EN196" s="32" t="b">
        <f t="shared" si="283"/>
        <v>0</v>
      </c>
      <c r="EO196" s="32" t="b">
        <f t="shared" si="284"/>
        <v>1</v>
      </c>
      <c r="EP196" s="32" t="b">
        <f t="shared" si="285"/>
        <v>0</v>
      </c>
      <c r="EQ196" s="32" t="b">
        <f t="shared" si="286"/>
        <v>1</v>
      </c>
      <c r="ER196" s="32">
        <f t="shared" si="287"/>
        <v>0.1570537130277106</v>
      </c>
      <c r="ES196" s="32" t="e">
        <f t="shared" si="288"/>
        <v>#N/A</v>
      </c>
      <c r="ET196" s="32">
        <f t="shared" si="289"/>
        <v>0.1570537130277106</v>
      </c>
      <c r="EU196" s="45" t="str">
        <f t="shared" si="290"/>
        <v/>
      </c>
      <c r="EV19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6" s="32" t="e" cm="1">
        <f t="array" ref="EY196">IF($CR$3,INDEX(Eu_tabel_a[[#This Row],[Styrke venstre]:[Styrke tosidet]],EY$7),NA())</f>
        <v>#N/A</v>
      </c>
      <c r="EZ196" s="32" t="e">
        <f>IF(EY$3,IF(CHOOSE(EY$7,Eu_tabel_a[[#This Row],[x base]]&gt;0,Eu_tabel_a[[#This Row],[x base]]&lt;0,Eu_tabel_a[[#This Row],[x base]]=0),1,NA()),NA())</f>
        <v>#N/A</v>
      </c>
      <c r="FA196" s="32" t="e">
        <f>IF(CHOOSE(EY$7,Eu_tabel_a[[#This Row],[x base]]&gt;0,Eu_tabel_a[[#This Row],[x base]]&lt;0,Eu_tabel_a[[#This Row],[x base]]=0),Eu_tabel_a[[#This Row],[Styrke, aktiv]],NA())</f>
        <v>#N/A</v>
      </c>
      <c r="FB196" s="32" t="e">
        <f>IFERROR(IF($EY$3,Eu_tabel_a[[#This Row],[Styrke, aktiv]],NA()),NA())</f>
        <v>#N/A</v>
      </c>
      <c r="FC196" s="32" t="e">
        <f>IF(ISNA(Eu_tabel_a[[#This Row],[Sand negativ
Nulhypotese afvises
Korrekt]]),NA(),IF(EY$3,1,NA()))</f>
        <v>#N/A</v>
      </c>
      <c r="FD196" s="33" t="str" cm="1">
        <f t="array" ref="FD196">IFERROR(_xlfn.SWITCH(Eu_tabel_a[[#This Row],[Indeks]],_xlfn.IFNA(FB$2,-99),FB$5,_xlfn.IFNA(FB$3,-99),FB$6,_xlfn.IFNA(FB$4,-99),FB$7,""),"")</f>
        <v/>
      </c>
      <c r="FE196" s="32">
        <f>Eu_tabel_a[[#This Row],[x base]]*SQRT(Eu_a_h0_x*(1-Eu_a_h0_x)/Eu_a_n_x)+Eu_a_h0_x</f>
        <v>0</v>
      </c>
      <c r="FJ196" s="74" t="e">
        <f t="shared" si="234"/>
        <v>#N/A</v>
      </c>
      <c r="FK196" s="82" t="e">
        <f t="shared" si="322"/>
        <v>#DIV/0!</v>
      </c>
      <c r="FL196" s="7" t="e">
        <f t="shared" si="228"/>
        <v>#DIV/0!</v>
      </c>
      <c r="FM196" t="e">
        <f t="shared" si="323"/>
        <v>#DIV/0!</v>
      </c>
      <c r="FN196" s="8" t="e">
        <f t="shared" si="324"/>
        <v>#DIV/0!</v>
      </c>
      <c r="FO196" s="8" t="e">
        <f t="shared" si="325"/>
        <v>#DIV/0!</v>
      </c>
      <c r="FP196" s="81" t="e">
        <f t="shared" si="326"/>
        <v>#DIV/0!</v>
      </c>
      <c r="FQ196" s="74" t="e">
        <f t="shared" ca="1" si="229"/>
        <v>#N/A</v>
      </c>
      <c r="FR196" s="82" t="e" vm="3">
        <f t="shared" ca="1" si="235"/>
        <v>#VALUE!</v>
      </c>
      <c r="FS196" s="7" t="e" vm="3">
        <f t="shared" ca="1" si="230"/>
        <v>#VALUE!</v>
      </c>
      <c r="FT196" t="e" vm="3">
        <f t="shared" ca="1" si="224"/>
        <v>#VALUE!</v>
      </c>
      <c r="FU196" s="8" t="e" vm="3">
        <f t="shared" ca="1" si="225"/>
        <v>#VALUE!</v>
      </c>
      <c r="FV196" s="8" t="e" vm="3">
        <f t="shared" ca="1" si="226"/>
        <v>#VALUE!</v>
      </c>
      <c r="FW196" s="81" t="e" vm="3">
        <f t="shared" ca="1" si="227"/>
        <v>#VALUE!</v>
      </c>
      <c r="FX196" s="74" t="e">
        <f t="shared" si="231"/>
        <v>#N/A</v>
      </c>
      <c r="FY196" s="82" t="e">
        <f t="shared" si="236"/>
        <v>#N/A</v>
      </c>
      <c r="FZ196" s="7" t="e">
        <f t="shared" si="232"/>
        <v>#N/A</v>
      </c>
      <c r="GA196" t="e">
        <f t="shared" si="237"/>
        <v>#N/A</v>
      </c>
      <c r="GB196" s="8" t="e">
        <f t="shared" si="238"/>
        <v>#N/A</v>
      </c>
      <c r="GC196" s="8" t="e">
        <f t="shared" si="239"/>
        <v>#N/A</v>
      </c>
      <c r="GD196" s="81" t="e">
        <f t="shared" si="240"/>
        <v>#N/A</v>
      </c>
      <c r="GE196" s="74" t="e">
        <f t="shared" si="241"/>
        <v>#N/A</v>
      </c>
      <c r="GF196" s="82" t="e">
        <f t="shared" si="242"/>
        <v>#N/A</v>
      </c>
      <c r="GG196" s="7" t="e">
        <f t="shared" si="233"/>
        <v>#N/A</v>
      </c>
      <c r="GH196" t="e">
        <f t="shared" si="243"/>
        <v>#N/A</v>
      </c>
      <c r="GI196" s="8" t="e">
        <f t="shared" si="244"/>
        <v>#N/A</v>
      </c>
      <c r="GJ196" s="8" t="e">
        <f t="shared" si="245"/>
        <v>#N/A</v>
      </c>
      <c r="GK196" s="81" t="e">
        <f t="shared" si="246"/>
        <v>#N/A</v>
      </c>
      <c r="GL196" s="81"/>
      <c r="GM196" s="81"/>
      <c r="GP196" s="32">
        <f t="shared" si="291"/>
        <v>186</v>
      </c>
      <c r="GQ196" s="32">
        <f t="shared" si="292"/>
        <v>187</v>
      </c>
      <c r="GR196" s="32">
        <f t="shared" si="293"/>
        <v>1.365451484120662</v>
      </c>
      <c r="GS196" s="32">
        <f t="shared" si="294"/>
        <v>0.1570537130277106</v>
      </c>
      <c r="GT196" s="32" t="e">
        <f t="shared" si="295"/>
        <v>#N/A</v>
      </c>
      <c r="GU196" s="32" t="e">
        <f t="shared" si="296"/>
        <v>#N/A</v>
      </c>
      <c r="GV196" s="32" t="e">
        <f t="shared" si="297"/>
        <v>#N/A</v>
      </c>
      <c r="GW196" s="32" t="b">
        <f t="shared" si="298"/>
        <v>0</v>
      </c>
      <c r="GX196" s="32" t="b">
        <f t="shared" si="299"/>
        <v>1</v>
      </c>
      <c r="GY196" s="32" t="b">
        <f t="shared" si="300"/>
        <v>0</v>
      </c>
      <c r="GZ196" s="32" t="b">
        <f t="shared" si="301"/>
        <v>1</v>
      </c>
      <c r="HA196" s="32">
        <f t="shared" si="302"/>
        <v>0.1570537130277106</v>
      </c>
      <c r="HB196" s="32" t="e">
        <f t="shared" si="303"/>
        <v>#N/A</v>
      </c>
      <c r="HC196" s="32">
        <f t="shared" si="304"/>
        <v>0.1570537130277106</v>
      </c>
      <c r="HD196" s="45" t="str">
        <f t="shared" si="305"/>
        <v/>
      </c>
      <c r="HJ196" s="32">
        <f t="shared" si="306"/>
        <v>186</v>
      </c>
      <c r="HK196" s="32">
        <f t="shared" si="307"/>
        <v>187</v>
      </c>
      <c r="HL196" s="32">
        <f t="shared" si="308"/>
        <v>2.1144303010262409</v>
      </c>
      <c r="HM196" s="32" t="e">
        <f t="shared" si="309"/>
        <v>#N/A</v>
      </c>
      <c r="HN196" s="32">
        <f t="shared" si="310"/>
        <v>5.3390755704805351E-2</v>
      </c>
      <c r="HO196" s="32" t="e">
        <f t="shared" si="311"/>
        <v>#N/A</v>
      </c>
      <c r="HP196" s="32" t="e">
        <f t="shared" si="312"/>
        <v>#N/A</v>
      </c>
      <c r="HQ196" s="32" t="b">
        <f t="shared" si="313"/>
        <v>0</v>
      </c>
      <c r="HR196" s="32" t="b">
        <f t="shared" si="314"/>
        <v>1</v>
      </c>
      <c r="HS196" s="32" t="b">
        <f t="shared" si="315"/>
        <v>1</v>
      </c>
      <c r="HT196" s="32" t="b">
        <f t="shared" si="316"/>
        <v>0</v>
      </c>
      <c r="HU196" s="32">
        <f t="shared" si="317"/>
        <v>5.3390755704805351E-2</v>
      </c>
      <c r="HV196" s="32" t="e">
        <f t="shared" si="318"/>
        <v>#N/A</v>
      </c>
      <c r="HW196" s="32">
        <f t="shared" si="319"/>
        <v>5.3390755704805351E-2</v>
      </c>
      <c r="HX196" s="45" t="str">
        <f t="shared" si="320"/>
        <v/>
      </c>
    </row>
    <row r="197" spans="78:232" x14ac:dyDescent="0.2">
      <c r="BZ197" s="32">
        <f t="shared" si="247"/>
        <v>187</v>
      </c>
      <c r="CA197" s="32">
        <f>Eu_tabel_g[[#This Row],[Indeks]]+1</f>
        <v>188</v>
      </c>
      <c r="CB197" s="32">
        <f t="shared" si="248"/>
        <v>1.3894067733157609</v>
      </c>
      <c r="CC197" s="32">
        <f t="shared" si="249"/>
        <v>0.15195602274069356</v>
      </c>
      <c r="CD197" s="32" t="e">
        <f t="shared" si="250"/>
        <v>#N/A</v>
      </c>
      <c r="CE197" s="32" t="e">
        <f t="shared" si="251"/>
        <v>#N/A</v>
      </c>
      <c r="CF197" s="32" t="e">
        <f t="shared" si="252"/>
        <v>#N/A</v>
      </c>
      <c r="CG197" s="32" t="b">
        <f t="shared" si="253"/>
        <v>0</v>
      </c>
      <c r="CH197" s="32" t="b">
        <f t="shared" si="254"/>
        <v>1</v>
      </c>
      <c r="CI197" s="32" t="b">
        <f t="shared" si="255"/>
        <v>0</v>
      </c>
      <c r="CJ197" s="32" t="b">
        <f t="shared" si="256"/>
        <v>1</v>
      </c>
      <c r="CK197" s="32">
        <f t="shared" si="327"/>
        <v>0.15195602274069356</v>
      </c>
      <c r="CL197" s="32" t="e">
        <f t="shared" si="257"/>
        <v>#N/A</v>
      </c>
      <c r="CM197" s="32">
        <f t="shared" si="258"/>
        <v>0.15195602274069356</v>
      </c>
      <c r="CN197" s="45" t="str">
        <f t="shared" si="259"/>
        <v/>
      </c>
      <c r="CO197" s="32">
        <f>_xlfn.NORM.DIST(_xlfn.NORM.INV(1-Eu_g_konfidensniveau,0,1)-Eu_tabel_g[[#This Row],[x base]],0,1,TRUE)</f>
        <v>1.2056310181406801E-3</v>
      </c>
      <c r="CP197" s="32">
        <f>1-_xlfn.NORM.DIST(_xlfn.NORM.INV(Eu_g_konfidensniveau,0,1)-Eu_tabel_g[[#This Row],[x base]],0,1,TRUE)</f>
        <v>0.39918899340115521</v>
      </c>
      <c r="CQ197" s="32">
        <f>_xlfn.NORM.DIST(_xlfn.NORM.INV((1-Eu_g_konfidensniveau)/2,0,1)-Eu_tabel_g[[#This Row],[x base]],0,1,TRUE)+1-_xlfn.NORM.DIST(_xlfn.NORM.INV(1-(1-Eu_g_konfidensniveau)/2,0,1)-Eu_tabel_g[[#This Row],[x base]],0,1,TRUE)</f>
        <v>0.28455489185244731</v>
      </c>
      <c r="CR197" s="32" t="e" cm="1">
        <f t="array" ref="CR197">IF($CR$3,INDEX(Eu_tabel_g[[#This Row],[Styrke venstre]:[Styrke tosidet]],CR$7),NA())</f>
        <v>#N/A</v>
      </c>
      <c r="CS197" s="52" t="e">
        <f>Eu_tabel_g[[#This Row],[Falsk positiv
Nulhypotese accepteres
Fejltype 1]]</f>
        <v>#N/A</v>
      </c>
      <c r="CT197" s="52" t="e">
        <f>IF(CHOOSE(CR$7,Eu_tabel_g[[#This Row],[x base]]&gt;0,Eu_tabel_g[[#This Row],[x base]]&lt;0,Eu_tabel_g[[#This Row],[x base]]=0),Eu_tabel_g[[#This Row],[Styrke, aktiv]],NA())</f>
        <v>#N/A</v>
      </c>
      <c r="CU197" s="52" t="e">
        <f>IFERROR(IF($CR$3,Eu_tabel_g[[#This Row],[Styrke, aktiv]],NA()),NA())</f>
        <v>#N/A</v>
      </c>
      <c r="CV197" s="52" t="e">
        <f>IF(ISNA(Eu_tabel_g[[#This Row],[Sand negativ
Nulhypotese afvises
Korrekt]]),NA(),IF($CR$3,1,NA()))</f>
        <v>#N/A</v>
      </c>
      <c r="CW197" s="34" t="str" cm="1">
        <f t="array" ref="CW197">_xlfn.SWITCH(BZ197,_xlfn.IFNA(CU$2,-99),CU$5,_xlfn.IFNA(CU$3,-99),CU$6,_xlfn.IFNA(CU$4,-99),CU$7,"")</f>
        <v/>
      </c>
      <c r="DA197" s="7">
        <f t="shared" si="260"/>
        <v>0.8</v>
      </c>
      <c r="DB197">
        <f>IF(ROW(Styrkeberegning_G[[#This Row],[X base venstre]])=ROW(Styrkeberegning_G[[#Headers],[X base venstre]])+1,DB$7/(DA$7/$B$67),DB196/(DA196/$B$67))</f>
        <v>-2.8015817870135784</v>
      </c>
      <c r="DC197">
        <f>Styrkeberegning_G[[#This Row],[X base venstre]]*-1</f>
        <v>2.8015817870135784</v>
      </c>
      <c r="DN197" s="32">
        <f t="shared" si="261"/>
        <v>187</v>
      </c>
      <c r="DO197" s="32">
        <f t="shared" si="262"/>
        <v>188</v>
      </c>
      <c r="DP197" s="32">
        <f t="shared" si="263"/>
        <v>23.165102814632878</v>
      </c>
      <c r="DQ197" s="32" t="e">
        <f t="shared" si="264"/>
        <v>#N/A</v>
      </c>
      <c r="DR197" s="32" t="e">
        <f t="shared" si="265"/>
        <v>#N/A</v>
      </c>
      <c r="DS197" s="32">
        <f t="shared" si="266"/>
        <v>5.4575049609478614E-3</v>
      </c>
      <c r="DT197" s="32" t="e">
        <f t="shared" si="267"/>
        <v>#N/A</v>
      </c>
      <c r="DU197" s="32" t="b">
        <f t="shared" si="268"/>
        <v>0</v>
      </c>
      <c r="DV197" s="32" t="b">
        <f t="shared" si="269"/>
        <v>1</v>
      </c>
      <c r="DW197" s="32" t="b">
        <f t="shared" si="270"/>
        <v>1</v>
      </c>
      <c r="DX197" s="32" t="b">
        <f t="shared" si="271"/>
        <v>0</v>
      </c>
      <c r="DY197" s="32">
        <f t="shared" si="272"/>
        <v>5.4575049609478614E-3</v>
      </c>
      <c r="DZ197" s="32">
        <f t="shared" si="273"/>
        <v>5.4575049609478614E-3</v>
      </c>
      <c r="EA197" s="32" t="e">
        <f t="shared" si="274"/>
        <v>#N/A</v>
      </c>
      <c r="EB197" s="45" t="str">
        <f t="shared" si="275"/>
        <v/>
      </c>
      <c r="EG197" s="32">
        <f t="shared" si="276"/>
        <v>187</v>
      </c>
      <c r="EH197" s="32">
        <f t="shared" si="277"/>
        <v>188</v>
      </c>
      <c r="EI197" s="32">
        <f t="shared" si="278"/>
        <v>1.3894067733157609</v>
      </c>
      <c r="EJ197" s="32">
        <f t="shared" si="279"/>
        <v>0.15195602274069356</v>
      </c>
      <c r="EK197" s="32" t="e">
        <f t="shared" si="280"/>
        <v>#N/A</v>
      </c>
      <c r="EL197" s="32" t="e">
        <f t="shared" si="281"/>
        <v>#N/A</v>
      </c>
      <c r="EM197" s="32" t="e">
        <f t="shared" si="282"/>
        <v>#N/A</v>
      </c>
      <c r="EN197" s="32" t="b">
        <f t="shared" si="283"/>
        <v>0</v>
      </c>
      <c r="EO197" s="32" t="b">
        <f t="shared" si="284"/>
        <v>1</v>
      </c>
      <c r="EP197" s="32" t="b">
        <f t="shared" si="285"/>
        <v>0</v>
      </c>
      <c r="EQ197" s="32" t="b">
        <f t="shared" si="286"/>
        <v>1</v>
      </c>
      <c r="ER197" s="32">
        <f t="shared" si="287"/>
        <v>0.15195602274069356</v>
      </c>
      <c r="ES197" s="32" t="e">
        <f t="shared" si="288"/>
        <v>#N/A</v>
      </c>
      <c r="ET197" s="32">
        <f t="shared" si="289"/>
        <v>0.15195602274069356</v>
      </c>
      <c r="EU197" s="45" t="str">
        <f t="shared" si="290"/>
        <v/>
      </c>
      <c r="EV19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7" s="32" t="e" cm="1">
        <f t="array" ref="EY197">IF($CR$3,INDEX(Eu_tabel_a[[#This Row],[Styrke venstre]:[Styrke tosidet]],EY$7),NA())</f>
        <v>#N/A</v>
      </c>
      <c r="EZ197" s="32" t="e">
        <f>IF(EY$3,IF(CHOOSE(EY$7,Eu_tabel_a[[#This Row],[x base]]&gt;0,Eu_tabel_a[[#This Row],[x base]]&lt;0,Eu_tabel_a[[#This Row],[x base]]=0),1,NA()),NA())</f>
        <v>#N/A</v>
      </c>
      <c r="FA197" s="32" t="e">
        <f>IF(CHOOSE(EY$7,Eu_tabel_a[[#This Row],[x base]]&gt;0,Eu_tabel_a[[#This Row],[x base]]&lt;0,Eu_tabel_a[[#This Row],[x base]]=0),Eu_tabel_a[[#This Row],[Styrke, aktiv]],NA())</f>
        <v>#N/A</v>
      </c>
      <c r="FB197" s="32" t="e">
        <f>IFERROR(IF($EY$3,Eu_tabel_a[[#This Row],[Styrke, aktiv]],NA()),NA())</f>
        <v>#N/A</v>
      </c>
      <c r="FC197" s="32" t="e">
        <f>IF(ISNA(Eu_tabel_a[[#This Row],[Sand negativ
Nulhypotese afvises
Korrekt]]),NA(),IF(EY$3,1,NA()))</f>
        <v>#N/A</v>
      </c>
      <c r="FD197" s="33" t="str" cm="1">
        <f t="array" ref="FD197">IFERROR(_xlfn.SWITCH(Eu_tabel_a[[#This Row],[Indeks]],_xlfn.IFNA(FB$2,-99),FB$5,_xlfn.IFNA(FB$3,-99),FB$6,_xlfn.IFNA(FB$4,-99),FB$7,""),"")</f>
        <v/>
      </c>
      <c r="FE197" s="32">
        <f>Eu_tabel_a[[#This Row],[x base]]*SQRT(Eu_a_h0_x*(1-Eu_a_h0_x)/Eu_a_n_x)+Eu_a_h0_x</f>
        <v>0</v>
      </c>
      <c r="FJ197" s="74" t="e">
        <f t="shared" si="234"/>
        <v>#N/A</v>
      </c>
      <c r="FK197" s="82" t="e">
        <f t="shared" si="322"/>
        <v>#DIV/0!</v>
      </c>
      <c r="FL197" s="7" t="e">
        <f t="shared" si="228"/>
        <v>#DIV/0!</v>
      </c>
      <c r="FM197" t="e">
        <f t="shared" si="323"/>
        <v>#DIV/0!</v>
      </c>
      <c r="FN197" s="8" t="e">
        <f t="shared" si="324"/>
        <v>#DIV/0!</v>
      </c>
      <c r="FO197" s="8" t="e">
        <f t="shared" si="325"/>
        <v>#DIV/0!</v>
      </c>
      <c r="FP197" s="81" t="e">
        <f t="shared" si="326"/>
        <v>#DIV/0!</v>
      </c>
      <c r="FQ197" s="74" t="e">
        <f t="shared" ca="1" si="229"/>
        <v>#N/A</v>
      </c>
      <c r="FR197" s="82" t="e" vm="3">
        <f t="shared" ca="1" si="235"/>
        <v>#VALUE!</v>
      </c>
      <c r="FS197" s="7" t="e" vm="3">
        <f t="shared" ca="1" si="230"/>
        <v>#VALUE!</v>
      </c>
      <c r="FT197" t="e" vm="3">
        <f t="shared" ref="FT197:FT260" ca="1" si="328">FR197-FR196</f>
        <v>#VALUE!</v>
      </c>
      <c r="FU197" s="8" t="e" vm="3">
        <f t="shared" ref="FU197:FU260" ca="1" si="329">FS197-FS196</f>
        <v>#VALUE!</v>
      </c>
      <c r="FV197" s="8" t="e" vm="3">
        <f t="shared" ref="FV197:FV260" ca="1" si="330">$P$67-FS196</f>
        <v>#VALUE!</v>
      </c>
      <c r="FW197" s="81" t="e" vm="3">
        <f t="shared" ref="FW197:FW260" ca="1" si="331">FT197/(FU197/FV197)</f>
        <v>#VALUE!</v>
      </c>
      <c r="FX197" s="74" t="e">
        <f t="shared" si="231"/>
        <v>#N/A</v>
      </c>
      <c r="FY197" s="82" t="e">
        <f t="shared" si="236"/>
        <v>#N/A</v>
      </c>
      <c r="FZ197" s="7" t="e">
        <f t="shared" si="232"/>
        <v>#N/A</v>
      </c>
      <c r="GA197" t="e">
        <f t="shared" si="237"/>
        <v>#N/A</v>
      </c>
      <c r="GB197" s="8" t="e">
        <f t="shared" si="238"/>
        <v>#N/A</v>
      </c>
      <c r="GC197" s="8" t="e">
        <f t="shared" si="239"/>
        <v>#N/A</v>
      </c>
      <c r="GD197" s="81" t="e">
        <f t="shared" si="240"/>
        <v>#N/A</v>
      </c>
      <c r="GE197" s="74" t="e">
        <f t="shared" si="241"/>
        <v>#N/A</v>
      </c>
      <c r="GF197" s="82" t="e">
        <f t="shared" si="242"/>
        <v>#N/A</v>
      </c>
      <c r="GG197" s="7" t="e">
        <f t="shared" si="233"/>
        <v>#N/A</v>
      </c>
      <c r="GH197" t="e">
        <f t="shared" si="243"/>
        <v>#N/A</v>
      </c>
      <c r="GI197" s="8" t="e">
        <f t="shared" si="244"/>
        <v>#N/A</v>
      </c>
      <c r="GJ197" s="8" t="e">
        <f t="shared" si="245"/>
        <v>#N/A</v>
      </c>
      <c r="GK197" s="81" t="e">
        <f t="shared" si="246"/>
        <v>#N/A</v>
      </c>
      <c r="GL197" s="81"/>
      <c r="GM197" s="81"/>
      <c r="GP197" s="32">
        <f t="shared" si="291"/>
        <v>187</v>
      </c>
      <c r="GQ197" s="32">
        <f t="shared" si="292"/>
        <v>188</v>
      </c>
      <c r="GR197" s="32">
        <f t="shared" si="293"/>
        <v>1.3894067733157609</v>
      </c>
      <c r="GS197" s="32">
        <f t="shared" si="294"/>
        <v>0.15195602274069356</v>
      </c>
      <c r="GT197" s="32" t="e">
        <f t="shared" si="295"/>
        <v>#N/A</v>
      </c>
      <c r="GU197" s="32" t="e">
        <f t="shared" si="296"/>
        <v>#N/A</v>
      </c>
      <c r="GV197" s="32" t="e">
        <f t="shared" si="297"/>
        <v>#N/A</v>
      </c>
      <c r="GW197" s="32" t="b">
        <f t="shared" si="298"/>
        <v>0</v>
      </c>
      <c r="GX197" s="32" t="b">
        <f t="shared" si="299"/>
        <v>1</v>
      </c>
      <c r="GY197" s="32" t="b">
        <f t="shared" si="300"/>
        <v>0</v>
      </c>
      <c r="GZ197" s="32" t="b">
        <f t="shared" si="301"/>
        <v>1</v>
      </c>
      <c r="HA197" s="32">
        <f t="shared" si="302"/>
        <v>0.15195602274069356</v>
      </c>
      <c r="HB197" s="32" t="e">
        <f t="shared" si="303"/>
        <v>#N/A</v>
      </c>
      <c r="HC197" s="32">
        <f t="shared" si="304"/>
        <v>0.15195602274069356</v>
      </c>
      <c r="HD197" s="45" t="str">
        <f t="shared" si="305"/>
        <v/>
      </c>
      <c r="HJ197" s="32">
        <f t="shared" si="306"/>
        <v>187</v>
      </c>
      <c r="HK197" s="32">
        <f t="shared" si="307"/>
        <v>188</v>
      </c>
      <c r="HL197" s="32">
        <f t="shared" si="308"/>
        <v>2.1515255694652975</v>
      </c>
      <c r="HM197" s="32" t="e">
        <f t="shared" si="309"/>
        <v>#N/A</v>
      </c>
      <c r="HN197" s="32">
        <f t="shared" si="310"/>
        <v>5.0543400876907167E-2</v>
      </c>
      <c r="HO197" s="32" t="e">
        <f t="shared" si="311"/>
        <v>#N/A</v>
      </c>
      <c r="HP197" s="32" t="e">
        <f t="shared" si="312"/>
        <v>#N/A</v>
      </c>
      <c r="HQ197" s="32" t="b">
        <f t="shared" si="313"/>
        <v>0</v>
      </c>
      <c r="HR197" s="32" t="b">
        <f t="shared" si="314"/>
        <v>1</v>
      </c>
      <c r="HS197" s="32" t="b">
        <f t="shared" si="315"/>
        <v>1</v>
      </c>
      <c r="HT197" s="32" t="b">
        <f t="shared" si="316"/>
        <v>0</v>
      </c>
      <c r="HU197" s="32">
        <f t="shared" si="317"/>
        <v>5.0543400876907167E-2</v>
      </c>
      <c r="HV197" s="32" t="e">
        <f t="shared" si="318"/>
        <v>#N/A</v>
      </c>
      <c r="HW197" s="32">
        <f t="shared" si="319"/>
        <v>5.0543400876907167E-2</v>
      </c>
      <c r="HX197" s="45" t="str">
        <f t="shared" si="320"/>
        <v/>
      </c>
    </row>
    <row r="198" spans="78:232" x14ac:dyDescent="0.2">
      <c r="BZ198" s="32">
        <f t="shared" si="247"/>
        <v>188</v>
      </c>
      <c r="CA198" s="32">
        <f>Eu_tabel_g[[#This Row],[Indeks]]+1</f>
        <v>189</v>
      </c>
      <c r="CB198" s="32">
        <f t="shared" si="248"/>
        <v>1.4133620625108598</v>
      </c>
      <c r="CC198" s="32">
        <f t="shared" si="249"/>
        <v>0.14693944834608277</v>
      </c>
      <c r="CD198" s="32" t="e">
        <f t="shared" si="250"/>
        <v>#N/A</v>
      </c>
      <c r="CE198" s="32" t="e">
        <f t="shared" si="251"/>
        <v>#N/A</v>
      </c>
      <c r="CF198" s="32" t="e">
        <f t="shared" si="252"/>
        <v>#N/A</v>
      </c>
      <c r="CG198" s="32" t="b">
        <f t="shared" si="253"/>
        <v>0</v>
      </c>
      <c r="CH198" s="32" t="b">
        <f t="shared" si="254"/>
        <v>1</v>
      </c>
      <c r="CI198" s="32" t="b">
        <f t="shared" si="255"/>
        <v>0</v>
      </c>
      <c r="CJ198" s="32" t="b">
        <f t="shared" si="256"/>
        <v>1</v>
      </c>
      <c r="CK198" s="32">
        <f t="shared" si="327"/>
        <v>0.14693944834608277</v>
      </c>
      <c r="CL198" s="32" t="e">
        <f t="shared" si="257"/>
        <v>#N/A</v>
      </c>
      <c r="CM198" s="32">
        <f t="shared" si="258"/>
        <v>0.14693944834608277</v>
      </c>
      <c r="CN198" s="45" t="str">
        <f t="shared" si="259"/>
        <v/>
      </c>
      <c r="CO198" s="32">
        <f>_xlfn.NORM.DIST(_xlfn.NORM.INV(1-Eu_g_konfidensniveau,0,1)-Eu_tabel_g[[#This Row],[x base]],0,1,TRUE)</f>
        <v>1.1132962523361838E-3</v>
      </c>
      <c r="CP198" s="32">
        <f>1-_xlfn.NORM.DIST(_xlfn.NORM.INV(Eu_g_konfidensniveau,0,1)-Eu_tabel_g[[#This Row],[x base]],0,1,TRUE)</f>
        <v>0.40846646904366368</v>
      </c>
      <c r="CQ198" s="32">
        <f>_xlfn.NORM.DIST(_xlfn.NORM.INV((1-Eu_g_konfidensniveau)/2,0,1)-Eu_tabel_g[[#This Row],[x base]],0,1,TRUE)+1-_xlfn.NORM.DIST(_xlfn.NORM.INV(1-(1-Eu_g_konfidensniveau)/2,0,1)-Eu_tabel_g[[#This Row],[x base]],0,1,TRUE)</f>
        <v>0.29269745394311308</v>
      </c>
      <c r="CR198" s="32" t="e" cm="1">
        <f t="array" ref="CR198">IF($CR$3,INDEX(Eu_tabel_g[[#This Row],[Styrke venstre]:[Styrke tosidet]],CR$7),NA())</f>
        <v>#N/A</v>
      </c>
      <c r="CS198" s="52" t="e">
        <f>Eu_tabel_g[[#This Row],[Falsk positiv
Nulhypotese accepteres
Fejltype 1]]</f>
        <v>#N/A</v>
      </c>
      <c r="CT198" s="52" t="e">
        <f>IF(CHOOSE(CR$7,Eu_tabel_g[[#This Row],[x base]]&gt;0,Eu_tabel_g[[#This Row],[x base]]&lt;0,Eu_tabel_g[[#This Row],[x base]]=0),Eu_tabel_g[[#This Row],[Styrke, aktiv]],NA())</f>
        <v>#N/A</v>
      </c>
      <c r="CU198" s="52" t="e">
        <f>IFERROR(IF($CR$3,Eu_tabel_g[[#This Row],[Styrke, aktiv]],NA()),NA())</f>
        <v>#N/A</v>
      </c>
      <c r="CV198" s="52" t="e">
        <f>IF(ISNA(Eu_tabel_g[[#This Row],[Sand negativ
Nulhypotese afvises
Korrekt]]),NA(),IF($CR$3,1,NA()))</f>
        <v>#N/A</v>
      </c>
      <c r="CW198" s="34" t="str" cm="1">
        <f t="array" ref="CW198">_xlfn.SWITCH(BZ198,_xlfn.IFNA(CU$2,-99),CU$5,_xlfn.IFNA(CU$3,-99),CU$6,_xlfn.IFNA(CU$4,-99),CU$7,"")</f>
        <v/>
      </c>
      <c r="DA198" s="7">
        <f t="shared" si="260"/>
        <v>0.8</v>
      </c>
      <c r="DB198">
        <f>IF(ROW(Styrkeberegning_G[[#This Row],[X base venstre]])=ROW(Styrkeberegning_G[[#Headers],[X base venstre]])+1,DB$7/(DA$7/$B$67),DB197/(DA197/$B$67))</f>
        <v>-2.8015817870135784</v>
      </c>
      <c r="DC198">
        <f>Styrkeberegning_G[[#This Row],[X base venstre]]*-1</f>
        <v>2.8015817870135784</v>
      </c>
      <c r="DN198" s="32">
        <f t="shared" si="261"/>
        <v>188</v>
      </c>
      <c r="DO198" s="32">
        <f t="shared" si="262"/>
        <v>189</v>
      </c>
      <c r="DP198" s="32">
        <f t="shared" si="263"/>
        <v>23.279173671049879</v>
      </c>
      <c r="DQ198" s="32" t="e">
        <f t="shared" si="264"/>
        <v>#N/A</v>
      </c>
      <c r="DR198" s="32" t="e">
        <f t="shared" si="265"/>
        <v>#N/A</v>
      </c>
      <c r="DS198" s="32">
        <f t="shared" si="266"/>
        <v>5.2701617478520162E-3</v>
      </c>
      <c r="DT198" s="32" t="e">
        <f t="shared" si="267"/>
        <v>#N/A</v>
      </c>
      <c r="DU198" s="32" t="b">
        <f t="shared" si="268"/>
        <v>0</v>
      </c>
      <c r="DV198" s="32" t="b">
        <f t="shared" si="269"/>
        <v>1</v>
      </c>
      <c r="DW198" s="32" t="b">
        <f t="shared" si="270"/>
        <v>1</v>
      </c>
      <c r="DX198" s="32" t="b">
        <f t="shared" si="271"/>
        <v>0</v>
      </c>
      <c r="DY198" s="32">
        <f t="shared" si="272"/>
        <v>5.2701617478520162E-3</v>
      </c>
      <c r="DZ198" s="32">
        <f t="shared" si="273"/>
        <v>5.2701617478520162E-3</v>
      </c>
      <c r="EA198" s="32" t="e">
        <f t="shared" si="274"/>
        <v>#N/A</v>
      </c>
      <c r="EB198" s="45" t="str">
        <f t="shared" si="275"/>
        <v/>
      </c>
      <c r="EG198" s="32">
        <f t="shared" si="276"/>
        <v>188</v>
      </c>
      <c r="EH198" s="32">
        <f t="shared" si="277"/>
        <v>189</v>
      </c>
      <c r="EI198" s="32">
        <f t="shared" si="278"/>
        <v>1.4133620625108598</v>
      </c>
      <c r="EJ198" s="32">
        <f t="shared" si="279"/>
        <v>0.14693944834608277</v>
      </c>
      <c r="EK198" s="32" t="e">
        <f t="shared" si="280"/>
        <v>#N/A</v>
      </c>
      <c r="EL198" s="32" t="e">
        <f t="shared" si="281"/>
        <v>#N/A</v>
      </c>
      <c r="EM198" s="32" t="e">
        <f t="shared" si="282"/>
        <v>#N/A</v>
      </c>
      <c r="EN198" s="32" t="b">
        <f t="shared" si="283"/>
        <v>0</v>
      </c>
      <c r="EO198" s="32" t="b">
        <f t="shared" si="284"/>
        <v>1</v>
      </c>
      <c r="EP198" s="32" t="b">
        <f t="shared" si="285"/>
        <v>0</v>
      </c>
      <c r="EQ198" s="32" t="b">
        <f t="shared" si="286"/>
        <v>1</v>
      </c>
      <c r="ER198" s="32">
        <f t="shared" si="287"/>
        <v>0.14693944834608277</v>
      </c>
      <c r="ES198" s="32" t="e">
        <f t="shared" si="288"/>
        <v>#N/A</v>
      </c>
      <c r="ET198" s="32">
        <f t="shared" si="289"/>
        <v>0.14693944834608277</v>
      </c>
      <c r="EU198" s="45" t="str">
        <f t="shared" si="290"/>
        <v/>
      </c>
      <c r="EV19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8" s="32" t="e" cm="1">
        <f t="array" ref="EY198">IF($CR$3,INDEX(Eu_tabel_a[[#This Row],[Styrke venstre]:[Styrke tosidet]],EY$7),NA())</f>
        <v>#N/A</v>
      </c>
      <c r="EZ198" s="32" t="e">
        <f>IF(EY$3,IF(CHOOSE(EY$7,Eu_tabel_a[[#This Row],[x base]]&gt;0,Eu_tabel_a[[#This Row],[x base]]&lt;0,Eu_tabel_a[[#This Row],[x base]]=0),1,NA()),NA())</f>
        <v>#N/A</v>
      </c>
      <c r="FA198" s="32" t="e">
        <f>IF(CHOOSE(EY$7,Eu_tabel_a[[#This Row],[x base]]&gt;0,Eu_tabel_a[[#This Row],[x base]]&lt;0,Eu_tabel_a[[#This Row],[x base]]=0),Eu_tabel_a[[#This Row],[Styrke, aktiv]],NA())</f>
        <v>#N/A</v>
      </c>
      <c r="FB198" s="32" t="e">
        <f>IFERROR(IF($EY$3,Eu_tabel_a[[#This Row],[Styrke, aktiv]],NA()),NA())</f>
        <v>#N/A</v>
      </c>
      <c r="FC198" s="32" t="e">
        <f>IF(ISNA(Eu_tabel_a[[#This Row],[Sand negativ
Nulhypotese afvises
Korrekt]]),NA(),IF(EY$3,1,NA()))</f>
        <v>#N/A</v>
      </c>
      <c r="FD198" s="33" t="str" cm="1">
        <f t="array" ref="FD198">IFERROR(_xlfn.SWITCH(Eu_tabel_a[[#This Row],[Indeks]],_xlfn.IFNA(FB$2,-99),FB$5,_xlfn.IFNA(FB$3,-99),FB$6,_xlfn.IFNA(FB$4,-99),FB$7,""),"")</f>
        <v/>
      </c>
      <c r="FE198" s="32">
        <f>Eu_tabel_a[[#This Row],[x base]]*SQRT(Eu_a_h0_x*(1-Eu_a_h0_x)/Eu_a_n_x)+Eu_a_h0_x</f>
        <v>0</v>
      </c>
      <c r="FJ198" s="74" t="e">
        <f t="shared" si="234"/>
        <v>#N/A</v>
      </c>
      <c r="FK198" s="82" t="e">
        <f t="shared" si="322"/>
        <v>#DIV/0!</v>
      </c>
      <c r="FL198" s="7" t="e">
        <f t="shared" ref="FL198:FL261" si="332">_xlfn.NORM.DIST(-(SQRT(Eu_a_n_x)*(FK198-Eu_a_h0_x)/SQRT(FK198*(1-FK198)))-(_xlfn.NORM.INV(Eu_a_konfidensniveau,0,1)*SQRT((Eu_a_h0_x*(1-Eu_a_h0_x))/(FK198*(1-FK198)))),0,1,TRUE)</f>
        <v>#DIV/0!</v>
      </c>
      <c r="FM198" t="e">
        <f t="shared" si="323"/>
        <v>#DIV/0!</v>
      </c>
      <c r="FN198" s="8" t="e">
        <f t="shared" si="324"/>
        <v>#DIV/0!</v>
      </c>
      <c r="FO198" s="8" t="e">
        <f t="shared" si="325"/>
        <v>#DIV/0!</v>
      </c>
      <c r="FP198" s="81" t="e">
        <f t="shared" si="326"/>
        <v>#DIV/0!</v>
      </c>
      <c r="FQ198" s="74" t="e">
        <f t="shared" ref="FQ198:FQ261" ca="1" si="333">IF(ISERROR(FR198),NA(),ROW(FQ198)-ROW(FQ$5))</f>
        <v>#N/A</v>
      </c>
      <c r="FR198" s="82" t="e" vm="3">
        <f t="shared" ca="1" si="235"/>
        <v>#VALUE!</v>
      </c>
      <c r="FS198" s="7" t="e" vm="3">
        <f t="shared" ref="FS198:FS261" ca="1" si="334">_xlfn.NORM.DIST((SQRT(Eu_a_n_x)*(FR198-Eu_a_h0_x)/SQRT(FR198*(1-FR198)))-(_xlfn.NORM.INV(Eu_a_konfidensniveau,0,1)*SQRT((Eu_a_h0_x*(1-Eu_a_h0_x))/(FR198*(1-FR198)))),0,1,TRUE)</f>
        <v>#VALUE!</v>
      </c>
      <c r="FT198" t="e" vm="3">
        <f t="shared" ca="1" si="328"/>
        <v>#VALUE!</v>
      </c>
      <c r="FU198" s="8" t="e" vm="3">
        <f t="shared" ca="1" si="329"/>
        <v>#VALUE!</v>
      </c>
      <c r="FV198" s="8" t="e" vm="3">
        <f t="shared" ca="1" si="330"/>
        <v>#VALUE!</v>
      </c>
      <c r="FW198" s="81" t="e" vm="3">
        <f t="shared" ca="1" si="331"/>
        <v>#VALUE!</v>
      </c>
      <c r="FX198" s="74" t="e">
        <f t="shared" ref="FX198:FX261" si="335">IF(ISERROR(FY198),NA(),ROW(FX198)-ROW(FX$5))</f>
        <v>#N/A</v>
      </c>
      <c r="FY198" s="82" t="e">
        <f t="shared" si="236"/>
        <v>#N/A</v>
      </c>
      <c r="FZ198" s="7" t="e">
        <f t="shared" ref="FZ198:FZ261" si="336">_xlfn.NORM.DIST(-(SQRT(Eu_a_n_x)*(FY198-Eu_a_h0_x)/SQRT(FY198*(1-FY198)))-(_xlfn.NORM.INV(1-(1-Eu_a_konfidensniveau)/2,0,1)*SQRT((Eu_a_h0_x*(1-Eu_a_h0_x))/(FY198*(1-FY198)))),0,1,TRUE)+_xlfn.NORM.DIST((SQRT(Eu_a_n_x)*(FY198-Eu_a_h0_x)/SQRT(FY198*(1-FY198)))-(_xlfn.NORM.INV(1-(1-Eu_a_konfidensniveau)/2,0,1)*SQRT((Eu_a_h0_x*(1-Eu_a_h0_x))/(FY198*(1-FY198)))),0,1,TRUE)</f>
        <v>#N/A</v>
      </c>
      <c r="GA198" t="e">
        <f t="shared" si="237"/>
        <v>#N/A</v>
      </c>
      <c r="GB198" s="8" t="e">
        <f t="shared" si="238"/>
        <v>#N/A</v>
      </c>
      <c r="GC198" s="8" t="e">
        <f t="shared" si="239"/>
        <v>#N/A</v>
      </c>
      <c r="GD198" s="81" t="e">
        <f t="shared" si="240"/>
        <v>#N/A</v>
      </c>
      <c r="GE198" s="74" t="e">
        <f t="shared" si="241"/>
        <v>#N/A</v>
      </c>
      <c r="GF198" s="82" t="e">
        <f t="shared" si="242"/>
        <v>#N/A</v>
      </c>
      <c r="GG198" s="7" t="e">
        <f t="shared" ref="GG198:GG261" si="337">_xlfn.NORM.DIST(-(SQRT(Eu_a_n_x)*(GF198-Eu_a_h0_x)/SQRT(GF198*(1-GF198)))-(_xlfn.NORM.INV(1-(1-Eu_a_konfidensniveau)/2,0,1)*SQRT((Eu_a_h0_x*(1-Eu_a_h0_x))/(GF198*(1-GF198)))),0,1,TRUE)+_xlfn.NORM.DIST((SQRT(Eu_a_n_x)*(GF198-Eu_a_h0_x)/SQRT(GF198*(1-GF198)))-(_xlfn.NORM.INV(1-(1-Eu_a_konfidensniveau)/2,0,1)*SQRT((Eu_a_h0_x*(1-Eu_a_h0_x))/(GF198*(1-GF198)))),0,1,TRUE)</f>
        <v>#N/A</v>
      </c>
      <c r="GH198" t="e">
        <f t="shared" si="243"/>
        <v>#N/A</v>
      </c>
      <c r="GI198" s="8" t="e">
        <f t="shared" si="244"/>
        <v>#N/A</v>
      </c>
      <c r="GJ198" s="8" t="e">
        <f t="shared" si="245"/>
        <v>#N/A</v>
      </c>
      <c r="GK198" s="81" t="e">
        <f t="shared" si="246"/>
        <v>#N/A</v>
      </c>
      <c r="GL198" s="81"/>
      <c r="GM198" s="81"/>
      <c r="GP198" s="32">
        <f t="shared" si="291"/>
        <v>188</v>
      </c>
      <c r="GQ198" s="32">
        <f t="shared" si="292"/>
        <v>189</v>
      </c>
      <c r="GR198" s="32">
        <f t="shared" si="293"/>
        <v>1.4133620625108598</v>
      </c>
      <c r="GS198" s="32">
        <f t="shared" si="294"/>
        <v>0.14693944834608277</v>
      </c>
      <c r="GT198" s="32" t="e">
        <f t="shared" si="295"/>
        <v>#N/A</v>
      </c>
      <c r="GU198" s="32" t="e">
        <f t="shared" si="296"/>
        <v>#N/A</v>
      </c>
      <c r="GV198" s="32" t="e">
        <f t="shared" si="297"/>
        <v>#N/A</v>
      </c>
      <c r="GW198" s="32" t="b">
        <f t="shared" si="298"/>
        <v>0</v>
      </c>
      <c r="GX198" s="32" t="b">
        <f t="shared" si="299"/>
        <v>1</v>
      </c>
      <c r="GY198" s="32" t="b">
        <f t="shared" si="300"/>
        <v>0</v>
      </c>
      <c r="GZ198" s="32" t="b">
        <f t="shared" si="301"/>
        <v>1</v>
      </c>
      <c r="HA198" s="32">
        <f t="shared" si="302"/>
        <v>0.14693944834608277</v>
      </c>
      <c r="HB198" s="32" t="e">
        <f t="shared" si="303"/>
        <v>#N/A</v>
      </c>
      <c r="HC198" s="32">
        <f t="shared" si="304"/>
        <v>0.14693944834608277</v>
      </c>
      <c r="HD198" s="45" t="str">
        <f t="shared" si="305"/>
        <v/>
      </c>
      <c r="HJ198" s="32">
        <f t="shared" si="306"/>
        <v>188</v>
      </c>
      <c r="HK198" s="32">
        <f t="shared" si="307"/>
        <v>189</v>
      </c>
      <c r="HL198" s="32">
        <f t="shared" si="308"/>
        <v>2.1886208379043541</v>
      </c>
      <c r="HM198" s="32" t="e">
        <f t="shared" si="309"/>
        <v>#N/A</v>
      </c>
      <c r="HN198" s="32">
        <f t="shared" si="310"/>
        <v>4.7838660639883096E-2</v>
      </c>
      <c r="HO198" s="32" t="e">
        <f t="shared" si="311"/>
        <v>#N/A</v>
      </c>
      <c r="HP198" s="32" t="e">
        <f t="shared" si="312"/>
        <v>#N/A</v>
      </c>
      <c r="HQ198" s="32" t="b">
        <f t="shared" si="313"/>
        <v>0</v>
      </c>
      <c r="HR198" s="32" t="b">
        <f t="shared" si="314"/>
        <v>1</v>
      </c>
      <c r="HS198" s="32" t="b">
        <f t="shared" si="315"/>
        <v>1</v>
      </c>
      <c r="HT198" s="32" t="b">
        <f t="shared" si="316"/>
        <v>0</v>
      </c>
      <c r="HU198" s="32">
        <f t="shared" si="317"/>
        <v>4.7838660639883096E-2</v>
      </c>
      <c r="HV198" s="32" t="e">
        <f t="shared" si="318"/>
        <v>#N/A</v>
      </c>
      <c r="HW198" s="32">
        <f t="shared" si="319"/>
        <v>4.7838660639883096E-2</v>
      </c>
      <c r="HX198" s="45" t="str">
        <f t="shared" si="320"/>
        <v/>
      </c>
    </row>
    <row r="199" spans="78:232" x14ac:dyDescent="0.2">
      <c r="BZ199" s="32">
        <f t="shared" si="247"/>
        <v>189</v>
      </c>
      <c r="CA199" s="32">
        <f>Eu_tabel_g[[#This Row],[Indeks]]+1</f>
        <v>190</v>
      </c>
      <c r="CB199" s="32">
        <f t="shared" si="248"/>
        <v>1.4373173517059596</v>
      </c>
      <c r="CC199" s="32">
        <f t="shared" si="249"/>
        <v>0.14200697285664771</v>
      </c>
      <c r="CD199" s="32" t="e">
        <f t="shared" si="250"/>
        <v>#N/A</v>
      </c>
      <c r="CE199" s="32" t="e">
        <f t="shared" si="251"/>
        <v>#N/A</v>
      </c>
      <c r="CF199" s="32" t="e">
        <f t="shared" si="252"/>
        <v>#N/A</v>
      </c>
      <c r="CG199" s="32" t="b">
        <f t="shared" si="253"/>
        <v>0</v>
      </c>
      <c r="CH199" s="32" t="b">
        <f t="shared" si="254"/>
        <v>1</v>
      </c>
      <c r="CI199" s="32" t="b">
        <f t="shared" si="255"/>
        <v>0</v>
      </c>
      <c r="CJ199" s="32" t="b">
        <f t="shared" si="256"/>
        <v>1</v>
      </c>
      <c r="CK199" s="32">
        <f t="shared" si="327"/>
        <v>0.14200697285664771</v>
      </c>
      <c r="CL199" s="32" t="e">
        <f t="shared" si="257"/>
        <v>#N/A</v>
      </c>
      <c r="CM199" s="32">
        <f t="shared" si="258"/>
        <v>0.14200697285664771</v>
      </c>
      <c r="CN199" s="45" t="str">
        <f t="shared" si="259"/>
        <v/>
      </c>
      <c r="CO199" s="32">
        <f>_xlfn.NORM.DIST(_xlfn.NORM.INV(1-Eu_g_konfidensniveau,0,1)-Eu_tabel_g[[#This Row],[x base]],0,1,TRUE)</f>
        <v>1.0274838287292051E-3</v>
      </c>
      <c r="CP199" s="32">
        <f>1-_xlfn.NORM.DIST(_xlfn.NORM.INV(Eu_g_konfidensniveau,0,1)-Eu_tabel_g[[#This Row],[x base]],0,1,TRUE)</f>
        <v>0.41779553287962068</v>
      </c>
      <c r="CQ199" s="32">
        <f>_xlfn.NORM.DIST(_xlfn.NORM.INV((1-Eu_g_konfidensniveau)/2,0,1)-Eu_tabel_g[[#This Row],[x base]],0,1,TRUE)+1-_xlfn.NORM.DIST(_xlfn.NORM.INV(1-(1-Eu_g_konfidensniveau)/2,0,1)-Eu_tabel_g[[#This Row],[x base]],0,1,TRUE)</f>
        <v>0.30095038606562374</v>
      </c>
      <c r="CR199" s="32" t="e" cm="1">
        <f t="array" ref="CR199">IF($CR$3,INDEX(Eu_tabel_g[[#This Row],[Styrke venstre]:[Styrke tosidet]],CR$7),NA())</f>
        <v>#N/A</v>
      </c>
      <c r="CS199" s="52" t="e">
        <f>Eu_tabel_g[[#This Row],[Falsk positiv
Nulhypotese accepteres
Fejltype 1]]</f>
        <v>#N/A</v>
      </c>
      <c r="CT199" s="52" t="e">
        <f>IF(CHOOSE(CR$7,Eu_tabel_g[[#This Row],[x base]]&gt;0,Eu_tabel_g[[#This Row],[x base]]&lt;0,Eu_tabel_g[[#This Row],[x base]]=0),Eu_tabel_g[[#This Row],[Styrke, aktiv]],NA())</f>
        <v>#N/A</v>
      </c>
      <c r="CU199" s="52" t="e">
        <f>IFERROR(IF($CR$3,Eu_tabel_g[[#This Row],[Styrke, aktiv]],NA()),NA())</f>
        <v>#N/A</v>
      </c>
      <c r="CV199" s="52" t="e">
        <f>IF(ISNA(Eu_tabel_g[[#This Row],[Sand negativ
Nulhypotese afvises
Korrekt]]),NA(),IF($CR$3,1,NA()))</f>
        <v>#N/A</v>
      </c>
      <c r="CW199" s="34" t="str" cm="1">
        <f t="array" ref="CW199">_xlfn.SWITCH(BZ199,_xlfn.IFNA(CU$2,-99),CU$5,_xlfn.IFNA(CU$3,-99),CU$6,_xlfn.IFNA(CU$4,-99),CU$7,"")</f>
        <v/>
      </c>
      <c r="DA199" s="7">
        <f t="shared" si="260"/>
        <v>0.8</v>
      </c>
      <c r="DB199">
        <f>IF(ROW(Styrkeberegning_G[[#This Row],[X base venstre]])=ROW(Styrkeberegning_G[[#Headers],[X base venstre]])+1,DB$7/(DA$7/$B$67),DB198/(DA198/$B$67))</f>
        <v>-2.8015817870135784</v>
      </c>
      <c r="DC199">
        <f>Styrkeberegning_G[[#This Row],[X base venstre]]*-1</f>
        <v>2.8015817870135784</v>
      </c>
      <c r="DN199" s="32">
        <f t="shared" si="261"/>
        <v>189</v>
      </c>
      <c r="DO199" s="32">
        <f t="shared" si="262"/>
        <v>190</v>
      </c>
      <c r="DP199" s="32">
        <f t="shared" si="263"/>
        <v>23.39324452746688</v>
      </c>
      <c r="DQ199" s="32" t="e">
        <f t="shared" si="264"/>
        <v>#N/A</v>
      </c>
      <c r="DR199" s="32" t="e">
        <f t="shared" si="265"/>
        <v>#N/A</v>
      </c>
      <c r="DS199" s="32">
        <f t="shared" si="266"/>
        <v>5.0886997104524724E-3</v>
      </c>
      <c r="DT199" s="32" t="e">
        <f t="shared" si="267"/>
        <v>#N/A</v>
      </c>
      <c r="DU199" s="32" t="b">
        <f t="shared" si="268"/>
        <v>0</v>
      </c>
      <c r="DV199" s="32" t="b">
        <f t="shared" si="269"/>
        <v>1</v>
      </c>
      <c r="DW199" s="32" t="b">
        <f t="shared" si="270"/>
        <v>1</v>
      </c>
      <c r="DX199" s="32" t="b">
        <f t="shared" si="271"/>
        <v>0</v>
      </c>
      <c r="DY199" s="32">
        <f t="shared" si="272"/>
        <v>5.0886997104524724E-3</v>
      </c>
      <c r="DZ199" s="32">
        <f t="shared" si="273"/>
        <v>5.0886997104524724E-3</v>
      </c>
      <c r="EA199" s="32" t="e">
        <f t="shared" si="274"/>
        <v>#N/A</v>
      </c>
      <c r="EB199" s="45" t="str">
        <f t="shared" si="275"/>
        <v/>
      </c>
      <c r="EG199" s="32">
        <f t="shared" si="276"/>
        <v>189</v>
      </c>
      <c r="EH199" s="32">
        <f t="shared" si="277"/>
        <v>190</v>
      </c>
      <c r="EI199" s="32">
        <f t="shared" si="278"/>
        <v>1.4373173517059596</v>
      </c>
      <c r="EJ199" s="32">
        <f t="shared" si="279"/>
        <v>0.14200697285664771</v>
      </c>
      <c r="EK199" s="32" t="e">
        <f t="shared" si="280"/>
        <v>#N/A</v>
      </c>
      <c r="EL199" s="32" t="e">
        <f t="shared" si="281"/>
        <v>#N/A</v>
      </c>
      <c r="EM199" s="32" t="e">
        <f t="shared" si="282"/>
        <v>#N/A</v>
      </c>
      <c r="EN199" s="32" t="b">
        <f t="shared" si="283"/>
        <v>0</v>
      </c>
      <c r="EO199" s="32" t="b">
        <f t="shared" si="284"/>
        <v>1</v>
      </c>
      <c r="EP199" s="32" t="b">
        <f t="shared" si="285"/>
        <v>0</v>
      </c>
      <c r="EQ199" s="32" t="b">
        <f t="shared" si="286"/>
        <v>1</v>
      </c>
      <c r="ER199" s="32">
        <f t="shared" si="287"/>
        <v>0.14200697285664771</v>
      </c>
      <c r="ES199" s="32" t="e">
        <f t="shared" si="288"/>
        <v>#N/A</v>
      </c>
      <c r="ET199" s="32">
        <f t="shared" si="289"/>
        <v>0.14200697285664771</v>
      </c>
      <c r="EU199" s="45" t="str">
        <f t="shared" si="290"/>
        <v/>
      </c>
      <c r="EV19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9" s="32" t="e" cm="1">
        <f t="array" ref="EY199">IF($CR$3,INDEX(Eu_tabel_a[[#This Row],[Styrke venstre]:[Styrke tosidet]],EY$7),NA())</f>
        <v>#N/A</v>
      </c>
      <c r="EZ199" s="32" t="e">
        <f>IF(EY$3,IF(CHOOSE(EY$7,Eu_tabel_a[[#This Row],[x base]]&gt;0,Eu_tabel_a[[#This Row],[x base]]&lt;0,Eu_tabel_a[[#This Row],[x base]]=0),1,NA()),NA())</f>
        <v>#N/A</v>
      </c>
      <c r="FA199" s="32" t="e">
        <f>IF(CHOOSE(EY$7,Eu_tabel_a[[#This Row],[x base]]&gt;0,Eu_tabel_a[[#This Row],[x base]]&lt;0,Eu_tabel_a[[#This Row],[x base]]=0),Eu_tabel_a[[#This Row],[Styrke, aktiv]],NA())</f>
        <v>#N/A</v>
      </c>
      <c r="FB199" s="32" t="e">
        <f>IFERROR(IF($EY$3,Eu_tabel_a[[#This Row],[Styrke, aktiv]],NA()),NA())</f>
        <v>#N/A</v>
      </c>
      <c r="FC199" s="32" t="e">
        <f>IF(ISNA(Eu_tabel_a[[#This Row],[Sand negativ
Nulhypotese afvises
Korrekt]]),NA(),IF(EY$3,1,NA()))</f>
        <v>#N/A</v>
      </c>
      <c r="FD199" s="33" t="str" cm="1">
        <f t="array" ref="FD199">IFERROR(_xlfn.SWITCH(Eu_tabel_a[[#This Row],[Indeks]],_xlfn.IFNA(FB$2,-99),FB$5,_xlfn.IFNA(FB$3,-99),FB$6,_xlfn.IFNA(FB$4,-99),FB$7,""),"")</f>
        <v/>
      </c>
      <c r="FE199" s="32">
        <f>Eu_tabel_a[[#This Row],[x base]]*SQRT(Eu_a_h0_x*(1-Eu_a_h0_x)/Eu_a_n_x)+Eu_a_h0_x</f>
        <v>0</v>
      </c>
      <c r="FJ199" s="74" t="e">
        <f t="shared" ref="FJ199:FJ262" si="338">IF(ISERROR(FK199),NA(),ROW(FJ199)-ROW(FJ$5))</f>
        <v>#N/A</v>
      </c>
      <c r="FK199" s="82" t="e">
        <f t="shared" si="322"/>
        <v>#DIV/0!</v>
      </c>
      <c r="FL199" s="7" t="e">
        <f t="shared" si="332"/>
        <v>#DIV/0!</v>
      </c>
      <c r="FM199" t="e">
        <f t="shared" si="323"/>
        <v>#DIV/0!</v>
      </c>
      <c r="FN199" s="8" t="e">
        <f t="shared" si="324"/>
        <v>#DIV/0!</v>
      </c>
      <c r="FO199" s="8" t="e">
        <f t="shared" si="325"/>
        <v>#DIV/0!</v>
      </c>
      <c r="FP199" s="81" t="e">
        <f t="shared" si="326"/>
        <v>#DIV/0!</v>
      </c>
      <c r="FQ199" s="74" t="e">
        <f t="shared" ca="1" si="333"/>
        <v>#N/A</v>
      </c>
      <c r="FR199" s="82" t="e" vm="3">
        <f t="shared" ref="FR199:FR262" ca="1" si="339">FR197+FW198</f>
        <v>#VALUE!</v>
      </c>
      <c r="FS199" s="7" t="e" vm="3">
        <f t="shared" ca="1" si="334"/>
        <v>#VALUE!</v>
      </c>
      <c r="FT199" t="e" vm="3">
        <f t="shared" ca="1" si="328"/>
        <v>#VALUE!</v>
      </c>
      <c r="FU199" s="8" t="e" vm="3">
        <f t="shared" ca="1" si="329"/>
        <v>#VALUE!</v>
      </c>
      <c r="FV199" s="8" t="e" vm="3">
        <f t="shared" ca="1" si="330"/>
        <v>#VALUE!</v>
      </c>
      <c r="FW199" s="81" t="e" vm="3">
        <f t="shared" ca="1" si="331"/>
        <v>#VALUE!</v>
      </c>
      <c r="FX199" s="74" t="e">
        <f t="shared" si="335"/>
        <v>#N/A</v>
      </c>
      <c r="FY199" s="82" t="e">
        <f t="shared" ref="FY199:FY262" si="340">FY197+GD198</f>
        <v>#N/A</v>
      </c>
      <c r="FZ199" s="7" t="e">
        <f t="shared" si="336"/>
        <v>#N/A</v>
      </c>
      <c r="GA199" t="e">
        <f t="shared" ref="GA199:GA262" si="341">FY199-FY198</f>
        <v>#N/A</v>
      </c>
      <c r="GB199" s="8" t="e">
        <f t="shared" ref="GB199:GB262" si="342">FZ199-FZ198</f>
        <v>#N/A</v>
      </c>
      <c r="GC199" s="8" t="e">
        <f t="shared" ref="GC199:GC262" si="343">$P$67-FZ198</f>
        <v>#N/A</v>
      </c>
      <c r="GD199" s="81" t="e">
        <f t="shared" ref="GD199:GD262" si="344">GA199/(GB199/GC199)</f>
        <v>#N/A</v>
      </c>
      <c r="GE199" s="74" t="e">
        <f t="shared" ref="GE199:GE262" si="345">IF(ISERROR(GF199),NA(),ROW(GE199)-ROW(GE$5))</f>
        <v>#N/A</v>
      </c>
      <c r="GF199" s="82" t="e">
        <f t="shared" ref="GF199:GF262" si="346">GF197+GK198</f>
        <v>#N/A</v>
      </c>
      <c r="GG199" s="7" t="e">
        <f t="shared" si="337"/>
        <v>#N/A</v>
      </c>
      <c r="GH199" t="e">
        <f t="shared" ref="GH199:GH262" si="347">GF199-GF198</f>
        <v>#N/A</v>
      </c>
      <c r="GI199" s="8" t="e">
        <f t="shared" ref="GI199:GI262" si="348">GG199-GG198</f>
        <v>#N/A</v>
      </c>
      <c r="GJ199" s="8" t="e">
        <f t="shared" ref="GJ199:GJ262" si="349">$P$67-GG198</f>
        <v>#N/A</v>
      </c>
      <c r="GK199" s="81" t="e">
        <f t="shared" ref="GK199:GK262" si="350">GH199/(GI199/GJ199)</f>
        <v>#N/A</v>
      </c>
      <c r="GL199" s="81"/>
      <c r="GM199" s="81"/>
      <c r="GP199" s="32">
        <f t="shared" si="291"/>
        <v>189</v>
      </c>
      <c r="GQ199" s="32">
        <f t="shared" si="292"/>
        <v>190</v>
      </c>
      <c r="GR199" s="32">
        <f t="shared" si="293"/>
        <v>1.4373173517059596</v>
      </c>
      <c r="GS199" s="32">
        <f t="shared" si="294"/>
        <v>0.14200697285664771</v>
      </c>
      <c r="GT199" s="32" t="e">
        <f t="shared" si="295"/>
        <v>#N/A</v>
      </c>
      <c r="GU199" s="32" t="e">
        <f t="shared" si="296"/>
        <v>#N/A</v>
      </c>
      <c r="GV199" s="32" t="e">
        <f t="shared" si="297"/>
        <v>#N/A</v>
      </c>
      <c r="GW199" s="32" t="b">
        <f t="shared" si="298"/>
        <v>0</v>
      </c>
      <c r="GX199" s="32" t="b">
        <f t="shared" si="299"/>
        <v>1</v>
      </c>
      <c r="GY199" s="32" t="b">
        <f t="shared" si="300"/>
        <v>0</v>
      </c>
      <c r="GZ199" s="32" t="b">
        <f t="shared" si="301"/>
        <v>1</v>
      </c>
      <c r="HA199" s="32">
        <f t="shared" si="302"/>
        <v>0.14200697285664771</v>
      </c>
      <c r="HB199" s="32" t="e">
        <f t="shared" si="303"/>
        <v>#N/A</v>
      </c>
      <c r="HC199" s="32">
        <f t="shared" si="304"/>
        <v>0.14200697285664771</v>
      </c>
      <c r="HD199" s="45" t="str">
        <f t="shared" si="305"/>
        <v/>
      </c>
      <c r="HJ199" s="32">
        <f t="shared" si="306"/>
        <v>189</v>
      </c>
      <c r="HK199" s="32">
        <f t="shared" si="307"/>
        <v>190</v>
      </c>
      <c r="HL199" s="32">
        <f t="shared" si="308"/>
        <v>2.2257161063434108</v>
      </c>
      <c r="HM199" s="32" t="e">
        <f t="shared" si="309"/>
        <v>#N/A</v>
      </c>
      <c r="HN199" s="32">
        <f t="shared" si="310"/>
        <v>4.5270733725450971E-2</v>
      </c>
      <c r="HO199" s="32" t="e">
        <f t="shared" si="311"/>
        <v>#N/A</v>
      </c>
      <c r="HP199" s="32" t="e">
        <f t="shared" si="312"/>
        <v>#N/A</v>
      </c>
      <c r="HQ199" s="32" t="b">
        <f t="shared" si="313"/>
        <v>0</v>
      </c>
      <c r="HR199" s="32" t="b">
        <f t="shared" si="314"/>
        <v>1</v>
      </c>
      <c r="HS199" s="32" t="b">
        <f t="shared" si="315"/>
        <v>1</v>
      </c>
      <c r="HT199" s="32" t="b">
        <f t="shared" si="316"/>
        <v>0</v>
      </c>
      <c r="HU199" s="32">
        <f t="shared" si="317"/>
        <v>4.5270733725450971E-2</v>
      </c>
      <c r="HV199" s="32" t="e">
        <f t="shared" si="318"/>
        <v>#N/A</v>
      </c>
      <c r="HW199" s="32">
        <f t="shared" si="319"/>
        <v>4.5270733725450971E-2</v>
      </c>
      <c r="HX199" s="45" t="str">
        <f t="shared" si="320"/>
        <v/>
      </c>
    </row>
    <row r="200" spans="78:232" x14ac:dyDescent="0.2">
      <c r="BZ200" s="32">
        <f t="shared" si="247"/>
        <v>190</v>
      </c>
      <c r="CA200" s="32">
        <f>Eu_tabel_g[[#This Row],[Indeks]]+1</f>
        <v>191</v>
      </c>
      <c r="CB200" s="32">
        <f t="shared" si="248"/>
        <v>1.4612726409010586</v>
      </c>
      <c r="CC200" s="32">
        <f t="shared" si="249"/>
        <v>0.1371613376813367</v>
      </c>
      <c r="CD200" s="32" t="e">
        <f t="shared" si="250"/>
        <v>#N/A</v>
      </c>
      <c r="CE200" s="32" t="e">
        <f t="shared" si="251"/>
        <v>#N/A</v>
      </c>
      <c r="CF200" s="32" t="e">
        <f t="shared" si="252"/>
        <v>#N/A</v>
      </c>
      <c r="CG200" s="32" t="b">
        <f t="shared" si="253"/>
        <v>0</v>
      </c>
      <c r="CH200" s="32" t="b">
        <f t="shared" si="254"/>
        <v>1</v>
      </c>
      <c r="CI200" s="32" t="b">
        <f t="shared" si="255"/>
        <v>0</v>
      </c>
      <c r="CJ200" s="32" t="b">
        <f t="shared" si="256"/>
        <v>1</v>
      </c>
      <c r="CK200" s="32">
        <f t="shared" si="327"/>
        <v>0.1371613376813367</v>
      </c>
      <c r="CL200" s="32" t="e">
        <f t="shared" si="257"/>
        <v>#N/A</v>
      </c>
      <c r="CM200" s="32">
        <f t="shared" si="258"/>
        <v>0.1371613376813367</v>
      </c>
      <c r="CN200" s="45" t="str">
        <f t="shared" si="259"/>
        <v/>
      </c>
      <c r="CO200" s="32">
        <f>_xlfn.NORM.DIST(_xlfn.NORM.INV(1-Eu_g_konfidensniveau,0,1)-Eu_tabel_g[[#This Row],[x base]],0,1,TRUE)</f>
        <v>9.4777877233524625E-4</v>
      </c>
      <c r="CP200" s="32">
        <f>1-_xlfn.NORM.DIST(_xlfn.NORM.INV(Eu_g_konfidensniveau,0,1)-Eu_tabel_g[[#This Row],[x base]],0,1,TRUE)</f>
        <v>0.4271710902642325</v>
      </c>
      <c r="CQ200" s="32">
        <f>_xlfn.NORM.DIST(_xlfn.NORM.INV((1-Eu_g_konfidensniveau)/2,0,1)-Eu_tabel_g[[#This Row],[x base]],0,1,TRUE)+1-_xlfn.NORM.DIST(_xlfn.NORM.INV(1-(1-Eu_g_konfidensniveau)/2,0,1)-Eu_tabel_g[[#This Row],[x base]],0,1,TRUE)</f>
        <v>0.30931010724091756</v>
      </c>
      <c r="CR200" s="32" t="e" cm="1">
        <f t="array" ref="CR200">IF($CR$3,INDEX(Eu_tabel_g[[#This Row],[Styrke venstre]:[Styrke tosidet]],CR$7),NA())</f>
        <v>#N/A</v>
      </c>
      <c r="CS200" s="52" t="e">
        <f>Eu_tabel_g[[#This Row],[Falsk positiv
Nulhypotese accepteres
Fejltype 1]]</f>
        <v>#N/A</v>
      </c>
      <c r="CT200" s="52" t="e">
        <f>IF(CHOOSE(CR$7,Eu_tabel_g[[#This Row],[x base]]&gt;0,Eu_tabel_g[[#This Row],[x base]]&lt;0,Eu_tabel_g[[#This Row],[x base]]=0),Eu_tabel_g[[#This Row],[Styrke, aktiv]],NA())</f>
        <v>#N/A</v>
      </c>
      <c r="CU200" s="52" t="e">
        <f>IFERROR(IF($CR$3,Eu_tabel_g[[#This Row],[Styrke, aktiv]],NA()),NA())</f>
        <v>#N/A</v>
      </c>
      <c r="CV200" s="52" t="e">
        <f>IF(ISNA(Eu_tabel_g[[#This Row],[Sand negativ
Nulhypotese afvises
Korrekt]]),NA(),IF($CR$3,1,NA()))</f>
        <v>#N/A</v>
      </c>
      <c r="CW200" s="34" t="str" cm="1">
        <f t="array" ref="CW200">_xlfn.SWITCH(BZ200,_xlfn.IFNA(CU$2,-99),CU$5,_xlfn.IFNA(CU$3,-99),CU$6,_xlfn.IFNA(CU$4,-99),CU$7,"")</f>
        <v/>
      </c>
      <c r="DA200" s="7">
        <f t="shared" si="260"/>
        <v>0.8</v>
      </c>
      <c r="DB200">
        <f>IF(ROW(Styrkeberegning_G[[#This Row],[X base venstre]])=ROW(Styrkeberegning_G[[#Headers],[X base venstre]])+1,DB$7/(DA$7/$B$67),DB199/(DA199/$B$67))</f>
        <v>-2.8015817870135784</v>
      </c>
      <c r="DC200">
        <f>Styrkeberegning_G[[#This Row],[X base venstre]]*-1</f>
        <v>2.8015817870135784</v>
      </c>
      <c r="DN200" s="32">
        <f t="shared" si="261"/>
        <v>190</v>
      </c>
      <c r="DO200" s="32">
        <f t="shared" si="262"/>
        <v>191</v>
      </c>
      <c r="DP200" s="32">
        <f t="shared" si="263"/>
        <v>23.507315383883881</v>
      </c>
      <c r="DQ200" s="32" t="e">
        <f t="shared" si="264"/>
        <v>#N/A</v>
      </c>
      <c r="DR200" s="32" t="e">
        <f t="shared" si="265"/>
        <v>#N/A</v>
      </c>
      <c r="DS200" s="32">
        <f t="shared" si="266"/>
        <v>4.9129600502706896E-3</v>
      </c>
      <c r="DT200" s="32" t="e">
        <f t="shared" si="267"/>
        <v>#N/A</v>
      </c>
      <c r="DU200" s="32" t="b">
        <f t="shared" si="268"/>
        <v>0</v>
      </c>
      <c r="DV200" s="32" t="b">
        <f t="shared" si="269"/>
        <v>1</v>
      </c>
      <c r="DW200" s="32" t="b">
        <f t="shared" si="270"/>
        <v>1</v>
      </c>
      <c r="DX200" s="32" t="b">
        <f t="shared" si="271"/>
        <v>0</v>
      </c>
      <c r="DY200" s="32">
        <f t="shared" si="272"/>
        <v>4.9129600502706896E-3</v>
      </c>
      <c r="DZ200" s="32">
        <f t="shared" si="273"/>
        <v>4.9129600502706896E-3</v>
      </c>
      <c r="EA200" s="32" t="e">
        <f t="shared" si="274"/>
        <v>#N/A</v>
      </c>
      <c r="EB200" s="45" t="str">
        <f t="shared" si="275"/>
        <v/>
      </c>
      <c r="EG200" s="32">
        <f t="shared" si="276"/>
        <v>190</v>
      </c>
      <c r="EH200" s="32">
        <f t="shared" si="277"/>
        <v>191</v>
      </c>
      <c r="EI200" s="32">
        <f t="shared" si="278"/>
        <v>1.4612726409010586</v>
      </c>
      <c r="EJ200" s="32">
        <f t="shared" si="279"/>
        <v>0.1371613376813367</v>
      </c>
      <c r="EK200" s="32" t="e">
        <f t="shared" si="280"/>
        <v>#N/A</v>
      </c>
      <c r="EL200" s="32" t="e">
        <f t="shared" si="281"/>
        <v>#N/A</v>
      </c>
      <c r="EM200" s="32" t="e">
        <f t="shared" si="282"/>
        <v>#N/A</v>
      </c>
      <c r="EN200" s="32" t="b">
        <f t="shared" si="283"/>
        <v>0</v>
      </c>
      <c r="EO200" s="32" t="b">
        <f t="shared" si="284"/>
        <v>1</v>
      </c>
      <c r="EP200" s="32" t="b">
        <f t="shared" si="285"/>
        <v>0</v>
      </c>
      <c r="EQ200" s="32" t="b">
        <f t="shared" si="286"/>
        <v>1</v>
      </c>
      <c r="ER200" s="32">
        <f t="shared" si="287"/>
        <v>0.1371613376813367</v>
      </c>
      <c r="ES200" s="32" t="e">
        <f t="shared" si="288"/>
        <v>#N/A</v>
      </c>
      <c r="ET200" s="32">
        <f t="shared" si="289"/>
        <v>0.1371613376813367</v>
      </c>
      <c r="EU200" s="45" t="str">
        <f t="shared" si="290"/>
        <v/>
      </c>
      <c r="EV20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0" s="32" t="e" cm="1">
        <f t="array" ref="EY200">IF($CR$3,INDEX(Eu_tabel_a[[#This Row],[Styrke venstre]:[Styrke tosidet]],EY$7),NA())</f>
        <v>#N/A</v>
      </c>
      <c r="EZ200" s="32" t="e">
        <f>IF(EY$3,IF(CHOOSE(EY$7,Eu_tabel_a[[#This Row],[x base]]&gt;0,Eu_tabel_a[[#This Row],[x base]]&lt;0,Eu_tabel_a[[#This Row],[x base]]=0),1,NA()),NA())</f>
        <v>#N/A</v>
      </c>
      <c r="FA200" s="32" t="e">
        <f>IF(CHOOSE(EY$7,Eu_tabel_a[[#This Row],[x base]]&gt;0,Eu_tabel_a[[#This Row],[x base]]&lt;0,Eu_tabel_a[[#This Row],[x base]]=0),Eu_tabel_a[[#This Row],[Styrke, aktiv]],NA())</f>
        <v>#N/A</v>
      </c>
      <c r="FB200" s="32" t="e">
        <f>IFERROR(IF($EY$3,Eu_tabel_a[[#This Row],[Styrke, aktiv]],NA()),NA())</f>
        <v>#N/A</v>
      </c>
      <c r="FC200" s="32" t="e">
        <f>IF(ISNA(Eu_tabel_a[[#This Row],[Sand negativ
Nulhypotese afvises
Korrekt]]),NA(),IF(EY$3,1,NA()))</f>
        <v>#N/A</v>
      </c>
      <c r="FD200" s="33" t="str" cm="1">
        <f t="array" ref="FD200">IFERROR(_xlfn.SWITCH(Eu_tabel_a[[#This Row],[Indeks]],_xlfn.IFNA(FB$2,-99),FB$5,_xlfn.IFNA(FB$3,-99),FB$6,_xlfn.IFNA(FB$4,-99),FB$7,""),"")</f>
        <v/>
      </c>
      <c r="FE200" s="32">
        <f>Eu_tabel_a[[#This Row],[x base]]*SQRT(Eu_a_h0_x*(1-Eu_a_h0_x)/Eu_a_n_x)+Eu_a_h0_x</f>
        <v>0</v>
      </c>
      <c r="FJ200" s="74" t="e">
        <f t="shared" si="338"/>
        <v>#N/A</v>
      </c>
      <c r="FK200" s="82" t="e">
        <f t="shared" si="322"/>
        <v>#DIV/0!</v>
      </c>
      <c r="FL200" s="7" t="e">
        <f t="shared" si="332"/>
        <v>#DIV/0!</v>
      </c>
      <c r="FM200" t="e">
        <f t="shared" si="323"/>
        <v>#DIV/0!</v>
      </c>
      <c r="FN200" s="8" t="e">
        <f t="shared" si="324"/>
        <v>#DIV/0!</v>
      </c>
      <c r="FO200" s="8" t="e">
        <f t="shared" si="325"/>
        <v>#DIV/0!</v>
      </c>
      <c r="FP200" s="81" t="e">
        <f t="shared" si="326"/>
        <v>#DIV/0!</v>
      </c>
      <c r="FQ200" s="74" t="e">
        <f t="shared" ca="1" si="333"/>
        <v>#N/A</v>
      </c>
      <c r="FR200" s="82" t="e" vm="3">
        <f t="shared" ca="1" si="339"/>
        <v>#VALUE!</v>
      </c>
      <c r="FS200" s="7" t="e" vm="3">
        <f t="shared" ca="1" si="334"/>
        <v>#VALUE!</v>
      </c>
      <c r="FT200" t="e" vm="3">
        <f t="shared" ca="1" si="328"/>
        <v>#VALUE!</v>
      </c>
      <c r="FU200" s="8" t="e" vm="3">
        <f t="shared" ca="1" si="329"/>
        <v>#VALUE!</v>
      </c>
      <c r="FV200" s="8" t="e" vm="3">
        <f t="shared" ca="1" si="330"/>
        <v>#VALUE!</v>
      </c>
      <c r="FW200" s="81" t="e" vm="3">
        <f t="shared" ca="1" si="331"/>
        <v>#VALUE!</v>
      </c>
      <c r="FX200" s="74" t="e">
        <f t="shared" si="335"/>
        <v>#N/A</v>
      </c>
      <c r="FY200" s="82" t="e">
        <f t="shared" si="340"/>
        <v>#N/A</v>
      </c>
      <c r="FZ200" s="7" t="e">
        <f t="shared" si="336"/>
        <v>#N/A</v>
      </c>
      <c r="GA200" t="e">
        <f t="shared" si="341"/>
        <v>#N/A</v>
      </c>
      <c r="GB200" s="8" t="e">
        <f t="shared" si="342"/>
        <v>#N/A</v>
      </c>
      <c r="GC200" s="8" t="e">
        <f t="shared" si="343"/>
        <v>#N/A</v>
      </c>
      <c r="GD200" s="81" t="e">
        <f t="shared" si="344"/>
        <v>#N/A</v>
      </c>
      <c r="GE200" s="74" t="e">
        <f t="shared" si="345"/>
        <v>#N/A</v>
      </c>
      <c r="GF200" s="82" t="e">
        <f t="shared" si="346"/>
        <v>#N/A</v>
      </c>
      <c r="GG200" s="7" t="e">
        <f t="shared" si="337"/>
        <v>#N/A</v>
      </c>
      <c r="GH200" t="e">
        <f t="shared" si="347"/>
        <v>#N/A</v>
      </c>
      <c r="GI200" s="8" t="e">
        <f t="shared" si="348"/>
        <v>#N/A</v>
      </c>
      <c r="GJ200" s="8" t="e">
        <f t="shared" si="349"/>
        <v>#N/A</v>
      </c>
      <c r="GK200" s="81" t="e">
        <f t="shared" si="350"/>
        <v>#N/A</v>
      </c>
      <c r="GL200" s="81"/>
      <c r="GM200" s="81"/>
      <c r="GP200" s="32">
        <f t="shared" si="291"/>
        <v>190</v>
      </c>
      <c r="GQ200" s="32">
        <f t="shared" si="292"/>
        <v>191</v>
      </c>
      <c r="GR200" s="32">
        <f t="shared" si="293"/>
        <v>1.4612726409010586</v>
      </c>
      <c r="GS200" s="32">
        <f t="shared" si="294"/>
        <v>0.1371613376813367</v>
      </c>
      <c r="GT200" s="32" t="e">
        <f t="shared" si="295"/>
        <v>#N/A</v>
      </c>
      <c r="GU200" s="32" t="e">
        <f t="shared" si="296"/>
        <v>#N/A</v>
      </c>
      <c r="GV200" s="32" t="e">
        <f t="shared" si="297"/>
        <v>#N/A</v>
      </c>
      <c r="GW200" s="32" t="b">
        <f t="shared" si="298"/>
        <v>0</v>
      </c>
      <c r="GX200" s="32" t="b">
        <f t="shared" si="299"/>
        <v>1</v>
      </c>
      <c r="GY200" s="32" t="b">
        <f t="shared" si="300"/>
        <v>0</v>
      </c>
      <c r="GZ200" s="32" t="b">
        <f t="shared" si="301"/>
        <v>1</v>
      </c>
      <c r="HA200" s="32">
        <f t="shared" si="302"/>
        <v>0.1371613376813367</v>
      </c>
      <c r="HB200" s="32" t="e">
        <f t="shared" si="303"/>
        <v>#N/A</v>
      </c>
      <c r="HC200" s="32">
        <f t="shared" si="304"/>
        <v>0.1371613376813367</v>
      </c>
      <c r="HD200" s="45" t="str">
        <f t="shared" si="305"/>
        <v/>
      </c>
      <c r="HJ200" s="32">
        <f t="shared" si="306"/>
        <v>190</v>
      </c>
      <c r="HK200" s="32">
        <f t="shared" si="307"/>
        <v>191</v>
      </c>
      <c r="HL200" s="32">
        <f t="shared" si="308"/>
        <v>2.2628113747824683</v>
      </c>
      <c r="HM200" s="32" t="e">
        <f t="shared" si="309"/>
        <v>#N/A</v>
      </c>
      <c r="HN200" s="32">
        <f t="shared" si="310"/>
        <v>4.2833895415660177E-2</v>
      </c>
      <c r="HO200" s="32" t="e">
        <f t="shared" si="311"/>
        <v>#N/A</v>
      </c>
      <c r="HP200" s="32" t="e">
        <f t="shared" si="312"/>
        <v>#N/A</v>
      </c>
      <c r="HQ200" s="32" t="b">
        <f t="shared" si="313"/>
        <v>0</v>
      </c>
      <c r="HR200" s="32" t="b">
        <f t="shared" si="314"/>
        <v>1</v>
      </c>
      <c r="HS200" s="32" t="b">
        <f t="shared" si="315"/>
        <v>1</v>
      </c>
      <c r="HT200" s="32" t="b">
        <f t="shared" si="316"/>
        <v>0</v>
      </c>
      <c r="HU200" s="32">
        <f t="shared" si="317"/>
        <v>4.2833895415660177E-2</v>
      </c>
      <c r="HV200" s="32" t="e">
        <f t="shared" si="318"/>
        <v>#N/A</v>
      </c>
      <c r="HW200" s="32">
        <f t="shared" si="319"/>
        <v>4.2833895415660177E-2</v>
      </c>
      <c r="HX200" s="45" t="str">
        <f t="shared" si="320"/>
        <v/>
      </c>
    </row>
    <row r="201" spans="78:232" x14ac:dyDescent="0.2">
      <c r="BZ201" s="32">
        <f t="shared" si="247"/>
        <v>191</v>
      </c>
      <c r="CA201" s="32">
        <f>Eu_tabel_g[[#This Row],[Indeks]]+1</f>
        <v>192</v>
      </c>
      <c r="CB201" s="32">
        <f t="shared" si="248"/>
        <v>1.4852279300961584</v>
      </c>
      <c r="CC201" s="32">
        <f t="shared" si="249"/>
        <v>0.13240504455009261</v>
      </c>
      <c r="CD201" s="32" t="e">
        <f t="shared" si="250"/>
        <v>#N/A</v>
      </c>
      <c r="CE201" s="32" t="e">
        <f t="shared" si="251"/>
        <v>#N/A</v>
      </c>
      <c r="CF201" s="32" t="e">
        <f t="shared" si="252"/>
        <v>#N/A</v>
      </c>
      <c r="CG201" s="32" t="b">
        <f t="shared" si="253"/>
        <v>0</v>
      </c>
      <c r="CH201" s="32" t="b">
        <f t="shared" si="254"/>
        <v>1</v>
      </c>
      <c r="CI201" s="32" t="b">
        <f t="shared" si="255"/>
        <v>0</v>
      </c>
      <c r="CJ201" s="32" t="b">
        <f t="shared" si="256"/>
        <v>1</v>
      </c>
      <c r="CK201" s="32">
        <f t="shared" si="327"/>
        <v>0.13240504455009261</v>
      </c>
      <c r="CL201" s="32" t="e">
        <f t="shared" si="257"/>
        <v>#N/A</v>
      </c>
      <c r="CM201" s="32">
        <f t="shared" si="258"/>
        <v>0.13240504455009261</v>
      </c>
      <c r="CN201" s="45" t="str">
        <f t="shared" si="259"/>
        <v/>
      </c>
      <c r="CO201" s="32">
        <f>_xlfn.NORM.DIST(_xlfn.NORM.INV(1-Eu_g_konfidensniveau,0,1)-Eu_tabel_g[[#This Row],[x base]],0,1,TRUE)</f>
        <v>8.7378888461065081E-4</v>
      </c>
      <c r="CP201" s="32">
        <f>1-_xlfn.NORM.DIST(_xlfn.NORM.INV(Eu_g_konfidensniveau,0,1)-Eu_tabel_g[[#This Row],[x base]],0,1,TRUE)</f>
        <v>0.43658796768610664</v>
      </c>
      <c r="CQ201" s="32">
        <f>_xlfn.NORM.DIST(_xlfn.NORM.INV((1-Eu_g_konfidensniveau)/2,0,1)-Eu_tabel_g[[#This Row],[x base]],0,1,TRUE)+1-_xlfn.NORM.DIST(_xlfn.NORM.INV(1-(1-Eu_g_konfidensniveau)/2,0,1)-Eu_tabel_g[[#This Row],[x base]],0,1,TRUE)</f>
        <v>0.31777288511858404</v>
      </c>
      <c r="CR201" s="32" t="e" cm="1">
        <f t="array" ref="CR201">IF($CR$3,INDEX(Eu_tabel_g[[#This Row],[Styrke venstre]:[Styrke tosidet]],CR$7),NA())</f>
        <v>#N/A</v>
      </c>
      <c r="CS201" s="52" t="e">
        <f>Eu_tabel_g[[#This Row],[Falsk positiv
Nulhypotese accepteres
Fejltype 1]]</f>
        <v>#N/A</v>
      </c>
      <c r="CT201" s="52" t="e">
        <f>IF(CHOOSE(CR$7,Eu_tabel_g[[#This Row],[x base]]&gt;0,Eu_tabel_g[[#This Row],[x base]]&lt;0,Eu_tabel_g[[#This Row],[x base]]=0),Eu_tabel_g[[#This Row],[Styrke, aktiv]],NA())</f>
        <v>#N/A</v>
      </c>
      <c r="CU201" s="52" t="e">
        <f>IFERROR(IF($CR$3,Eu_tabel_g[[#This Row],[Styrke, aktiv]],NA()),NA())</f>
        <v>#N/A</v>
      </c>
      <c r="CV201" s="52" t="e">
        <f>IF(ISNA(Eu_tabel_g[[#This Row],[Sand negativ
Nulhypotese afvises
Korrekt]]),NA(),IF($CR$3,1,NA()))</f>
        <v>#N/A</v>
      </c>
      <c r="CW201" s="34" t="str" cm="1">
        <f t="array" ref="CW201">_xlfn.SWITCH(BZ201,_xlfn.IFNA(CU$2,-99),CU$5,_xlfn.IFNA(CU$3,-99),CU$6,_xlfn.IFNA(CU$4,-99),CU$7,"")</f>
        <v/>
      </c>
      <c r="DA201" s="7">
        <f t="shared" si="260"/>
        <v>0.8</v>
      </c>
      <c r="DB201">
        <f>IF(ROW(Styrkeberegning_G[[#This Row],[X base venstre]])=ROW(Styrkeberegning_G[[#Headers],[X base venstre]])+1,DB$7/(DA$7/$B$67),DB200/(DA200/$B$67))</f>
        <v>-2.8015817870135784</v>
      </c>
      <c r="DC201">
        <f>Styrkeberegning_G[[#This Row],[X base venstre]]*-1</f>
        <v>2.8015817870135784</v>
      </c>
      <c r="DN201" s="32">
        <f t="shared" si="261"/>
        <v>191</v>
      </c>
      <c r="DO201" s="32">
        <f t="shared" si="262"/>
        <v>192</v>
      </c>
      <c r="DP201" s="32">
        <f t="shared" si="263"/>
        <v>23.621386240300883</v>
      </c>
      <c r="DQ201" s="32" t="e">
        <f t="shared" si="264"/>
        <v>#N/A</v>
      </c>
      <c r="DR201" s="32" t="e">
        <f t="shared" si="265"/>
        <v>#N/A</v>
      </c>
      <c r="DS201" s="32">
        <f t="shared" si="266"/>
        <v>4.742787013801879E-3</v>
      </c>
      <c r="DT201" s="32" t="e">
        <f t="shared" si="267"/>
        <v>#N/A</v>
      </c>
      <c r="DU201" s="32" t="b">
        <f t="shared" si="268"/>
        <v>0</v>
      </c>
      <c r="DV201" s="32" t="b">
        <f t="shared" si="269"/>
        <v>1</v>
      </c>
      <c r="DW201" s="32" t="b">
        <f t="shared" si="270"/>
        <v>1</v>
      </c>
      <c r="DX201" s="32" t="b">
        <f t="shared" si="271"/>
        <v>0</v>
      </c>
      <c r="DY201" s="32">
        <f t="shared" si="272"/>
        <v>4.742787013801879E-3</v>
      </c>
      <c r="DZ201" s="32">
        <f t="shared" si="273"/>
        <v>4.742787013801879E-3</v>
      </c>
      <c r="EA201" s="32" t="e">
        <f t="shared" si="274"/>
        <v>#N/A</v>
      </c>
      <c r="EB201" s="45" t="str">
        <f t="shared" si="275"/>
        <v/>
      </c>
      <c r="EG201" s="32">
        <f t="shared" si="276"/>
        <v>191</v>
      </c>
      <c r="EH201" s="32">
        <f t="shared" si="277"/>
        <v>192</v>
      </c>
      <c r="EI201" s="32">
        <f t="shared" si="278"/>
        <v>1.4852279300961584</v>
      </c>
      <c r="EJ201" s="32">
        <f t="shared" si="279"/>
        <v>0.13240504455009261</v>
      </c>
      <c r="EK201" s="32" t="e">
        <f t="shared" si="280"/>
        <v>#N/A</v>
      </c>
      <c r="EL201" s="32" t="e">
        <f t="shared" si="281"/>
        <v>#N/A</v>
      </c>
      <c r="EM201" s="32" t="e">
        <f t="shared" si="282"/>
        <v>#N/A</v>
      </c>
      <c r="EN201" s="32" t="b">
        <f t="shared" si="283"/>
        <v>0</v>
      </c>
      <c r="EO201" s="32" t="b">
        <f t="shared" si="284"/>
        <v>1</v>
      </c>
      <c r="EP201" s="32" t="b">
        <f t="shared" si="285"/>
        <v>0</v>
      </c>
      <c r="EQ201" s="32" t="b">
        <f t="shared" si="286"/>
        <v>1</v>
      </c>
      <c r="ER201" s="32">
        <f t="shared" si="287"/>
        <v>0.13240504455009261</v>
      </c>
      <c r="ES201" s="32" t="e">
        <f t="shared" si="288"/>
        <v>#N/A</v>
      </c>
      <c r="ET201" s="32">
        <f t="shared" si="289"/>
        <v>0.13240504455009261</v>
      </c>
      <c r="EU201" s="45" t="str">
        <f t="shared" si="290"/>
        <v/>
      </c>
      <c r="EV20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1" s="32" t="e" cm="1">
        <f t="array" ref="EY201">IF($CR$3,INDEX(Eu_tabel_a[[#This Row],[Styrke venstre]:[Styrke tosidet]],EY$7),NA())</f>
        <v>#N/A</v>
      </c>
      <c r="EZ201" s="32" t="e">
        <f>IF(EY$3,IF(CHOOSE(EY$7,Eu_tabel_a[[#This Row],[x base]]&gt;0,Eu_tabel_a[[#This Row],[x base]]&lt;0,Eu_tabel_a[[#This Row],[x base]]=0),1,NA()),NA())</f>
        <v>#N/A</v>
      </c>
      <c r="FA201" s="32" t="e">
        <f>IF(CHOOSE(EY$7,Eu_tabel_a[[#This Row],[x base]]&gt;0,Eu_tabel_a[[#This Row],[x base]]&lt;0,Eu_tabel_a[[#This Row],[x base]]=0),Eu_tabel_a[[#This Row],[Styrke, aktiv]],NA())</f>
        <v>#N/A</v>
      </c>
      <c r="FB201" s="32" t="e">
        <f>IFERROR(IF($EY$3,Eu_tabel_a[[#This Row],[Styrke, aktiv]],NA()),NA())</f>
        <v>#N/A</v>
      </c>
      <c r="FC201" s="32" t="e">
        <f>IF(ISNA(Eu_tabel_a[[#This Row],[Sand negativ
Nulhypotese afvises
Korrekt]]),NA(),IF(EY$3,1,NA()))</f>
        <v>#N/A</v>
      </c>
      <c r="FD201" s="33" t="str" cm="1">
        <f t="array" ref="FD201">IFERROR(_xlfn.SWITCH(Eu_tabel_a[[#This Row],[Indeks]],_xlfn.IFNA(FB$2,-99),FB$5,_xlfn.IFNA(FB$3,-99),FB$6,_xlfn.IFNA(FB$4,-99),FB$7,""),"")</f>
        <v/>
      </c>
      <c r="FE201" s="32">
        <f>Eu_tabel_a[[#This Row],[x base]]*SQRT(Eu_a_h0_x*(1-Eu_a_h0_x)/Eu_a_n_x)+Eu_a_h0_x</f>
        <v>0</v>
      </c>
      <c r="FJ201" s="74" t="e">
        <f t="shared" si="338"/>
        <v>#N/A</v>
      </c>
      <c r="FK201" s="82" t="e">
        <f t="shared" si="322"/>
        <v>#DIV/0!</v>
      </c>
      <c r="FL201" s="7" t="e">
        <f t="shared" si="332"/>
        <v>#DIV/0!</v>
      </c>
      <c r="FM201" t="e">
        <f t="shared" si="323"/>
        <v>#DIV/0!</v>
      </c>
      <c r="FN201" s="8" t="e">
        <f t="shared" si="324"/>
        <v>#DIV/0!</v>
      </c>
      <c r="FO201" s="8" t="e">
        <f t="shared" si="325"/>
        <v>#DIV/0!</v>
      </c>
      <c r="FP201" s="81" t="e">
        <f t="shared" si="326"/>
        <v>#DIV/0!</v>
      </c>
      <c r="FQ201" s="74" t="e">
        <f t="shared" ca="1" si="333"/>
        <v>#N/A</v>
      </c>
      <c r="FR201" s="82" t="e" vm="3">
        <f t="shared" ca="1" si="339"/>
        <v>#VALUE!</v>
      </c>
      <c r="FS201" s="7" t="e" vm="3">
        <f t="shared" ca="1" si="334"/>
        <v>#VALUE!</v>
      </c>
      <c r="FT201" t="e" vm="3">
        <f t="shared" ca="1" si="328"/>
        <v>#VALUE!</v>
      </c>
      <c r="FU201" s="8" t="e" vm="3">
        <f t="shared" ca="1" si="329"/>
        <v>#VALUE!</v>
      </c>
      <c r="FV201" s="8" t="e" vm="3">
        <f t="shared" ca="1" si="330"/>
        <v>#VALUE!</v>
      </c>
      <c r="FW201" s="81" t="e" vm="3">
        <f t="shared" ca="1" si="331"/>
        <v>#VALUE!</v>
      </c>
      <c r="FX201" s="74" t="e">
        <f t="shared" si="335"/>
        <v>#N/A</v>
      </c>
      <c r="FY201" s="82" t="e">
        <f t="shared" si="340"/>
        <v>#N/A</v>
      </c>
      <c r="FZ201" s="7" t="e">
        <f t="shared" si="336"/>
        <v>#N/A</v>
      </c>
      <c r="GA201" t="e">
        <f t="shared" si="341"/>
        <v>#N/A</v>
      </c>
      <c r="GB201" s="8" t="e">
        <f t="shared" si="342"/>
        <v>#N/A</v>
      </c>
      <c r="GC201" s="8" t="e">
        <f t="shared" si="343"/>
        <v>#N/A</v>
      </c>
      <c r="GD201" s="81" t="e">
        <f t="shared" si="344"/>
        <v>#N/A</v>
      </c>
      <c r="GE201" s="74" t="e">
        <f t="shared" si="345"/>
        <v>#N/A</v>
      </c>
      <c r="GF201" s="82" t="e">
        <f t="shared" si="346"/>
        <v>#N/A</v>
      </c>
      <c r="GG201" s="7" t="e">
        <f t="shared" si="337"/>
        <v>#N/A</v>
      </c>
      <c r="GH201" t="e">
        <f t="shared" si="347"/>
        <v>#N/A</v>
      </c>
      <c r="GI201" s="8" t="e">
        <f t="shared" si="348"/>
        <v>#N/A</v>
      </c>
      <c r="GJ201" s="8" t="e">
        <f t="shared" si="349"/>
        <v>#N/A</v>
      </c>
      <c r="GK201" s="81" t="e">
        <f t="shared" si="350"/>
        <v>#N/A</v>
      </c>
      <c r="GL201" s="81"/>
      <c r="GM201" s="81"/>
      <c r="GP201" s="32">
        <f t="shared" si="291"/>
        <v>191</v>
      </c>
      <c r="GQ201" s="32">
        <f t="shared" si="292"/>
        <v>192</v>
      </c>
      <c r="GR201" s="32">
        <f t="shared" si="293"/>
        <v>1.4852279300961584</v>
      </c>
      <c r="GS201" s="32">
        <f t="shared" si="294"/>
        <v>0.13240504455009261</v>
      </c>
      <c r="GT201" s="32" t="e">
        <f t="shared" si="295"/>
        <v>#N/A</v>
      </c>
      <c r="GU201" s="32" t="e">
        <f t="shared" si="296"/>
        <v>#N/A</v>
      </c>
      <c r="GV201" s="32" t="e">
        <f t="shared" si="297"/>
        <v>#N/A</v>
      </c>
      <c r="GW201" s="32" t="b">
        <f t="shared" si="298"/>
        <v>0</v>
      </c>
      <c r="GX201" s="32" t="b">
        <f t="shared" si="299"/>
        <v>1</v>
      </c>
      <c r="GY201" s="32" t="b">
        <f t="shared" si="300"/>
        <v>0</v>
      </c>
      <c r="GZ201" s="32" t="b">
        <f t="shared" si="301"/>
        <v>1</v>
      </c>
      <c r="HA201" s="32">
        <f t="shared" si="302"/>
        <v>0.13240504455009261</v>
      </c>
      <c r="HB201" s="32" t="e">
        <f t="shared" si="303"/>
        <v>#N/A</v>
      </c>
      <c r="HC201" s="32">
        <f t="shared" si="304"/>
        <v>0.13240504455009261</v>
      </c>
      <c r="HD201" s="45" t="str">
        <f t="shared" si="305"/>
        <v/>
      </c>
      <c r="HJ201" s="32">
        <f t="shared" si="306"/>
        <v>191</v>
      </c>
      <c r="HK201" s="32">
        <f t="shared" si="307"/>
        <v>192</v>
      </c>
      <c r="HL201" s="32">
        <f t="shared" si="308"/>
        <v>2.2999066432215249</v>
      </c>
      <c r="HM201" s="32" t="e">
        <f t="shared" si="309"/>
        <v>#N/A</v>
      </c>
      <c r="HN201" s="32">
        <f t="shared" si="310"/>
        <v>4.0522517174392161E-2</v>
      </c>
      <c r="HO201" s="32" t="e">
        <f t="shared" si="311"/>
        <v>#N/A</v>
      </c>
      <c r="HP201" s="32" t="e">
        <f t="shared" si="312"/>
        <v>#N/A</v>
      </c>
      <c r="HQ201" s="32" t="b">
        <f t="shared" si="313"/>
        <v>0</v>
      </c>
      <c r="HR201" s="32" t="b">
        <f t="shared" si="314"/>
        <v>1</v>
      </c>
      <c r="HS201" s="32" t="b">
        <f t="shared" si="315"/>
        <v>1</v>
      </c>
      <c r="HT201" s="32" t="b">
        <f t="shared" si="316"/>
        <v>0</v>
      </c>
      <c r="HU201" s="32">
        <f t="shared" si="317"/>
        <v>4.0522517174392161E-2</v>
      </c>
      <c r="HV201" s="32" t="e">
        <f t="shared" si="318"/>
        <v>#N/A</v>
      </c>
      <c r="HW201" s="32">
        <f t="shared" si="319"/>
        <v>4.0522517174392161E-2</v>
      </c>
      <c r="HX201" s="45" t="str">
        <f t="shared" si="320"/>
        <v/>
      </c>
    </row>
    <row r="202" spans="78:232" x14ac:dyDescent="0.2">
      <c r="BZ202" s="32">
        <f t="shared" ref="BZ202:BZ268" si="351">ROW(BZ202)-ROW(BZ$10)</f>
        <v>192</v>
      </c>
      <c r="CA202" s="32">
        <f>Eu_tabel_g[[#This Row],[Indeks]]+1</f>
        <v>193</v>
      </c>
      <c r="CB202" s="32">
        <f t="shared" ref="CB202:CB268" si="352">CB$5+(CB$7-CB$5)/CB$3*BZ202</f>
        <v>1.5091832192912573</v>
      </c>
      <c r="CC202" s="32">
        <f t="shared" ref="CC202:CC265" si="353">IF(CC$3,_xlfn.NORM.DIST(CB202,CC$5,CC$7,FALSE),NA())</f>
        <v>0.12774035804918912</v>
      </c>
      <c r="CD202" s="32" t="e">
        <f t="shared" ref="CD202:CD268" si="354">IF(CD$3,_xlfn.T.DIST(CB202,CD$5,FALSE),NA())</f>
        <v>#N/A</v>
      </c>
      <c r="CE202" s="32" t="e">
        <f t="shared" ref="CE202:CE268" si="355">IF(CE$3,_xlfn.CHISQ.DIST(CB202,CE$5,FALSE),NA())</f>
        <v>#N/A</v>
      </c>
      <c r="CF202" s="32" t="e">
        <f t="shared" ref="CF202:CF268" si="356">IF(CF$3,_xlfn.F.DIST(CB202,CF$5,CF$7,FALSE),NA())</f>
        <v>#N/A</v>
      </c>
      <c r="CG202" s="32" t="b">
        <f t="shared" ref="CG202:CG268" si="357">CB202&lt;CG$3</f>
        <v>0</v>
      </c>
      <c r="CH202" s="32" t="b">
        <f t="shared" ref="CH202:CH265" si="358">CB202&gt;CG$3</f>
        <v>1</v>
      </c>
      <c r="CI202" s="32" t="b">
        <f t="shared" ref="CI202:CI268" si="359">OR(CB202&lt;CI$3,CB202&gt;CI$5)</f>
        <v>0</v>
      </c>
      <c r="CJ202" s="32" t="b">
        <f t="shared" ref="CJ202:CJ265" si="360">AND(CB202&gt;CI$3,CB202&lt;CI$5)</f>
        <v>1</v>
      </c>
      <c r="CK202" s="32">
        <f t="shared" si="327"/>
        <v>0.12774035804918912</v>
      </c>
      <c r="CL202" s="32" t="e">
        <f t="shared" ref="CL202:CL265" si="361">IF(INDEX(CG202:CJ202,CK$7),CK202,NA())</f>
        <v>#N/A</v>
      </c>
      <c r="CM202" s="32">
        <f t="shared" ref="CM202:CM265" si="362">IF(INDEX(CG202:CJ202,CL$7),CK202,NA())</f>
        <v>0.12774035804918912</v>
      </c>
      <c r="CN202" s="45" t="str">
        <f t="shared" ref="CN202:CN268" si="363">_xlfn.SWITCH(BZ202,CN$2,CN$5,CN$3,CN$6,CN$4,CN$7,"")</f>
        <v/>
      </c>
      <c r="CO202" s="32">
        <f>_xlfn.NORM.DIST(_xlfn.NORM.INV(1-Eu_g_konfidensniveau,0,1)-Eu_tabel_g[[#This Row],[x base]],0,1,TRUE)</f>
        <v>8.0514376711931569E-4</v>
      </c>
      <c r="CP202" s="32">
        <f>1-_xlfn.NORM.DIST(_xlfn.NORM.INV(Eu_g_konfidensniveau,0,1)-Eu_tabel_g[[#This Row],[x base]],0,1,TRUE)</f>
        <v>0.44604092132101625</v>
      </c>
      <c r="CQ202" s="32">
        <f>_xlfn.NORM.DIST(_xlfn.NORM.INV((1-Eu_g_konfidensniveau)/2,0,1)-Eu_tabel_g[[#This Row],[x base]],0,1,TRUE)+1-_xlfn.NORM.DIST(_xlfn.NORM.INV(1-(1-Eu_g_konfidensniveau)/2,0,1)-Eu_tabel_g[[#This Row],[x base]],0,1,TRUE)</f>
        <v>0.32633483948430786</v>
      </c>
      <c r="CR202" s="32" t="e" cm="1">
        <f t="array" ref="CR202">IF($CR$3,INDEX(Eu_tabel_g[[#This Row],[Styrke venstre]:[Styrke tosidet]],CR$7),NA())</f>
        <v>#N/A</v>
      </c>
      <c r="CS202" s="52" t="e">
        <f>Eu_tabel_g[[#This Row],[Falsk positiv
Nulhypotese accepteres
Fejltype 1]]</f>
        <v>#N/A</v>
      </c>
      <c r="CT202" s="52" t="e">
        <f>IF(CHOOSE(CR$7,Eu_tabel_g[[#This Row],[x base]]&gt;0,Eu_tabel_g[[#This Row],[x base]]&lt;0,Eu_tabel_g[[#This Row],[x base]]=0),Eu_tabel_g[[#This Row],[Styrke, aktiv]],NA())</f>
        <v>#N/A</v>
      </c>
      <c r="CU202" s="52" t="e">
        <f>IFERROR(IF($CR$3,Eu_tabel_g[[#This Row],[Styrke, aktiv]],NA()),NA())</f>
        <v>#N/A</v>
      </c>
      <c r="CV202" s="52" t="e">
        <f>IF(ISNA(Eu_tabel_g[[#This Row],[Sand negativ
Nulhypotese afvises
Korrekt]]),NA(),IF($CR$3,1,NA()))</f>
        <v>#N/A</v>
      </c>
      <c r="CW202" s="34" t="str" cm="1">
        <f t="array" ref="CW202">_xlfn.SWITCH(BZ202,_xlfn.IFNA(CU$2,-99),CU$5,_xlfn.IFNA(CU$3,-99),CU$6,_xlfn.IFNA(CU$4,-99),CU$7,"")</f>
        <v/>
      </c>
      <c r="DA202" s="7">
        <f t="shared" ref="DA202:DA265" si="364">_xlfn.NORM.DIST(_xlfn.NORM.INV((1-Eu_g_konfidensniveau)/2,0,1)-DB202,0,1,TRUE)+1-_xlfn.NORM.DIST(_xlfn.NORM.INV(1-(1-Eu_g_konfidensniveau)/2,0,1)-DB202,0,1,TRUE)</f>
        <v>0.8</v>
      </c>
      <c r="DB202">
        <f>IF(ROW(Styrkeberegning_G[[#This Row],[X base venstre]])=ROW(Styrkeberegning_G[[#Headers],[X base venstre]])+1,DB$7/(DA$7/$B$67),DB201/(DA201/$B$67))</f>
        <v>-2.8015817870135784</v>
      </c>
      <c r="DC202">
        <f>Styrkeberegning_G[[#This Row],[X base venstre]]*-1</f>
        <v>2.8015817870135784</v>
      </c>
      <c r="DN202" s="32">
        <f t="shared" ref="DN202:DN268" si="365">ROW(DN202)-ROW(DN$10)</f>
        <v>192</v>
      </c>
      <c r="DO202" s="32">
        <f t="shared" ref="DO202:DO265" si="366">DN202+1</f>
        <v>193</v>
      </c>
      <c r="DP202" s="32">
        <f t="shared" ref="DP202:DP268" si="367">DP$5+(DP$7-DP$5)/DP$3*DN202</f>
        <v>23.735457096717884</v>
      </c>
      <c r="DQ202" s="32" t="e">
        <f t="shared" ref="DQ202:DQ265" si="368">IF(DQ$3,_xlfn.NORM.DIST(DP202,DQ$5,DQ$7,FALSE),NA())</f>
        <v>#N/A</v>
      </c>
      <c r="DR202" s="32" t="e">
        <f t="shared" ref="DR202:DR268" si="369">IF(DR$3,_xlfn.T.DIST(DP202,DR$5,FALSE),NA())</f>
        <v>#N/A</v>
      </c>
      <c r="DS202" s="32">
        <f t="shared" ref="DS202:DS268" si="370">IF(DS$3,_xlfn.CHISQ.DIST(DP202,DS$5,FALSE),NA())</f>
        <v>4.5780278989119051E-3</v>
      </c>
      <c r="DT202" s="32" t="e">
        <f t="shared" ref="DT202:DT268" si="371">IF(DT$3,_xlfn.F.DIST(DP202,DT$5,DT$7,FALSE),NA())</f>
        <v>#N/A</v>
      </c>
      <c r="DU202" s="32" t="b">
        <f t="shared" ref="DU202:DU268" si="372">DP202&lt;DU$3</f>
        <v>0</v>
      </c>
      <c r="DV202" s="32" t="b">
        <f t="shared" ref="DV202:DV265" si="373">DP202&gt;DU$3</f>
        <v>1</v>
      </c>
      <c r="DW202" s="32" t="b">
        <f t="shared" ref="DW202:DW268" si="374">OR(DP202&lt;DW$3,DP202&gt;DW$5)</f>
        <v>1</v>
      </c>
      <c r="DX202" s="32" t="b">
        <f t="shared" ref="DX202:DX265" si="375">AND(DP202&gt;DW$3,DP202&lt;DW$5)</f>
        <v>0</v>
      </c>
      <c r="DY202" s="32">
        <f t="shared" ref="DY202:DY265" si="376">_xlfn.AGGREGATE(9,6,DQ202:DT202)</f>
        <v>4.5780278989119051E-3</v>
      </c>
      <c r="DZ202" s="32">
        <f t="shared" ref="DZ202:DZ265" si="377">IF(INDEX(DU202:DX202,DY$7),DY202,NA())</f>
        <v>4.5780278989119051E-3</v>
      </c>
      <c r="EA202" s="32" t="e">
        <f t="shared" ref="EA202:EA265" si="378">IF(INDEX(DU202:DX202,DZ$7),DY202,NA())</f>
        <v>#N/A</v>
      </c>
      <c r="EB202" s="45" t="str">
        <f t="shared" ref="EB202:EB268" si="379">_xlfn.SWITCH(DN202,EB$2,EB$5,EB$3,EB$6,EB$4,EB$7,"")</f>
        <v/>
      </c>
      <c r="EG202" s="32">
        <f t="shared" ref="EG202:EG268" si="380">ROW(EG202)-ROW(EG$10)</f>
        <v>192</v>
      </c>
      <c r="EH202" s="32">
        <f t="shared" ref="EH202:EH265" si="381">EG202+1</f>
        <v>193</v>
      </c>
      <c r="EI202" s="32">
        <f t="shared" ref="EI202:EI268" si="382">EI$5+(EI$7-EI$5)/EI$3*EG202</f>
        <v>1.5091832192912573</v>
      </c>
      <c r="EJ202" s="32">
        <f t="shared" ref="EJ202:EJ265" si="383">IF(EJ$3,_xlfn.NORM.DIST(EI202,EJ$5,EJ$7,FALSE),NA())</f>
        <v>0.12774035804918912</v>
      </c>
      <c r="EK202" s="32" t="e">
        <f t="shared" ref="EK202:EK268" si="384">IF(EK$3,_xlfn.T.DIST(EI202,EK$5,FALSE),NA())</f>
        <v>#N/A</v>
      </c>
      <c r="EL202" s="32" t="e">
        <f t="shared" ref="EL202:EL268" si="385">IF(EL$3,_xlfn.CHISQ.DIST(EI202,EL$5,FALSE),NA())</f>
        <v>#N/A</v>
      </c>
      <c r="EM202" s="32" t="e">
        <f t="shared" ref="EM202:EM268" si="386">IF(EM$3,_xlfn.F.DIST(EI202,EM$5,EM$7,FALSE),NA())</f>
        <v>#N/A</v>
      </c>
      <c r="EN202" s="32" t="b">
        <f t="shared" ref="EN202:EN268" si="387">EI202&lt;EN$3</f>
        <v>0</v>
      </c>
      <c r="EO202" s="32" t="b">
        <f t="shared" ref="EO202:EO265" si="388">EI202&gt;EN$3</f>
        <v>1</v>
      </c>
      <c r="EP202" s="32" t="b">
        <f t="shared" ref="EP202:EP268" si="389">OR(EI202&lt;EP$3,EI202&gt;EP$5)</f>
        <v>0</v>
      </c>
      <c r="EQ202" s="32" t="b">
        <f t="shared" ref="EQ202:EQ265" si="390">AND(EI202&gt;EP$3,EI202&lt;EP$5)</f>
        <v>1</v>
      </c>
      <c r="ER202" s="32">
        <f t="shared" ref="ER202:ER265" si="391">_xlfn.AGGREGATE(9,6,EJ202:EM202)</f>
        <v>0.12774035804918912</v>
      </c>
      <c r="ES202" s="32" t="e">
        <f t="shared" ref="ES202:ES265" si="392">IF(INDEX(EN202:EQ202,ER$7),ER202,NA())</f>
        <v>#N/A</v>
      </c>
      <c r="ET202" s="32">
        <f t="shared" ref="ET202:ET265" si="393">IF(INDEX(EN202:EQ202,ES$7),ER202,NA())</f>
        <v>0.12774035804918912</v>
      </c>
      <c r="EU202" s="45" t="str">
        <f t="shared" ref="EU202:EU268" si="394">_xlfn.SWITCH(EG202,EU$2,EU$5,EU$3,EU$6,EU$4,EU$7,"")</f>
        <v/>
      </c>
      <c r="EV20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2" s="32" t="e" cm="1">
        <f t="array" ref="EY202">IF($CR$3,INDEX(Eu_tabel_a[[#This Row],[Styrke venstre]:[Styrke tosidet]],EY$7),NA())</f>
        <v>#N/A</v>
      </c>
      <c r="EZ202" s="32" t="e">
        <f>IF(EY$3,IF(CHOOSE(EY$7,Eu_tabel_a[[#This Row],[x base]]&gt;0,Eu_tabel_a[[#This Row],[x base]]&lt;0,Eu_tabel_a[[#This Row],[x base]]=0),1,NA()),NA())</f>
        <v>#N/A</v>
      </c>
      <c r="FA202" s="32" t="e">
        <f>IF(CHOOSE(EY$7,Eu_tabel_a[[#This Row],[x base]]&gt;0,Eu_tabel_a[[#This Row],[x base]]&lt;0,Eu_tabel_a[[#This Row],[x base]]=0),Eu_tabel_a[[#This Row],[Styrke, aktiv]],NA())</f>
        <v>#N/A</v>
      </c>
      <c r="FB202" s="32" t="e">
        <f>IFERROR(IF($EY$3,Eu_tabel_a[[#This Row],[Styrke, aktiv]],NA()),NA())</f>
        <v>#N/A</v>
      </c>
      <c r="FC202" s="32" t="e">
        <f>IF(ISNA(Eu_tabel_a[[#This Row],[Sand negativ
Nulhypotese afvises
Korrekt]]),NA(),IF(EY$3,1,NA()))</f>
        <v>#N/A</v>
      </c>
      <c r="FD202" s="33" t="str" cm="1">
        <f t="array" ref="FD202">IFERROR(_xlfn.SWITCH(Eu_tabel_a[[#This Row],[Indeks]],_xlfn.IFNA(FB$2,-99),FB$5,_xlfn.IFNA(FB$3,-99),FB$6,_xlfn.IFNA(FB$4,-99),FB$7,""),"")</f>
        <v/>
      </c>
      <c r="FE202" s="32">
        <f>Eu_tabel_a[[#This Row],[x base]]*SQRT(Eu_a_h0_x*(1-Eu_a_h0_x)/Eu_a_n_x)+Eu_a_h0_x</f>
        <v>0</v>
      </c>
      <c r="FJ202" s="74" t="e">
        <f t="shared" si="338"/>
        <v>#N/A</v>
      </c>
      <c r="FK202" s="82" t="e">
        <f t="shared" si="322"/>
        <v>#DIV/0!</v>
      </c>
      <c r="FL202" s="7" t="e">
        <f t="shared" si="332"/>
        <v>#DIV/0!</v>
      </c>
      <c r="FM202" t="e">
        <f t="shared" si="323"/>
        <v>#DIV/0!</v>
      </c>
      <c r="FN202" s="8" t="e">
        <f t="shared" si="324"/>
        <v>#DIV/0!</v>
      </c>
      <c r="FO202" s="8" t="e">
        <f t="shared" si="325"/>
        <v>#DIV/0!</v>
      </c>
      <c r="FP202" s="81" t="e">
        <f t="shared" si="326"/>
        <v>#DIV/0!</v>
      </c>
      <c r="FQ202" s="74" t="e">
        <f t="shared" ca="1" si="333"/>
        <v>#N/A</v>
      </c>
      <c r="FR202" s="82" t="e" vm="3">
        <f t="shared" ca="1" si="339"/>
        <v>#VALUE!</v>
      </c>
      <c r="FS202" s="7" t="e" vm="3">
        <f t="shared" ca="1" si="334"/>
        <v>#VALUE!</v>
      </c>
      <c r="FT202" t="e" vm="3">
        <f t="shared" ca="1" si="328"/>
        <v>#VALUE!</v>
      </c>
      <c r="FU202" s="8" t="e" vm="3">
        <f t="shared" ca="1" si="329"/>
        <v>#VALUE!</v>
      </c>
      <c r="FV202" s="8" t="e" vm="3">
        <f t="shared" ca="1" si="330"/>
        <v>#VALUE!</v>
      </c>
      <c r="FW202" s="81" t="e" vm="3">
        <f t="shared" ca="1" si="331"/>
        <v>#VALUE!</v>
      </c>
      <c r="FX202" s="74" t="e">
        <f t="shared" si="335"/>
        <v>#N/A</v>
      </c>
      <c r="FY202" s="82" t="e">
        <f t="shared" si="340"/>
        <v>#N/A</v>
      </c>
      <c r="FZ202" s="7" t="e">
        <f t="shared" si="336"/>
        <v>#N/A</v>
      </c>
      <c r="GA202" t="e">
        <f t="shared" si="341"/>
        <v>#N/A</v>
      </c>
      <c r="GB202" s="8" t="e">
        <f t="shared" si="342"/>
        <v>#N/A</v>
      </c>
      <c r="GC202" s="8" t="e">
        <f t="shared" si="343"/>
        <v>#N/A</v>
      </c>
      <c r="GD202" s="81" t="e">
        <f t="shared" si="344"/>
        <v>#N/A</v>
      </c>
      <c r="GE202" s="74" t="e">
        <f t="shared" si="345"/>
        <v>#N/A</v>
      </c>
      <c r="GF202" s="82" t="e">
        <f t="shared" si="346"/>
        <v>#N/A</v>
      </c>
      <c r="GG202" s="7" t="e">
        <f t="shared" si="337"/>
        <v>#N/A</v>
      </c>
      <c r="GH202" t="e">
        <f t="shared" si="347"/>
        <v>#N/A</v>
      </c>
      <c r="GI202" s="8" t="e">
        <f t="shared" si="348"/>
        <v>#N/A</v>
      </c>
      <c r="GJ202" s="8" t="e">
        <f t="shared" si="349"/>
        <v>#N/A</v>
      </c>
      <c r="GK202" s="81" t="e">
        <f t="shared" si="350"/>
        <v>#N/A</v>
      </c>
      <c r="GL202" s="81"/>
      <c r="GM202" s="81"/>
      <c r="GP202" s="32">
        <f t="shared" ref="GP202:GP268" si="395">ROW(GP202)-ROW(GP$10)</f>
        <v>192</v>
      </c>
      <c r="GQ202" s="32">
        <f t="shared" ref="GQ202:GQ265" si="396">GP202+1</f>
        <v>193</v>
      </c>
      <c r="GR202" s="32">
        <f t="shared" ref="GR202:GR268" si="397">GR$5+(GR$7-GR$5)/GR$3*GP202</f>
        <v>1.5091832192912573</v>
      </c>
      <c r="GS202" s="32">
        <f t="shared" ref="GS202:GS265" si="398">IF(GS$3,_xlfn.NORM.DIST(GR202,GS$5,GS$7,FALSE),NA())</f>
        <v>0.12774035804918912</v>
      </c>
      <c r="GT202" s="32" t="e">
        <f t="shared" ref="GT202:GT268" si="399">IF(GT$3,_xlfn.T.DIST(GR202,GT$5,FALSE),NA())</f>
        <v>#N/A</v>
      </c>
      <c r="GU202" s="32" t="e">
        <f t="shared" ref="GU202:GU268" si="400">IF(GU$3,_xlfn.CHISQ.DIST(GR202,GU$5,FALSE),NA())</f>
        <v>#N/A</v>
      </c>
      <c r="GV202" s="32" t="e">
        <f t="shared" ref="GV202:GV268" si="401">IF(GV$3,_xlfn.F.DIST(GR202,GV$5,GV$7,FALSE),NA())</f>
        <v>#N/A</v>
      </c>
      <c r="GW202" s="32" t="b">
        <f t="shared" ref="GW202:GW268" si="402">GR202&lt;GW$3</f>
        <v>0</v>
      </c>
      <c r="GX202" s="32" t="b">
        <f t="shared" ref="GX202:GX265" si="403">GR202&gt;GW$3</f>
        <v>1</v>
      </c>
      <c r="GY202" s="32" t="b">
        <f t="shared" ref="GY202:GY268" si="404">OR(GR202&lt;GY$3,GR202&gt;GY$5)</f>
        <v>0</v>
      </c>
      <c r="GZ202" s="32" t="b">
        <f t="shared" ref="GZ202:GZ265" si="405">AND(GR202&gt;GY$3,GR202&lt;GY$5)</f>
        <v>1</v>
      </c>
      <c r="HA202" s="32">
        <f t="shared" ref="HA202:HA265" si="406">_xlfn.AGGREGATE(9,6,GS202:GV202)</f>
        <v>0.12774035804918912</v>
      </c>
      <c r="HB202" s="32" t="e">
        <f t="shared" ref="HB202:HB265" si="407">IF(INDEX(GW202:GZ202,HA$7),HA202,NA())</f>
        <v>#N/A</v>
      </c>
      <c r="HC202" s="32">
        <f t="shared" ref="HC202:HC265" si="408">IF(INDEX(GW202:GZ202,HB$7),HA202,NA())</f>
        <v>0.12774035804918912</v>
      </c>
      <c r="HD202" s="45" t="str">
        <f t="shared" ref="HD202:HD268" si="409">_xlfn.SWITCH(GP202,HD$2,HD$5,HD$3,HD$6,HD$4,HD$7,"")</f>
        <v/>
      </c>
      <c r="HJ202" s="32">
        <f t="shared" ref="HJ202:HJ268" si="410">ROW(HJ202)-ROW(HJ$10)</f>
        <v>192</v>
      </c>
      <c r="HK202" s="32">
        <f t="shared" ref="HK202:HK265" si="411">HJ202+1</f>
        <v>193</v>
      </c>
      <c r="HL202" s="32">
        <f t="shared" ref="HL202:HL268" si="412">HL$5+(HL$7-HL$5)/HL$3*HJ202</f>
        <v>2.3370019116605816</v>
      </c>
      <c r="HM202" s="32" t="e">
        <f t="shared" ref="HM202:HM265" si="413">IF(HM$3,_xlfn.NORM.DIST(HL202,HM$5,HM$7,FALSE),NA())</f>
        <v>#N/A</v>
      </c>
      <c r="HN202" s="32">
        <f t="shared" ref="HN202:HN268" si="414">IF(HN$3,_xlfn.T.DIST(HL202,HN$5,FALSE),NA())</f>
        <v>3.8331083360961776E-2</v>
      </c>
      <c r="HO202" s="32" t="e">
        <f t="shared" ref="HO202:HO268" si="415">IF(HO$3,_xlfn.CHISQ.DIST(HL202,HO$5,FALSE),NA())</f>
        <v>#N/A</v>
      </c>
      <c r="HP202" s="32" t="e">
        <f t="shared" ref="HP202:HP268" si="416">IF(HP$3,_xlfn.F.DIST(HL202,HP$5,HP$7,FALSE),NA())</f>
        <v>#N/A</v>
      </c>
      <c r="HQ202" s="32" t="b">
        <f t="shared" ref="HQ202:HQ268" si="417">HL202&lt;HQ$3</f>
        <v>0</v>
      </c>
      <c r="HR202" s="32" t="b">
        <f t="shared" ref="HR202:HR265" si="418">HL202&gt;HQ$3</f>
        <v>1</v>
      </c>
      <c r="HS202" s="32" t="b">
        <f t="shared" ref="HS202:HS268" si="419">OR(HL202&lt;HS$3,HL202&gt;HS$5)</f>
        <v>1</v>
      </c>
      <c r="HT202" s="32" t="b">
        <f t="shared" ref="HT202:HT265" si="420">AND(HL202&gt;HS$3,HL202&lt;HS$5)</f>
        <v>0</v>
      </c>
      <c r="HU202" s="32">
        <f t="shared" ref="HU202:HU265" si="421">_xlfn.AGGREGATE(9,6,HM202:HP202)</f>
        <v>3.8331083360961776E-2</v>
      </c>
      <c r="HV202" s="32" t="e">
        <f t="shared" ref="HV202:HV265" si="422">IF(INDEX(HQ202:HT202,HU$7),HU202,NA())</f>
        <v>#N/A</v>
      </c>
      <c r="HW202" s="32">
        <f t="shared" ref="HW202:HW265" si="423">IF(INDEX(HQ202:HT202,HV$7),HU202,NA())</f>
        <v>3.8331083360961776E-2</v>
      </c>
      <c r="HX202" s="45" t="str">
        <f t="shared" ref="HX202:HX268" si="424">_xlfn.SWITCH(HJ202,HX$2,HX$5,HX$3,HX$6,HX$4,HX$7,"")</f>
        <v/>
      </c>
    </row>
    <row r="203" spans="78:232" x14ac:dyDescent="0.2">
      <c r="BZ203" s="32">
        <f t="shared" si="351"/>
        <v>193</v>
      </c>
      <c r="CA203" s="32">
        <f>Eu_tabel_g[[#This Row],[Indeks]]+1</f>
        <v>194</v>
      </c>
      <c r="CB203" s="32">
        <f t="shared" si="352"/>
        <v>1.5331385084863571</v>
      </c>
      <c r="CC203" s="32">
        <f t="shared" si="353"/>
        <v>0.12316930873768138</v>
      </c>
      <c r="CD203" s="32" t="e">
        <f t="shared" si="354"/>
        <v>#N/A</v>
      </c>
      <c r="CE203" s="32" t="e">
        <f t="shared" si="355"/>
        <v>#N/A</v>
      </c>
      <c r="CF203" s="32" t="e">
        <f t="shared" si="356"/>
        <v>#N/A</v>
      </c>
      <c r="CG203" s="32" t="b">
        <f t="shared" si="357"/>
        <v>0</v>
      </c>
      <c r="CH203" s="32" t="b">
        <f t="shared" si="358"/>
        <v>1</v>
      </c>
      <c r="CI203" s="32" t="b">
        <f t="shared" si="359"/>
        <v>0</v>
      </c>
      <c r="CJ203" s="32" t="b">
        <f t="shared" si="360"/>
        <v>1</v>
      </c>
      <c r="CK203" s="32">
        <f t="shared" si="327"/>
        <v>0.12316930873768138</v>
      </c>
      <c r="CL203" s="32" t="e">
        <f t="shared" si="361"/>
        <v>#N/A</v>
      </c>
      <c r="CM203" s="32">
        <f t="shared" si="362"/>
        <v>0.12316930873768138</v>
      </c>
      <c r="CN203" s="45" t="str">
        <f t="shared" si="363"/>
        <v/>
      </c>
      <c r="CO203" s="32">
        <f>_xlfn.NORM.DIST(_xlfn.NORM.INV(1-Eu_g_konfidensniveau,0,1)-Eu_tabel_g[[#This Row],[x base]],0,1,TRUE)</f>
        <v>7.4149386699190977E-4</v>
      </c>
      <c r="CP203" s="32">
        <f>1-_xlfn.NORM.DIST(_xlfn.NORM.INV(Eu_g_konfidensniveau,0,1)-Eu_tabel_g[[#This Row],[x base]],0,1,TRUE)</f>
        <v>0.45552464578503604</v>
      </c>
      <c r="CQ203" s="32">
        <f>_xlfn.NORM.DIST(_xlfn.NORM.INV((1-Eu_g_konfidensniveau)/2,0,1)-Eu_tabel_g[[#This Row],[x base]],0,1,TRUE)+1-_xlfn.NORM.DIST(_xlfn.NORM.INV(1-(1-Eu_g_konfidensniveau)/2,0,1)-Eu_tabel_g[[#This Row],[x base]],0,1,TRUE)</f>
        <v>0.33499194621031891</v>
      </c>
      <c r="CR203" s="32" t="e" cm="1">
        <f t="array" ref="CR203">IF($CR$3,INDEX(Eu_tabel_g[[#This Row],[Styrke venstre]:[Styrke tosidet]],CR$7),NA())</f>
        <v>#N/A</v>
      </c>
      <c r="CS203" s="52" t="e">
        <f>Eu_tabel_g[[#This Row],[Falsk positiv
Nulhypotese accepteres
Fejltype 1]]</f>
        <v>#N/A</v>
      </c>
      <c r="CT203" s="52" t="e">
        <f>IF(CHOOSE(CR$7,Eu_tabel_g[[#This Row],[x base]]&gt;0,Eu_tabel_g[[#This Row],[x base]]&lt;0,Eu_tabel_g[[#This Row],[x base]]=0),Eu_tabel_g[[#This Row],[Styrke, aktiv]],NA())</f>
        <v>#N/A</v>
      </c>
      <c r="CU203" s="52" t="e">
        <f>IFERROR(IF($CR$3,Eu_tabel_g[[#This Row],[Styrke, aktiv]],NA()),NA())</f>
        <v>#N/A</v>
      </c>
      <c r="CV203" s="52" t="e">
        <f>IF(ISNA(Eu_tabel_g[[#This Row],[Sand negativ
Nulhypotese afvises
Korrekt]]),NA(),IF($CR$3,1,NA()))</f>
        <v>#N/A</v>
      </c>
      <c r="CW203" s="34" t="str" cm="1">
        <f t="array" ref="CW203">_xlfn.SWITCH(BZ203,_xlfn.IFNA(CU$2,-99),CU$5,_xlfn.IFNA(CU$3,-99),CU$6,_xlfn.IFNA(CU$4,-99),CU$7,"")</f>
        <v/>
      </c>
      <c r="DA203" s="7">
        <f t="shared" si="364"/>
        <v>0.8</v>
      </c>
      <c r="DB203">
        <f>IF(ROW(Styrkeberegning_G[[#This Row],[X base venstre]])=ROW(Styrkeberegning_G[[#Headers],[X base venstre]])+1,DB$7/(DA$7/$B$67),DB202/(DA202/$B$67))</f>
        <v>-2.8015817870135784</v>
      </c>
      <c r="DC203">
        <f>Styrkeberegning_G[[#This Row],[X base venstre]]*-1</f>
        <v>2.8015817870135784</v>
      </c>
      <c r="DN203" s="32">
        <f t="shared" si="365"/>
        <v>193</v>
      </c>
      <c r="DO203" s="32">
        <f t="shared" si="366"/>
        <v>194</v>
      </c>
      <c r="DP203" s="32">
        <f t="shared" si="367"/>
        <v>23.849527953134885</v>
      </c>
      <c r="DQ203" s="32" t="e">
        <f t="shared" si="368"/>
        <v>#N/A</v>
      </c>
      <c r="DR203" s="32" t="e">
        <f t="shared" si="369"/>
        <v>#N/A</v>
      </c>
      <c r="DS203" s="32">
        <f t="shared" si="370"/>
        <v>4.4185330567658521E-3</v>
      </c>
      <c r="DT203" s="32" t="e">
        <f t="shared" si="371"/>
        <v>#N/A</v>
      </c>
      <c r="DU203" s="32" t="b">
        <f t="shared" si="372"/>
        <v>0</v>
      </c>
      <c r="DV203" s="32" t="b">
        <f t="shared" si="373"/>
        <v>1</v>
      </c>
      <c r="DW203" s="32" t="b">
        <f t="shared" si="374"/>
        <v>1</v>
      </c>
      <c r="DX203" s="32" t="b">
        <f t="shared" si="375"/>
        <v>0</v>
      </c>
      <c r="DY203" s="32">
        <f t="shared" si="376"/>
        <v>4.4185330567658521E-3</v>
      </c>
      <c r="DZ203" s="32">
        <f t="shared" si="377"/>
        <v>4.4185330567658521E-3</v>
      </c>
      <c r="EA203" s="32" t="e">
        <f t="shared" si="378"/>
        <v>#N/A</v>
      </c>
      <c r="EB203" s="45" t="str">
        <f t="shared" si="379"/>
        <v/>
      </c>
      <c r="EG203" s="32">
        <f t="shared" si="380"/>
        <v>193</v>
      </c>
      <c r="EH203" s="32">
        <f t="shared" si="381"/>
        <v>194</v>
      </c>
      <c r="EI203" s="32">
        <f t="shared" si="382"/>
        <v>1.5331385084863571</v>
      </c>
      <c r="EJ203" s="32">
        <f t="shared" si="383"/>
        <v>0.12316930873768138</v>
      </c>
      <c r="EK203" s="32" t="e">
        <f t="shared" si="384"/>
        <v>#N/A</v>
      </c>
      <c r="EL203" s="32" t="e">
        <f t="shared" si="385"/>
        <v>#N/A</v>
      </c>
      <c r="EM203" s="32" t="e">
        <f t="shared" si="386"/>
        <v>#N/A</v>
      </c>
      <c r="EN203" s="32" t="b">
        <f t="shared" si="387"/>
        <v>0</v>
      </c>
      <c r="EO203" s="32" t="b">
        <f t="shared" si="388"/>
        <v>1</v>
      </c>
      <c r="EP203" s="32" t="b">
        <f t="shared" si="389"/>
        <v>0</v>
      </c>
      <c r="EQ203" s="32" t="b">
        <f t="shared" si="390"/>
        <v>1</v>
      </c>
      <c r="ER203" s="32">
        <f t="shared" si="391"/>
        <v>0.12316930873768138</v>
      </c>
      <c r="ES203" s="32" t="e">
        <f t="shared" si="392"/>
        <v>#N/A</v>
      </c>
      <c r="ET203" s="32">
        <f t="shared" si="393"/>
        <v>0.12316930873768138</v>
      </c>
      <c r="EU203" s="45" t="str">
        <f t="shared" si="394"/>
        <v/>
      </c>
      <c r="EV20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3" s="32" t="e" cm="1">
        <f t="array" ref="EY203">IF($CR$3,INDEX(Eu_tabel_a[[#This Row],[Styrke venstre]:[Styrke tosidet]],EY$7),NA())</f>
        <v>#N/A</v>
      </c>
      <c r="EZ203" s="32" t="e">
        <f>IF(EY$3,IF(CHOOSE(EY$7,Eu_tabel_a[[#This Row],[x base]]&gt;0,Eu_tabel_a[[#This Row],[x base]]&lt;0,Eu_tabel_a[[#This Row],[x base]]=0),1,NA()),NA())</f>
        <v>#N/A</v>
      </c>
      <c r="FA203" s="32" t="e">
        <f>IF(CHOOSE(EY$7,Eu_tabel_a[[#This Row],[x base]]&gt;0,Eu_tabel_a[[#This Row],[x base]]&lt;0,Eu_tabel_a[[#This Row],[x base]]=0),Eu_tabel_a[[#This Row],[Styrke, aktiv]],NA())</f>
        <v>#N/A</v>
      </c>
      <c r="FB203" s="32" t="e">
        <f>IFERROR(IF($EY$3,Eu_tabel_a[[#This Row],[Styrke, aktiv]],NA()),NA())</f>
        <v>#N/A</v>
      </c>
      <c r="FC203" s="32" t="e">
        <f>IF(ISNA(Eu_tabel_a[[#This Row],[Sand negativ
Nulhypotese afvises
Korrekt]]),NA(),IF(EY$3,1,NA()))</f>
        <v>#N/A</v>
      </c>
      <c r="FD203" s="33" t="str" cm="1">
        <f t="array" ref="FD203">IFERROR(_xlfn.SWITCH(Eu_tabel_a[[#This Row],[Indeks]],_xlfn.IFNA(FB$2,-99),FB$5,_xlfn.IFNA(FB$3,-99),FB$6,_xlfn.IFNA(FB$4,-99),FB$7,""),"")</f>
        <v/>
      </c>
      <c r="FE203" s="32">
        <f>Eu_tabel_a[[#This Row],[x base]]*SQRT(Eu_a_h0_x*(1-Eu_a_h0_x)/Eu_a_n_x)+Eu_a_h0_x</f>
        <v>0</v>
      </c>
      <c r="FJ203" s="74" t="e">
        <f t="shared" si="338"/>
        <v>#N/A</v>
      </c>
      <c r="FK203" s="82" t="e">
        <f t="shared" si="322"/>
        <v>#DIV/0!</v>
      </c>
      <c r="FL203" s="7" t="e">
        <f t="shared" si="332"/>
        <v>#DIV/0!</v>
      </c>
      <c r="FM203" t="e">
        <f t="shared" si="323"/>
        <v>#DIV/0!</v>
      </c>
      <c r="FN203" s="8" t="e">
        <f t="shared" si="324"/>
        <v>#DIV/0!</v>
      </c>
      <c r="FO203" s="8" t="e">
        <f t="shared" si="325"/>
        <v>#DIV/0!</v>
      </c>
      <c r="FP203" s="81" t="e">
        <f t="shared" si="326"/>
        <v>#DIV/0!</v>
      </c>
      <c r="FQ203" s="74" t="e">
        <f t="shared" ca="1" si="333"/>
        <v>#N/A</v>
      </c>
      <c r="FR203" s="82" t="e" vm="3">
        <f t="shared" ca="1" si="339"/>
        <v>#VALUE!</v>
      </c>
      <c r="FS203" s="7" t="e" vm="3">
        <f t="shared" ca="1" si="334"/>
        <v>#VALUE!</v>
      </c>
      <c r="FT203" t="e" vm="3">
        <f t="shared" ca="1" si="328"/>
        <v>#VALUE!</v>
      </c>
      <c r="FU203" s="8" t="e" vm="3">
        <f t="shared" ca="1" si="329"/>
        <v>#VALUE!</v>
      </c>
      <c r="FV203" s="8" t="e" vm="3">
        <f t="shared" ca="1" si="330"/>
        <v>#VALUE!</v>
      </c>
      <c r="FW203" s="81" t="e" vm="3">
        <f t="shared" ca="1" si="331"/>
        <v>#VALUE!</v>
      </c>
      <c r="FX203" s="74" t="e">
        <f t="shared" si="335"/>
        <v>#N/A</v>
      </c>
      <c r="FY203" s="82" t="e">
        <f t="shared" si="340"/>
        <v>#N/A</v>
      </c>
      <c r="FZ203" s="7" t="e">
        <f t="shared" si="336"/>
        <v>#N/A</v>
      </c>
      <c r="GA203" t="e">
        <f t="shared" si="341"/>
        <v>#N/A</v>
      </c>
      <c r="GB203" s="8" t="e">
        <f t="shared" si="342"/>
        <v>#N/A</v>
      </c>
      <c r="GC203" s="8" t="e">
        <f t="shared" si="343"/>
        <v>#N/A</v>
      </c>
      <c r="GD203" s="81" t="e">
        <f t="shared" si="344"/>
        <v>#N/A</v>
      </c>
      <c r="GE203" s="74" t="e">
        <f t="shared" si="345"/>
        <v>#N/A</v>
      </c>
      <c r="GF203" s="82" t="e">
        <f t="shared" si="346"/>
        <v>#N/A</v>
      </c>
      <c r="GG203" s="7" t="e">
        <f t="shared" si="337"/>
        <v>#N/A</v>
      </c>
      <c r="GH203" t="e">
        <f t="shared" si="347"/>
        <v>#N/A</v>
      </c>
      <c r="GI203" s="8" t="e">
        <f t="shared" si="348"/>
        <v>#N/A</v>
      </c>
      <c r="GJ203" s="8" t="e">
        <f t="shared" si="349"/>
        <v>#N/A</v>
      </c>
      <c r="GK203" s="81" t="e">
        <f t="shared" si="350"/>
        <v>#N/A</v>
      </c>
      <c r="GL203" s="81"/>
      <c r="GM203" s="81"/>
      <c r="GP203" s="32">
        <f t="shared" si="395"/>
        <v>193</v>
      </c>
      <c r="GQ203" s="32">
        <f t="shared" si="396"/>
        <v>194</v>
      </c>
      <c r="GR203" s="32">
        <f t="shared" si="397"/>
        <v>1.5331385084863571</v>
      </c>
      <c r="GS203" s="32">
        <f t="shared" si="398"/>
        <v>0.12316930873768138</v>
      </c>
      <c r="GT203" s="32" t="e">
        <f t="shared" si="399"/>
        <v>#N/A</v>
      </c>
      <c r="GU203" s="32" t="e">
        <f t="shared" si="400"/>
        <v>#N/A</v>
      </c>
      <c r="GV203" s="32" t="e">
        <f t="shared" si="401"/>
        <v>#N/A</v>
      </c>
      <c r="GW203" s="32" t="b">
        <f t="shared" si="402"/>
        <v>0</v>
      </c>
      <c r="GX203" s="32" t="b">
        <f t="shared" si="403"/>
        <v>1</v>
      </c>
      <c r="GY203" s="32" t="b">
        <f t="shared" si="404"/>
        <v>0</v>
      </c>
      <c r="GZ203" s="32" t="b">
        <f t="shared" si="405"/>
        <v>1</v>
      </c>
      <c r="HA203" s="32">
        <f t="shared" si="406"/>
        <v>0.12316930873768138</v>
      </c>
      <c r="HB203" s="32" t="e">
        <f t="shared" si="407"/>
        <v>#N/A</v>
      </c>
      <c r="HC203" s="32">
        <f t="shared" si="408"/>
        <v>0.12316930873768138</v>
      </c>
      <c r="HD203" s="45" t="str">
        <f t="shared" si="409"/>
        <v/>
      </c>
      <c r="HJ203" s="32">
        <f t="shared" si="410"/>
        <v>193</v>
      </c>
      <c r="HK203" s="32">
        <f t="shared" si="411"/>
        <v>194</v>
      </c>
      <c r="HL203" s="32">
        <f t="shared" si="412"/>
        <v>2.3740971800996382</v>
      </c>
      <c r="HM203" s="32" t="e">
        <f t="shared" si="413"/>
        <v>#N/A</v>
      </c>
      <c r="HN203" s="32">
        <f t="shared" si="414"/>
        <v>3.6254205263453354E-2</v>
      </c>
      <c r="HO203" s="32" t="e">
        <f t="shared" si="415"/>
        <v>#N/A</v>
      </c>
      <c r="HP203" s="32" t="e">
        <f t="shared" si="416"/>
        <v>#N/A</v>
      </c>
      <c r="HQ203" s="32" t="b">
        <f t="shared" si="417"/>
        <v>0</v>
      </c>
      <c r="HR203" s="32" t="b">
        <f t="shared" si="418"/>
        <v>1</v>
      </c>
      <c r="HS203" s="32" t="b">
        <f t="shared" si="419"/>
        <v>1</v>
      </c>
      <c r="HT203" s="32" t="b">
        <f t="shared" si="420"/>
        <v>0</v>
      </c>
      <c r="HU203" s="32">
        <f t="shared" si="421"/>
        <v>3.6254205263453354E-2</v>
      </c>
      <c r="HV203" s="32" t="e">
        <f t="shared" si="422"/>
        <v>#N/A</v>
      </c>
      <c r="HW203" s="32">
        <f t="shared" si="423"/>
        <v>3.6254205263453354E-2</v>
      </c>
      <c r="HX203" s="45" t="str">
        <f t="shared" si="424"/>
        <v/>
      </c>
    </row>
    <row r="204" spans="78:232" x14ac:dyDescent="0.2">
      <c r="BZ204" s="32">
        <f t="shared" si="351"/>
        <v>194</v>
      </c>
      <c r="CA204" s="32">
        <f>Eu_tabel_g[[#This Row],[Indeks]]+1</f>
        <v>195</v>
      </c>
      <c r="CB204" s="32">
        <f t="shared" si="352"/>
        <v>1.5570937976814561</v>
      </c>
      <c r="CC204" s="32">
        <f t="shared" si="353"/>
        <v>0.11869369681429406</v>
      </c>
      <c r="CD204" s="32" t="e">
        <f t="shared" si="354"/>
        <v>#N/A</v>
      </c>
      <c r="CE204" s="32" t="e">
        <f t="shared" si="355"/>
        <v>#N/A</v>
      </c>
      <c r="CF204" s="32" t="e">
        <f t="shared" si="356"/>
        <v>#N/A</v>
      </c>
      <c r="CG204" s="32" t="b">
        <f t="shared" si="357"/>
        <v>0</v>
      </c>
      <c r="CH204" s="32" t="b">
        <f t="shared" si="358"/>
        <v>1</v>
      </c>
      <c r="CI204" s="32" t="b">
        <f t="shared" si="359"/>
        <v>0</v>
      </c>
      <c r="CJ204" s="32" t="b">
        <f t="shared" si="360"/>
        <v>1</v>
      </c>
      <c r="CK204" s="32">
        <f t="shared" si="327"/>
        <v>0.11869369681429406</v>
      </c>
      <c r="CL204" s="32" t="e">
        <f t="shared" si="361"/>
        <v>#N/A</v>
      </c>
      <c r="CM204" s="32">
        <f t="shared" si="362"/>
        <v>0.11869369681429406</v>
      </c>
      <c r="CN204" s="45" t="str">
        <f t="shared" si="363"/>
        <v/>
      </c>
      <c r="CO204" s="32">
        <f>_xlfn.NORM.DIST(_xlfn.NORM.INV(1-Eu_g_konfidensniveau,0,1)-Eu_tabel_g[[#This Row],[x base]],0,1,TRUE)</f>
        <v>6.8250954524728383E-4</v>
      </c>
      <c r="CP204" s="32">
        <f>1-_xlfn.NORM.DIST(_xlfn.NORM.INV(Eu_g_konfidensniveau,0,1)-Eu_tabel_g[[#This Row],[x base]],0,1,TRUE)</f>
        <v>0.46503378306270893</v>
      </c>
      <c r="CQ204" s="32">
        <f>_xlfn.NORM.DIST(_xlfn.NORM.INV((1-Eu_g_konfidensniveau)/2,0,1)-Eu_tabel_g[[#This Row],[x base]],0,1,TRUE)+1-_xlfn.NORM.DIST(_xlfn.NORM.INV(1-(1-Eu_g_konfidensniveau)/2,0,1)-Eu_tabel_g[[#This Row],[x base]],0,1,TRUE)</f>
        <v>0.34374004164020977</v>
      </c>
      <c r="CR204" s="32" t="e" cm="1">
        <f t="array" ref="CR204">IF($CR$3,INDEX(Eu_tabel_g[[#This Row],[Styrke venstre]:[Styrke tosidet]],CR$7),NA())</f>
        <v>#N/A</v>
      </c>
      <c r="CS204" s="52" t="e">
        <f>Eu_tabel_g[[#This Row],[Falsk positiv
Nulhypotese accepteres
Fejltype 1]]</f>
        <v>#N/A</v>
      </c>
      <c r="CT204" s="52" t="e">
        <f>IF(CHOOSE(CR$7,Eu_tabel_g[[#This Row],[x base]]&gt;0,Eu_tabel_g[[#This Row],[x base]]&lt;0,Eu_tabel_g[[#This Row],[x base]]=0),Eu_tabel_g[[#This Row],[Styrke, aktiv]],NA())</f>
        <v>#N/A</v>
      </c>
      <c r="CU204" s="52" t="e">
        <f>IFERROR(IF($CR$3,Eu_tabel_g[[#This Row],[Styrke, aktiv]],NA()),NA())</f>
        <v>#N/A</v>
      </c>
      <c r="CV204" s="52" t="e">
        <f>IF(ISNA(Eu_tabel_g[[#This Row],[Sand negativ
Nulhypotese afvises
Korrekt]]),NA(),IF($CR$3,1,NA()))</f>
        <v>#N/A</v>
      </c>
      <c r="CW204" s="34" t="str" cm="1">
        <f t="array" ref="CW204">_xlfn.SWITCH(BZ204,_xlfn.IFNA(CU$2,-99),CU$5,_xlfn.IFNA(CU$3,-99),CU$6,_xlfn.IFNA(CU$4,-99),CU$7,"")</f>
        <v/>
      </c>
      <c r="DA204" s="7">
        <f t="shared" si="364"/>
        <v>0.8</v>
      </c>
      <c r="DB204">
        <f>IF(ROW(Styrkeberegning_G[[#This Row],[X base venstre]])=ROW(Styrkeberegning_G[[#Headers],[X base venstre]])+1,DB$7/(DA$7/$B$67),DB203/(DA203/$B$67))</f>
        <v>-2.8015817870135784</v>
      </c>
      <c r="DC204">
        <f>Styrkeberegning_G[[#This Row],[X base venstre]]*-1</f>
        <v>2.8015817870135784</v>
      </c>
      <c r="DN204" s="32">
        <f t="shared" si="365"/>
        <v>194</v>
      </c>
      <c r="DO204" s="32">
        <f t="shared" si="366"/>
        <v>195</v>
      </c>
      <c r="DP204" s="32">
        <f t="shared" si="367"/>
        <v>23.963598809551886</v>
      </c>
      <c r="DQ204" s="32" t="e">
        <f t="shared" si="368"/>
        <v>#N/A</v>
      </c>
      <c r="DR204" s="32" t="e">
        <f t="shared" si="369"/>
        <v>#N/A</v>
      </c>
      <c r="DS204" s="32">
        <f t="shared" si="370"/>
        <v>4.2641558895634693E-3</v>
      </c>
      <c r="DT204" s="32" t="e">
        <f t="shared" si="371"/>
        <v>#N/A</v>
      </c>
      <c r="DU204" s="32" t="b">
        <f t="shared" si="372"/>
        <v>0</v>
      </c>
      <c r="DV204" s="32" t="b">
        <f t="shared" si="373"/>
        <v>1</v>
      </c>
      <c r="DW204" s="32" t="b">
        <f t="shared" si="374"/>
        <v>1</v>
      </c>
      <c r="DX204" s="32" t="b">
        <f t="shared" si="375"/>
        <v>0</v>
      </c>
      <c r="DY204" s="32">
        <f t="shared" si="376"/>
        <v>4.2641558895634693E-3</v>
      </c>
      <c r="DZ204" s="32">
        <f t="shared" si="377"/>
        <v>4.2641558895634693E-3</v>
      </c>
      <c r="EA204" s="32" t="e">
        <f t="shared" si="378"/>
        <v>#N/A</v>
      </c>
      <c r="EB204" s="45" t="str">
        <f t="shared" si="379"/>
        <v/>
      </c>
      <c r="EG204" s="32">
        <f t="shared" si="380"/>
        <v>194</v>
      </c>
      <c r="EH204" s="32">
        <f t="shared" si="381"/>
        <v>195</v>
      </c>
      <c r="EI204" s="32">
        <f t="shared" si="382"/>
        <v>1.5570937976814561</v>
      </c>
      <c r="EJ204" s="32">
        <f t="shared" si="383"/>
        <v>0.11869369681429406</v>
      </c>
      <c r="EK204" s="32" t="e">
        <f t="shared" si="384"/>
        <v>#N/A</v>
      </c>
      <c r="EL204" s="32" t="e">
        <f t="shared" si="385"/>
        <v>#N/A</v>
      </c>
      <c r="EM204" s="32" t="e">
        <f t="shared" si="386"/>
        <v>#N/A</v>
      </c>
      <c r="EN204" s="32" t="b">
        <f t="shared" si="387"/>
        <v>0</v>
      </c>
      <c r="EO204" s="32" t="b">
        <f t="shared" si="388"/>
        <v>1</v>
      </c>
      <c r="EP204" s="32" t="b">
        <f t="shared" si="389"/>
        <v>0</v>
      </c>
      <c r="EQ204" s="32" t="b">
        <f t="shared" si="390"/>
        <v>1</v>
      </c>
      <c r="ER204" s="32">
        <f t="shared" si="391"/>
        <v>0.11869369681429406</v>
      </c>
      <c r="ES204" s="32" t="e">
        <f t="shared" si="392"/>
        <v>#N/A</v>
      </c>
      <c r="ET204" s="32">
        <f t="shared" si="393"/>
        <v>0.11869369681429406</v>
      </c>
      <c r="EU204" s="45" t="str">
        <f t="shared" si="394"/>
        <v/>
      </c>
      <c r="EV20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4" s="32" t="e" cm="1">
        <f t="array" ref="EY204">IF($CR$3,INDEX(Eu_tabel_a[[#This Row],[Styrke venstre]:[Styrke tosidet]],EY$7),NA())</f>
        <v>#N/A</v>
      </c>
      <c r="EZ204" s="32" t="e">
        <f>IF(EY$3,IF(CHOOSE(EY$7,Eu_tabel_a[[#This Row],[x base]]&gt;0,Eu_tabel_a[[#This Row],[x base]]&lt;0,Eu_tabel_a[[#This Row],[x base]]=0),1,NA()),NA())</f>
        <v>#N/A</v>
      </c>
      <c r="FA204" s="32" t="e">
        <f>IF(CHOOSE(EY$7,Eu_tabel_a[[#This Row],[x base]]&gt;0,Eu_tabel_a[[#This Row],[x base]]&lt;0,Eu_tabel_a[[#This Row],[x base]]=0),Eu_tabel_a[[#This Row],[Styrke, aktiv]],NA())</f>
        <v>#N/A</v>
      </c>
      <c r="FB204" s="32" t="e">
        <f>IFERROR(IF($EY$3,Eu_tabel_a[[#This Row],[Styrke, aktiv]],NA()),NA())</f>
        <v>#N/A</v>
      </c>
      <c r="FC204" s="32" t="e">
        <f>IF(ISNA(Eu_tabel_a[[#This Row],[Sand negativ
Nulhypotese afvises
Korrekt]]),NA(),IF(EY$3,1,NA()))</f>
        <v>#N/A</v>
      </c>
      <c r="FD204" s="33" t="str" cm="1">
        <f t="array" ref="FD204">IFERROR(_xlfn.SWITCH(Eu_tabel_a[[#This Row],[Indeks]],_xlfn.IFNA(FB$2,-99),FB$5,_xlfn.IFNA(FB$3,-99),FB$6,_xlfn.IFNA(FB$4,-99),FB$7,""),"")</f>
        <v/>
      </c>
      <c r="FE204" s="32">
        <f>Eu_tabel_a[[#This Row],[x base]]*SQRT(Eu_a_h0_x*(1-Eu_a_h0_x)/Eu_a_n_x)+Eu_a_h0_x</f>
        <v>0</v>
      </c>
      <c r="FJ204" s="74" t="e">
        <f t="shared" si="338"/>
        <v>#N/A</v>
      </c>
      <c r="FK204" s="82" t="e">
        <f t="shared" si="322"/>
        <v>#DIV/0!</v>
      </c>
      <c r="FL204" s="7" t="e">
        <f t="shared" si="332"/>
        <v>#DIV/0!</v>
      </c>
      <c r="FM204" t="e">
        <f t="shared" si="323"/>
        <v>#DIV/0!</v>
      </c>
      <c r="FN204" s="8" t="e">
        <f t="shared" si="324"/>
        <v>#DIV/0!</v>
      </c>
      <c r="FO204" s="8" t="e">
        <f t="shared" si="325"/>
        <v>#DIV/0!</v>
      </c>
      <c r="FP204" s="81" t="e">
        <f t="shared" si="326"/>
        <v>#DIV/0!</v>
      </c>
      <c r="FQ204" s="74" t="e">
        <f t="shared" ca="1" si="333"/>
        <v>#N/A</v>
      </c>
      <c r="FR204" s="82" t="e" vm="3">
        <f t="shared" ca="1" si="339"/>
        <v>#VALUE!</v>
      </c>
      <c r="FS204" s="7" t="e" vm="3">
        <f t="shared" ca="1" si="334"/>
        <v>#VALUE!</v>
      </c>
      <c r="FT204" t="e" vm="3">
        <f t="shared" ca="1" si="328"/>
        <v>#VALUE!</v>
      </c>
      <c r="FU204" s="8" t="e" vm="3">
        <f t="shared" ca="1" si="329"/>
        <v>#VALUE!</v>
      </c>
      <c r="FV204" s="8" t="e" vm="3">
        <f t="shared" ca="1" si="330"/>
        <v>#VALUE!</v>
      </c>
      <c r="FW204" s="81" t="e" vm="3">
        <f t="shared" ca="1" si="331"/>
        <v>#VALUE!</v>
      </c>
      <c r="FX204" s="74" t="e">
        <f t="shared" si="335"/>
        <v>#N/A</v>
      </c>
      <c r="FY204" s="82" t="e">
        <f t="shared" si="340"/>
        <v>#N/A</v>
      </c>
      <c r="FZ204" s="7" t="e">
        <f t="shared" si="336"/>
        <v>#N/A</v>
      </c>
      <c r="GA204" t="e">
        <f t="shared" si="341"/>
        <v>#N/A</v>
      </c>
      <c r="GB204" s="8" t="e">
        <f t="shared" si="342"/>
        <v>#N/A</v>
      </c>
      <c r="GC204" s="8" t="e">
        <f t="shared" si="343"/>
        <v>#N/A</v>
      </c>
      <c r="GD204" s="81" t="e">
        <f t="shared" si="344"/>
        <v>#N/A</v>
      </c>
      <c r="GE204" s="74" t="e">
        <f t="shared" si="345"/>
        <v>#N/A</v>
      </c>
      <c r="GF204" s="82" t="e">
        <f t="shared" si="346"/>
        <v>#N/A</v>
      </c>
      <c r="GG204" s="7" t="e">
        <f t="shared" si="337"/>
        <v>#N/A</v>
      </c>
      <c r="GH204" t="e">
        <f t="shared" si="347"/>
        <v>#N/A</v>
      </c>
      <c r="GI204" s="8" t="e">
        <f t="shared" si="348"/>
        <v>#N/A</v>
      </c>
      <c r="GJ204" s="8" t="e">
        <f t="shared" si="349"/>
        <v>#N/A</v>
      </c>
      <c r="GK204" s="81" t="e">
        <f t="shared" si="350"/>
        <v>#N/A</v>
      </c>
      <c r="GL204" s="81"/>
      <c r="GM204" s="81"/>
      <c r="GP204" s="32">
        <f t="shared" si="395"/>
        <v>194</v>
      </c>
      <c r="GQ204" s="32">
        <f t="shared" si="396"/>
        <v>195</v>
      </c>
      <c r="GR204" s="32">
        <f t="shared" si="397"/>
        <v>1.5570937976814561</v>
      </c>
      <c r="GS204" s="32">
        <f t="shared" si="398"/>
        <v>0.11869369681429406</v>
      </c>
      <c r="GT204" s="32" t="e">
        <f t="shared" si="399"/>
        <v>#N/A</v>
      </c>
      <c r="GU204" s="32" t="e">
        <f t="shared" si="400"/>
        <v>#N/A</v>
      </c>
      <c r="GV204" s="32" t="e">
        <f t="shared" si="401"/>
        <v>#N/A</v>
      </c>
      <c r="GW204" s="32" t="b">
        <f t="shared" si="402"/>
        <v>0</v>
      </c>
      <c r="GX204" s="32" t="b">
        <f t="shared" si="403"/>
        <v>1</v>
      </c>
      <c r="GY204" s="32" t="b">
        <f t="shared" si="404"/>
        <v>0</v>
      </c>
      <c r="GZ204" s="32" t="b">
        <f t="shared" si="405"/>
        <v>1</v>
      </c>
      <c r="HA204" s="32">
        <f t="shared" si="406"/>
        <v>0.11869369681429406</v>
      </c>
      <c r="HB204" s="32" t="e">
        <f t="shared" si="407"/>
        <v>#N/A</v>
      </c>
      <c r="HC204" s="32">
        <f t="shared" si="408"/>
        <v>0.11869369681429406</v>
      </c>
      <c r="HD204" s="45" t="str">
        <f t="shared" si="409"/>
        <v/>
      </c>
      <c r="HJ204" s="32">
        <f t="shared" si="410"/>
        <v>194</v>
      </c>
      <c r="HK204" s="32">
        <f t="shared" si="411"/>
        <v>195</v>
      </c>
      <c r="HL204" s="32">
        <f t="shared" si="412"/>
        <v>2.4111924485386949</v>
      </c>
      <c r="HM204" s="32" t="e">
        <f t="shared" si="413"/>
        <v>#N/A</v>
      </c>
      <c r="HN204" s="32">
        <f t="shared" si="414"/>
        <v>3.428663268349693E-2</v>
      </c>
      <c r="HO204" s="32" t="e">
        <f t="shared" si="415"/>
        <v>#N/A</v>
      </c>
      <c r="HP204" s="32" t="e">
        <f t="shared" si="416"/>
        <v>#N/A</v>
      </c>
      <c r="HQ204" s="32" t="b">
        <f t="shared" si="417"/>
        <v>0</v>
      </c>
      <c r="HR204" s="32" t="b">
        <f t="shared" si="418"/>
        <v>1</v>
      </c>
      <c r="HS204" s="32" t="b">
        <f t="shared" si="419"/>
        <v>1</v>
      </c>
      <c r="HT204" s="32" t="b">
        <f t="shared" si="420"/>
        <v>0</v>
      </c>
      <c r="HU204" s="32">
        <f t="shared" si="421"/>
        <v>3.428663268349693E-2</v>
      </c>
      <c r="HV204" s="32" t="e">
        <f t="shared" si="422"/>
        <v>#N/A</v>
      </c>
      <c r="HW204" s="32">
        <f t="shared" si="423"/>
        <v>3.428663268349693E-2</v>
      </c>
      <c r="HX204" s="45" t="str">
        <f t="shared" si="424"/>
        <v/>
      </c>
    </row>
    <row r="205" spans="78:232" x14ac:dyDescent="0.2">
      <c r="BZ205" s="32">
        <f t="shared" si="351"/>
        <v>195</v>
      </c>
      <c r="CA205" s="32">
        <f>Eu_tabel_g[[#This Row],[Indeks]]+1</f>
        <v>196</v>
      </c>
      <c r="CB205" s="32">
        <f t="shared" si="352"/>
        <v>1.5810490868765559</v>
      </c>
      <c r="CC205" s="32">
        <f t="shared" si="353"/>
        <v>0.11431509630296083</v>
      </c>
      <c r="CD205" s="32" t="e">
        <f t="shared" si="354"/>
        <v>#N/A</v>
      </c>
      <c r="CE205" s="32" t="e">
        <f t="shared" si="355"/>
        <v>#N/A</v>
      </c>
      <c r="CF205" s="32" t="e">
        <f t="shared" si="356"/>
        <v>#N/A</v>
      </c>
      <c r="CG205" s="32" t="b">
        <f t="shared" si="357"/>
        <v>0</v>
      </c>
      <c r="CH205" s="32" t="b">
        <f t="shared" si="358"/>
        <v>1</v>
      </c>
      <c r="CI205" s="32" t="b">
        <f t="shared" si="359"/>
        <v>0</v>
      </c>
      <c r="CJ205" s="32" t="b">
        <f t="shared" si="360"/>
        <v>1</v>
      </c>
      <c r="CK205" s="32">
        <f t="shared" si="327"/>
        <v>0.11431509630296083</v>
      </c>
      <c r="CL205" s="32" t="e">
        <f t="shared" si="361"/>
        <v>#N/A</v>
      </c>
      <c r="CM205" s="32">
        <f t="shared" si="362"/>
        <v>0.11431509630296083</v>
      </c>
      <c r="CN205" s="45" t="str">
        <f t="shared" si="363"/>
        <v/>
      </c>
      <c r="CO205" s="32">
        <f>_xlfn.NORM.DIST(_xlfn.NORM.INV(1-Eu_g_konfidensniveau,0,1)-Eu_tabel_g[[#This Row],[x base]],0,1,TRUE)</f>
        <v>6.2788016889242634E-4</v>
      </c>
      <c r="CP205" s="32">
        <f>1-_xlfn.NORM.DIST(_xlfn.NORM.INV(Eu_g_konfidensniveau,0,1)-Eu_tabel_g[[#This Row],[x base]],0,1,TRUE)</f>
        <v>0.47456293158522467</v>
      </c>
      <c r="CQ205" s="32">
        <f>_xlfn.NORM.DIST(_xlfn.NORM.INV((1-Eu_g_konfidensniveau)/2,0,1)-Eu_tabel_g[[#This Row],[x base]],0,1,TRUE)+1-_xlfn.NORM.DIST(_xlfn.NORM.INV(1-(1-Eu_g_konfidensniveau)/2,0,1)-Eu_tabel_g[[#This Row],[x base]],0,1,TRUE)</f>
        <v>0.35257482739793311</v>
      </c>
      <c r="CR205" s="32" t="e" cm="1">
        <f t="array" ref="CR205">IF($CR$3,INDEX(Eu_tabel_g[[#This Row],[Styrke venstre]:[Styrke tosidet]],CR$7),NA())</f>
        <v>#N/A</v>
      </c>
      <c r="CS205" s="52" t="e">
        <f>Eu_tabel_g[[#This Row],[Falsk positiv
Nulhypotese accepteres
Fejltype 1]]</f>
        <v>#N/A</v>
      </c>
      <c r="CT205" s="52" t="e">
        <f>IF(CHOOSE(CR$7,Eu_tabel_g[[#This Row],[x base]]&gt;0,Eu_tabel_g[[#This Row],[x base]]&lt;0,Eu_tabel_g[[#This Row],[x base]]=0),Eu_tabel_g[[#This Row],[Styrke, aktiv]],NA())</f>
        <v>#N/A</v>
      </c>
      <c r="CU205" s="52" t="e">
        <f>IFERROR(IF($CR$3,Eu_tabel_g[[#This Row],[Styrke, aktiv]],NA()),NA())</f>
        <v>#N/A</v>
      </c>
      <c r="CV205" s="52" t="e">
        <f>IF(ISNA(Eu_tabel_g[[#This Row],[Sand negativ
Nulhypotese afvises
Korrekt]]),NA(),IF($CR$3,1,NA()))</f>
        <v>#N/A</v>
      </c>
      <c r="CW205" s="34" t="str" cm="1">
        <f t="array" ref="CW205">_xlfn.SWITCH(BZ205,_xlfn.IFNA(CU$2,-99),CU$5,_xlfn.IFNA(CU$3,-99),CU$6,_xlfn.IFNA(CU$4,-99),CU$7,"")</f>
        <v/>
      </c>
      <c r="DA205" s="7">
        <f t="shared" si="364"/>
        <v>0.8</v>
      </c>
      <c r="DB205">
        <f>IF(ROW(Styrkeberegning_G[[#This Row],[X base venstre]])=ROW(Styrkeberegning_G[[#Headers],[X base venstre]])+1,DB$7/(DA$7/$B$67),DB204/(DA204/$B$67))</f>
        <v>-2.8015817870135784</v>
      </c>
      <c r="DC205">
        <f>Styrkeberegning_G[[#This Row],[X base venstre]]*-1</f>
        <v>2.8015817870135784</v>
      </c>
      <c r="DN205" s="32">
        <f t="shared" si="365"/>
        <v>195</v>
      </c>
      <c r="DO205" s="32">
        <f t="shared" si="366"/>
        <v>196</v>
      </c>
      <c r="DP205" s="32">
        <f t="shared" si="367"/>
        <v>24.077669665968887</v>
      </c>
      <c r="DQ205" s="32" t="e">
        <f t="shared" si="368"/>
        <v>#N/A</v>
      </c>
      <c r="DR205" s="32" t="e">
        <f t="shared" si="369"/>
        <v>#N/A</v>
      </c>
      <c r="DS205" s="32">
        <f t="shared" si="370"/>
        <v>4.1147528443460516E-3</v>
      </c>
      <c r="DT205" s="32" t="e">
        <f t="shared" si="371"/>
        <v>#N/A</v>
      </c>
      <c r="DU205" s="32" t="b">
        <f t="shared" si="372"/>
        <v>0</v>
      </c>
      <c r="DV205" s="32" t="b">
        <f t="shared" si="373"/>
        <v>1</v>
      </c>
      <c r="DW205" s="32" t="b">
        <f t="shared" si="374"/>
        <v>1</v>
      </c>
      <c r="DX205" s="32" t="b">
        <f t="shared" si="375"/>
        <v>0</v>
      </c>
      <c r="DY205" s="32">
        <f t="shared" si="376"/>
        <v>4.1147528443460516E-3</v>
      </c>
      <c r="DZ205" s="32">
        <f t="shared" si="377"/>
        <v>4.1147528443460516E-3</v>
      </c>
      <c r="EA205" s="32" t="e">
        <f t="shared" si="378"/>
        <v>#N/A</v>
      </c>
      <c r="EB205" s="45" t="str">
        <f t="shared" si="379"/>
        <v/>
      </c>
      <c r="EG205" s="32">
        <f t="shared" si="380"/>
        <v>195</v>
      </c>
      <c r="EH205" s="32">
        <f t="shared" si="381"/>
        <v>196</v>
      </c>
      <c r="EI205" s="32">
        <f t="shared" si="382"/>
        <v>1.5810490868765559</v>
      </c>
      <c r="EJ205" s="32">
        <f t="shared" si="383"/>
        <v>0.11431509630296083</v>
      </c>
      <c r="EK205" s="32" t="e">
        <f t="shared" si="384"/>
        <v>#N/A</v>
      </c>
      <c r="EL205" s="32" t="e">
        <f t="shared" si="385"/>
        <v>#N/A</v>
      </c>
      <c r="EM205" s="32" t="e">
        <f t="shared" si="386"/>
        <v>#N/A</v>
      </c>
      <c r="EN205" s="32" t="b">
        <f t="shared" si="387"/>
        <v>0</v>
      </c>
      <c r="EO205" s="32" t="b">
        <f t="shared" si="388"/>
        <v>1</v>
      </c>
      <c r="EP205" s="32" t="b">
        <f t="shared" si="389"/>
        <v>0</v>
      </c>
      <c r="EQ205" s="32" t="b">
        <f t="shared" si="390"/>
        <v>1</v>
      </c>
      <c r="ER205" s="32">
        <f t="shared" si="391"/>
        <v>0.11431509630296083</v>
      </c>
      <c r="ES205" s="32" t="e">
        <f t="shared" si="392"/>
        <v>#N/A</v>
      </c>
      <c r="ET205" s="32">
        <f t="shared" si="393"/>
        <v>0.11431509630296083</v>
      </c>
      <c r="EU205" s="45" t="str">
        <f t="shared" si="394"/>
        <v/>
      </c>
      <c r="EV20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5" s="32" t="e" cm="1">
        <f t="array" ref="EY205">IF($CR$3,INDEX(Eu_tabel_a[[#This Row],[Styrke venstre]:[Styrke tosidet]],EY$7),NA())</f>
        <v>#N/A</v>
      </c>
      <c r="EZ205" s="32" t="e">
        <f>IF(EY$3,IF(CHOOSE(EY$7,Eu_tabel_a[[#This Row],[x base]]&gt;0,Eu_tabel_a[[#This Row],[x base]]&lt;0,Eu_tabel_a[[#This Row],[x base]]=0),1,NA()),NA())</f>
        <v>#N/A</v>
      </c>
      <c r="FA205" s="32" t="e">
        <f>IF(CHOOSE(EY$7,Eu_tabel_a[[#This Row],[x base]]&gt;0,Eu_tabel_a[[#This Row],[x base]]&lt;0,Eu_tabel_a[[#This Row],[x base]]=0),Eu_tabel_a[[#This Row],[Styrke, aktiv]],NA())</f>
        <v>#N/A</v>
      </c>
      <c r="FB205" s="32" t="e">
        <f>IFERROR(IF($EY$3,Eu_tabel_a[[#This Row],[Styrke, aktiv]],NA()),NA())</f>
        <v>#N/A</v>
      </c>
      <c r="FC205" s="32" t="e">
        <f>IF(ISNA(Eu_tabel_a[[#This Row],[Sand negativ
Nulhypotese afvises
Korrekt]]),NA(),IF(EY$3,1,NA()))</f>
        <v>#N/A</v>
      </c>
      <c r="FD205" s="33" t="str" cm="1">
        <f t="array" ref="FD205">IFERROR(_xlfn.SWITCH(Eu_tabel_a[[#This Row],[Indeks]],_xlfn.IFNA(FB$2,-99),FB$5,_xlfn.IFNA(FB$3,-99),FB$6,_xlfn.IFNA(FB$4,-99),FB$7,""),"")</f>
        <v/>
      </c>
      <c r="FE205" s="32">
        <f>Eu_tabel_a[[#This Row],[x base]]*SQRT(Eu_a_h0_x*(1-Eu_a_h0_x)/Eu_a_n_x)+Eu_a_h0_x</f>
        <v>0</v>
      </c>
      <c r="FJ205" s="74" t="e">
        <f t="shared" si="338"/>
        <v>#N/A</v>
      </c>
      <c r="FK205" s="82" t="e">
        <f t="shared" si="322"/>
        <v>#DIV/0!</v>
      </c>
      <c r="FL205" s="7" t="e">
        <f t="shared" si="332"/>
        <v>#DIV/0!</v>
      </c>
      <c r="FM205" t="e">
        <f t="shared" si="323"/>
        <v>#DIV/0!</v>
      </c>
      <c r="FN205" s="8" t="e">
        <f t="shared" si="324"/>
        <v>#DIV/0!</v>
      </c>
      <c r="FO205" s="8" t="e">
        <f t="shared" si="325"/>
        <v>#DIV/0!</v>
      </c>
      <c r="FP205" s="81" t="e">
        <f t="shared" si="326"/>
        <v>#DIV/0!</v>
      </c>
      <c r="FQ205" s="74" t="e">
        <f t="shared" ca="1" si="333"/>
        <v>#N/A</v>
      </c>
      <c r="FR205" s="82" t="e" vm="3">
        <f t="shared" ca="1" si="339"/>
        <v>#VALUE!</v>
      </c>
      <c r="FS205" s="7" t="e" vm="3">
        <f t="shared" ca="1" si="334"/>
        <v>#VALUE!</v>
      </c>
      <c r="FT205" t="e" vm="3">
        <f t="shared" ca="1" si="328"/>
        <v>#VALUE!</v>
      </c>
      <c r="FU205" s="8" t="e" vm="3">
        <f t="shared" ca="1" si="329"/>
        <v>#VALUE!</v>
      </c>
      <c r="FV205" s="8" t="e" vm="3">
        <f t="shared" ca="1" si="330"/>
        <v>#VALUE!</v>
      </c>
      <c r="FW205" s="81" t="e" vm="3">
        <f t="shared" ca="1" si="331"/>
        <v>#VALUE!</v>
      </c>
      <c r="FX205" s="74" t="e">
        <f t="shared" si="335"/>
        <v>#N/A</v>
      </c>
      <c r="FY205" s="82" t="e">
        <f t="shared" si="340"/>
        <v>#N/A</v>
      </c>
      <c r="FZ205" s="7" t="e">
        <f t="shared" si="336"/>
        <v>#N/A</v>
      </c>
      <c r="GA205" t="e">
        <f t="shared" si="341"/>
        <v>#N/A</v>
      </c>
      <c r="GB205" s="8" t="e">
        <f t="shared" si="342"/>
        <v>#N/A</v>
      </c>
      <c r="GC205" s="8" t="e">
        <f t="shared" si="343"/>
        <v>#N/A</v>
      </c>
      <c r="GD205" s="81" t="e">
        <f t="shared" si="344"/>
        <v>#N/A</v>
      </c>
      <c r="GE205" s="74" t="e">
        <f t="shared" si="345"/>
        <v>#N/A</v>
      </c>
      <c r="GF205" s="82" t="e">
        <f t="shared" si="346"/>
        <v>#N/A</v>
      </c>
      <c r="GG205" s="7" t="e">
        <f t="shared" si="337"/>
        <v>#N/A</v>
      </c>
      <c r="GH205" t="e">
        <f t="shared" si="347"/>
        <v>#N/A</v>
      </c>
      <c r="GI205" s="8" t="e">
        <f t="shared" si="348"/>
        <v>#N/A</v>
      </c>
      <c r="GJ205" s="8" t="e">
        <f t="shared" si="349"/>
        <v>#N/A</v>
      </c>
      <c r="GK205" s="81" t="e">
        <f t="shared" si="350"/>
        <v>#N/A</v>
      </c>
      <c r="GL205" s="81"/>
      <c r="GM205" s="81"/>
      <c r="GP205" s="32">
        <f t="shared" si="395"/>
        <v>195</v>
      </c>
      <c r="GQ205" s="32">
        <f t="shared" si="396"/>
        <v>196</v>
      </c>
      <c r="GR205" s="32">
        <f t="shared" si="397"/>
        <v>1.5810490868765559</v>
      </c>
      <c r="GS205" s="32">
        <f t="shared" si="398"/>
        <v>0.11431509630296083</v>
      </c>
      <c r="GT205" s="32" t="e">
        <f t="shared" si="399"/>
        <v>#N/A</v>
      </c>
      <c r="GU205" s="32" t="e">
        <f t="shared" si="400"/>
        <v>#N/A</v>
      </c>
      <c r="GV205" s="32" t="e">
        <f t="shared" si="401"/>
        <v>#N/A</v>
      </c>
      <c r="GW205" s="32" t="b">
        <f t="shared" si="402"/>
        <v>0</v>
      </c>
      <c r="GX205" s="32" t="b">
        <f t="shared" si="403"/>
        <v>1</v>
      </c>
      <c r="GY205" s="32" t="b">
        <f t="shared" si="404"/>
        <v>0</v>
      </c>
      <c r="GZ205" s="32" t="b">
        <f t="shared" si="405"/>
        <v>1</v>
      </c>
      <c r="HA205" s="32">
        <f t="shared" si="406"/>
        <v>0.11431509630296083</v>
      </c>
      <c r="HB205" s="32" t="e">
        <f t="shared" si="407"/>
        <v>#N/A</v>
      </c>
      <c r="HC205" s="32">
        <f t="shared" si="408"/>
        <v>0.11431509630296083</v>
      </c>
      <c r="HD205" s="45" t="str">
        <f t="shared" si="409"/>
        <v/>
      </c>
      <c r="HJ205" s="32">
        <f t="shared" si="410"/>
        <v>195</v>
      </c>
      <c r="HK205" s="32">
        <f t="shared" si="411"/>
        <v>196</v>
      </c>
      <c r="HL205" s="32">
        <f t="shared" si="412"/>
        <v>2.4482877169777524</v>
      </c>
      <c r="HM205" s="32" t="e">
        <f t="shared" si="413"/>
        <v>#N/A</v>
      </c>
      <c r="HN205" s="32">
        <f t="shared" si="414"/>
        <v>3.2423263296291346E-2</v>
      </c>
      <c r="HO205" s="32" t="e">
        <f t="shared" si="415"/>
        <v>#N/A</v>
      </c>
      <c r="HP205" s="32" t="e">
        <f t="shared" si="416"/>
        <v>#N/A</v>
      </c>
      <c r="HQ205" s="32" t="b">
        <f t="shared" si="417"/>
        <v>0</v>
      </c>
      <c r="HR205" s="32" t="b">
        <f t="shared" si="418"/>
        <v>1</v>
      </c>
      <c r="HS205" s="32" t="b">
        <f t="shared" si="419"/>
        <v>1</v>
      </c>
      <c r="HT205" s="32" t="b">
        <f t="shared" si="420"/>
        <v>0</v>
      </c>
      <c r="HU205" s="32">
        <f t="shared" si="421"/>
        <v>3.2423263296291346E-2</v>
      </c>
      <c r="HV205" s="32" t="e">
        <f t="shared" si="422"/>
        <v>#N/A</v>
      </c>
      <c r="HW205" s="32">
        <f t="shared" si="423"/>
        <v>3.2423263296291346E-2</v>
      </c>
      <c r="HX205" s="45" t="str">
        <f t="shared" si="424"/>
        <v/>
      </c>
    </row>
    <row r="206" spans="78:232" x14ac:dyDescent="0.2">
      <c r="BZ206" s="32">
        <f t="shared" si="351"/>
        <v>196</v>
      </c>
      <c r="CA206" s="32">
        <f>Eu_tabel_g[[#This Row],[Indeks]]+1</f>
        <v>197</v>
      </c>
      <c r="CB206" s="32">
        <f t="shared" si="352"/>
        <v>1.6050043760716548</v>
      </c>
      <c r="CC206" s="32">
        <f t="shared" si="353"/>
        <v>0.11003485972432277</v>
      </c>
      <c r="CD206" s="32" t="e">
        <f t="shared" si="354"/>
        <v>#N/A</v>
      </c>
      <c r="CE206" s="32" t="e">
        <f t="shared" si="355"/>
        <v>#N/A</v>
      </c>
      <c r="CF206" s="32" t="e">
        <f t="shared" si="356"/>
        <v>#N/A</v>
      </c>
      <c r="CG206" s="32" t="b">
        <f t="shared" si="357"/>
        <v>0</v>
      </c>
      <c r="CH206" s="32" t="b">
        <f t="shared" si="358"/>
        <v>1</v>
      </c>
      <c r="CI206" s="32" t="b">
        <f t="shared" si="359"/>
        <v>0</v>
      </c>
      <c r="CJ206" s="32" t="b">
        <f t="shared" si="360"/>
        <v>1</v>
      </c>
      <c r="CK206" s="32">
        <f t="shared" si="327"/>
        <v>0.11003485972432277</v>
      </c>
      <c r="CL206" s="32" t="e">
        <f t="shared" si="361"/>
        <v>#N/A</v>
      </c>
      <c r="CM206" s="32">
        <f t="shared" si="362"/>
        <v>0.11003485972432277</v>
      </c>
      <c r="CN206" s="45" t="str">
        <f t="shared" si="363"/>
        <v/>
      </c>
      <c r="CO206" s="32">
        <f>_xlfn.NORM.DIST(_xlfn.NORM.INV(1-Eu_g_konfidensniveau,0,1)-Eu_tabel_g[[#This Row],[x base]],0,1,TRUE)</f>
        <v>5.7731322757206653E-4</v>
      </c>
      <c r="CP206" s="32">
        <f>1-_xlfn.NORM.DIST(_xlfn.NORM.INV(Eu_g_konfidensniveau,0,1)-Eu_tabel_g[[#This Row],[x base]],0,1,TRUE)</f>
        <v>0.4841066554329746</v>
      </c>
      <c r="CQ206" s="32">
        <f>_xlfn.NORM.DIST(_xlfn.NORM.INV((1-Eu_g_konfidensniveau)/2,0,1)-Eu_tabel_g[[#This Row],[x base]],0,1,TRUE)+1-_xlfn.NORM.DIST(_xlfn.NORM.INV(1-(1-Eu_g_konfidensniveau)/2,0,1)-Eu_tabel_g[[#This Row],[x base]],0,1,TRUE)</f>
        <v>0.3614918756092389</v>
      </c>
      <c r="CR206" s="32" t="e" cm="1">
        <f t="array" ref="CR206">IF($CR$3,INDEX(Eu_tabel_g[[#This Row],[Styrke venstre]:[Styrke tosidet]],CR$7),NA())</f>
        <v>#N/A</v>
      </c>
      <c r="CS206" s="52" t="e">
        <f>Eu_tabel_g[[#This Row],[Falsk positiv
Nulhypotese accepteres
Fejltype 1]]</f>
        <v>#N/A</v>
      </c>
      <c r="CT206" s="52" t="e">
        <f>IF(CHOOSE(CR$7,Eu_tabel_g[[#This Row],[x base]]&gt;0,Eu_tabel_g[[#This Row],[x base]]&lt;0,Eu_tabel_g[[#This Row],[x base]]=0),Eu_tabel_g[[#This Row],[Styrke, aktiv]],NA())</f>
        <v>#N/A</v>
      </c>
      <c r="CU206" s="52" t="e">
        <f>IFERROR(IF($CR$3,Eu_tabel_g[[#This Row],[Styrke, aktiv]],NA()),NA())</f>
        <v>#N/A</v>
      </c>
      <c r="CV206" s="52" t="e">
        <f>IF(ISNA(Eu_tabel_g[[#This Row],[Sand negativ
Nulhypotese afvises
Korrekt]]),NA(),IF($CR$3,1,NA()))</f>
        <v>#N/A</v>
      </c>
      <c r="CW206" s="34" t="str" cm="1">
        <f t="array" ref="CW206">_xlfn.SWITCH(BZ206,_xlfn.IFNA(CU$2,-99),CU$5,_xlfn.IFNA(CU$3,-99),CU$6,_xlfn.IFNA(CU$4,-99),CU$7,"")</f>
        <v/>
      </c>
      <c r="DA206" s="7">
        <f t="shared" si="364"/>
        <v>0.8</v>
      </c>
      <c r="DB206">
        <f>IF(ROW(Styrkeberegning_G[[#This Row],[X base venstre]])=ROW(Styrkeberegning_G[[#Headers],[X base venstre]])+1,DB$7/(DA$7/$B$67),DB205/(DA205/$B$67))</f>
        <v>-2.8015817870135784</v>
      </c>
      <c r="DC206">
        <f>Styrkeberegning_G[[#This Row],[X base venstre]]*-1</f>
        <v>2.8015817870135784</v>
      </c>
      <c r="DN206" s="32">
        <f t="shared" si="365"/>
        <v>196</v>
      </c>
      <c r="DO206" s="32">
        <f t="shared" si="366"/>
        <v>197</v>
      </c>
      <c r="DP206" s="32">
        <f t="shared" si="367"/>
        <v>24.191740522385889</v>
      </c>
      <c r="DQ206" s="32" t="e">
        <f t="shared" si="368"/>
        <v>#N/A</v>
      </c>
      <c r="DR206" s="32" t="e">
        <f t="shared" si="369"/>
        <v>#N/A</v>
      </c>
      <c r="DS206" s="32">
        <f t="shared" si="370"/>
        <v>3.9701834031289508E-3</v>
      </c>
      <c r="DT206" s="32" t="e">
        <f t="shared" si="371"/>
        <v>#N/A</v>
      </c>
      <c r="DU206" s="32" t="b">
        <f t="shared" si="372"/>
        <v>0</v>
      </c>
      <c r="DV206" s="32" t="b">
        <f t="shared" si="373"/>
        <v>1</v>
      </c>
      <c r="DW206" s="32" t="b">
        <f t="shared" si="374"/>
        <v>1</v>
      </c>
      <c r="DX206" s="32" t="b">
        <f t="shared" si="375"/>
        <v>0</v>
      </c>
      <c r="DY206" s="32">
        <f t="shared" si="376"/>
        <v>3.9701834031289508E-3</v>
      </c>
      <c r="DZ206" s="32">
        <f t="shared" si="377"/>
        <v>3.9701834031289508E-3</v>
      </c>
      <c r="EA206" s="32" t="e">
        <f t="shared" si="378"/>
        <v>#N/A</v>
      </c>
      <c r="EB206" s="45" t="str">
        <f t="shared" si="379"/>
        <v/>
      </c>
      <c r="EG206" s="32">
        <f t="shared" si="380"/>
        <v>196</v>
      </c>
      <c r="EH206" s="32">
        <f t="shared" si="381"/>
        <v>197</v>
      </c>
      <c r="EI206" s="32">
        <f t="shared" si="382"/>
        <v>1.6050043760716548</v>
      </c>
      <c r="EJ206" s="32">
        <f t="shared" si="383"/>
        <v>0.11003485972432277</v>
      </c>
      <c r="EK206" s="32" t="e">
        <f t="shared" si="384"/>
        <v>#N/A</v>
      </c>
      <c r="EL206" s="32" t="e">
        <f t="shared" si="385"/>
        <v>#N/A</v>
      </c>
      <c r="EM206" s="32" t="e">
        <f t="shared" si="386"/>
        <v>#N/A</v>
      </c>
      <c r="EN206" s="32" t="b">
        <f t="shared" si="387"/>
        <v>0</v>
      </c>
      <c r="EO206" s="32" t="b">
        <f t="shared" si="388"/>
        <v>1</v>
      </c>
      <c r="EP206" s="32" t="b">
        <f t="shared" si="389"/>
        <v>0</v>
      </c>
      <c r="EQ206" s="32" t="b">
        <f t="shared" si="390"/>
        <v>1</v>
      </c>
      <c r="ER206" s="32">
        <f t="shared" si="391"/>
        <v>0.11003485972432277</v>
      </c>
      <c r="ES206" s="32" t="e">
        <f t="shared" si="392"/>
        <v>#N/A</v>
      </c>
      <c r="ET206" s="32">
        <f t="shared" si="393"/>
        <v>0.11003485972432277</v>
      </c>
      <c r="EU206" s="45" t="str">
        <f t="shared" si="394"/>
        <v/>
      </c>
      <c r="EV20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6" s="32" t="e" cm="1">
        <f t="array" ref="EY206">IF($CR$3,INDEX(Eu_tabel_a[[#This Row],[Styrke venstre]:[Styrke tosidet]],EY$7),NA())</f>
        <v>#N/A</v>
      </c>
      <c r="EZ206" s="32" t="e">
        <f>IF(EY$3,IF(CHOOSE(EY$7,Eu_tabel_a[[#This Row],[x base]]&gt;0,Eu_tabel_a[[#This Row],[x base]]&lt;0,Eu_tabel_a[[#This Row],[x base]]=0),1,NA()),NA())</f>
        <v>#N/A</v>
      </c>
      <c r="FA206" s="32" t="e">
        <f>IF(CHOOSE(EY$7,Eu_tabel_a[[#This Row],[x base]]&gt;0,Eu_tabel_a[[#This Row],[x base]]&lt;0,Eu_tabel_a[[#This Row],[x base]]=0),Eu_tabel_a[[#This Row],[Styrke, aktiv]],NA())</f>
        <v>#N/A</v>
      </c>
      <c r="FB206" s="32" t="e">
        <f>IFERROR(IF($EY$3,Eu_tabel_a[[#This Row],[Styrke, aktiv]],NA()),NA())</f>
        <v>#N/A</v>
      </c>
      <c r="FC206" s="32" t="e">
        <f>IF(ISNA(Eu_tabel_a[[#This Row],[Sand negativ
Nulhypotese afvises
Korrekt]]),NA(),IF(EY$3,1,NA()))</f>
        <v>#N/A</v>
      </c>
      <c r="FD206" s="33" t="str" cm="1">
        <f t="array" ref="FD206">IFERROR(_xlfn.SWITCH(Eu_tabel_a[[#This Row],[Indeks]],_xlfn.IFNA(FB$2,-99),FB$5,_xlfn.IFNA(FB$3,-99),FB$6,_xlfn.IFNA(FB$4,-99),FB$7,""),"")</f>
        <v/>
      </c>
      <c r="FE206" s="32">
        <f>Eu_tabel_a[[#This Row],[x base]]*SQRT(Eu_a_h0_x*(1-Eu_a_h0_x)/Eu_a_n_x)+Eu_a_h0_x</f>
        <v>0</v>
      </c>
      <c r="FJ206" s="74" t="e">
        <f t="shared" si="338"/>
        <v>#N/A</v>
      </c>
      <c r="FK206" s="82" t="e">
        <f t="shared" si="322"/>
        <v>#DIV/0!</v>
      </c>
      <c r="FL206" s="7" t="e">
        <f t="shared" si="332"/>
        <v>#DIV/0!</v>
      </c>
      <c r="FM206" t="e">
        <f t="shared" si="323"/>
        <v>#DIV/0!</v>
      </c>
      <c r="FN206" s="8" t="e">
        <f t="shared" si="324"/>
        <v>#DIV/0!</v>
      </c>
      <c r="FO206" s="8" t="e">
        <f t="shared" si="325"/>
        <v>#DIV/0!</v>
      </c>
      <c r="FP206" s="81" t="e">
        <f t="shared" si="326"/>
        <v>#DIV/0!</v>
      </c>
      <c r="FQ206" s="74" t="e">
        <f t="shared" ca="1" si="333"/>
        <v>#N/A</v>
      </c>
      <c r="FR206" s="82" t="e" vm="3">
        <f t="shared" ca="1" si="339"/>
        <v>#VALUE!</v>
      </c>
      <c r="FS206" s="7" t="e" vm="3">
        <f t="shared" ca="1" si="334"/>
        <v>#VALUE!</v>
      </c>
      <c r="FT206" t="e" vm="3">
        <f t="shared" ca="1" si="328"/>
        <v>#VALUE!</v>
      </c>
      <c r="FU206" s="8" t="e" vm="3">
        <f t="shared" ca="1" si="329"/>
        <v>#VALUE!</v>
      </c>
      <c r="FV206" s="8" t="e" vm="3">
        <f t="shared" ca="1" si="330"/>
        <v>#VALUE!</v>
      </c>
      <c r="FW206" s="81" t="e" vm="3">
        <f t="shared" ca="1" si="331"/>
        <v>#VALUE!</v>
      </c>
      <c r="FX206" s="74" t="e">
        <f t="shared" si="335"/>
        <v>#N/A</v>
      </c>
      <c r="FY206" s="82" t="e">
        <f t="shared" si="340"/>
        <v>#N/A</v>
      </c>
      <c r="FZ206" s="7" t="e">
        <f t="shared" si="336"/>
        <v>#N/A</v>
      </c>
      <c r="GA206" t="e">
        <f t="shared" si="341"/>
        <v>#N/A</v>
      </c>
      <c r="GB206" s="8" t="e">
        <f t="shared" si="342"/>
        <v>#N/A</v>
      </c>
      <c r="GC206" s="8" t="e">
        <f t="shared" si="343"/>
        <v>#N/A</v>
      </c>
      <c r="GD206" s="81" t="e">
        <f t="shared" si="344"/>
        <v>#N/A</v>
      </c>
      <c r="GE206" s="74" t="e">
        <f t="shared" si="345"/>
        <v>#N/A</v>
      </c>
      <c r="GF206" s="82" t="e">
        <f t="shared" si="346"/>
        <v>#N/A</v>
      </c>
      <c r="GG206" s="7" t="e">
        <f t="shared" si="337"/>
        <v>#N/A</v>
      </c>
      <c r="GH206" t="e">
        <f t="shared" si="347"/>
        <v>#N/A</v>
      </c>
      <c r="GI206" s="8" t="e">
        <f t="shared" si="348"/>
        <v>#N/A</v>
      </c>
      <c r="GJ206" s="8" t="e">
        <f t="shared" si="349"/>
        <v>#N/A</v>
      </c>
      <c r="GK206" s="81" t="e">
        <f t="shared" si="350"/>
        <v>#N/A</v>
      </c>
      <c r="GL206" s="81"/>
      <c r="GM206" s="81"/>
      <c r="GP206" s="32">
        <f t="shared" si="395"/>
        <v>196</v>
      </c>
      <c r="GQ206" s="32">
        <f t="shared" si="396"/>
        <v>197</v>
      </c>
      <c r="GR206" s="32">
        <f t="shared" si="397"/>
        <v>1.6050043760716548</v>
      </c>
      <c r="GS206" s="32">
        <f t="shared" si="398"/>
        <v>0.11003485972432277</v>
      </c>
      <c r="GT206" s="32" t="e">
        <f t="shared" si="399"/>
        <v>#N/A</v>
      </c>
      <c r="GU206" s="32" t="e">
        <f t="shared" si="400"/>
        <v>#N/A</v>
      </c>
      <c r="GV206" s="32" t="e">
        <f t="shared" si="401"/>
        <v>#N/A</v>
      </c>
      <c r="GW206" s="32" t="b">
        <f t="shared" si="402"/>
        <v>0</v>
      </c>
      <c r="GX206" s="32" t="b">
        <f t="shared" si="403"/>
        <v>1</v>
      </c>
      <c r="GY206" s="32" t="b">
        <f t="shared" si="404"/>
        <v>0</v>
      </c>
      <c r="GZ206" s="32" t="b">
        <f t="shared" si="405"/>
        <v>1</v>
      </c>
      <c r="HA206" s="32">
        <f t="shared" si="406"/>
        <v>0.11003485972432277</v>
      </c>
      <c r="HB206" s="32" t="e">
        <f t="shared" si="407"/>
        <v>#N/A</v>
      </c>
      <c r="HC206" s="32">
        <f t="shared" si="408"/>
        <v>0.11003485972432277</v>
      </c>
      <c r="HD206" s="45" t="str">
        <f t="shared" si="409"/>
        <v/>
      </c>
      <c r="HJ206" s="32">
        <f t="shared" si="410"/>
        <v>196</v>
      </c>
      <c r="HK206" s="32">
        <f t="shared" si="411"/>
        <v>197</v>
      </c>
      <c r="HL206" s="32">
        <f t="shared" si="412"/>
        <v>2.485382985416809</v>
      </c>
      <c r="HM206" s="32" t="e">
        <f t="shared" si="413"/>
        <v>#N/A</v>
      </c>
      <c r="HN206" s="32">
        <f t="shared" si="414"/>
        <v>3.0659150000243988E-2</v>
      </c>
      <c r="HO206" s="32" t="e">
        <f t="shared" si="415"/>
        <v>#N/A</v>
      </c>
      <c r="HP206" s="32" t="e">
        <f t="shared" si="416"/>
        <v>#N/A</v>
      </c>
      <c r="HQ206" s="32" t="b">
        <f t="shared" si="417"/>
        <v>0</v>
      </c>
      <c r="HR206" s="32" t="b">
        <f t="shared" si="418"/>
        <v>1</v>
      </c>
      <c r="HS206" s="32" t="b">
        <f t="shared" si="419"/>
        <v>1</v>
      </c>
      <c r="HT206" s="32" t="b">
        <f t="shared" si="420"/>
        <v>0</v>
      </c>
      <c r="HU206" s="32">
        <f t="shared" si="421"/>
        <v>3.0659150000243988E-2</v>
      </c>
      <c r="HV206" s="32" t="e">
        <f t="shared" si="422"/>
        <v>#N/A</v>
      </c>
      <c r="HW206" s="32">
        <f t="shared" si="423"/>
        <v>3.0659150000243988E-2</v>
      </c>
      <c r="HX206" s="45" t="str">
        <f t="shared" si="424"/>
        <v/>
      </c>
    </row>
    <row r="207" spans="78:232" x14ac:dyDescent="0.2">
      <c r="BZ207" s="32">
        <f t="shared" si="351"/>
        <v>197</v>
      </c>
      <c r="CA207" s="32">
        <f>Eu_tabel_g[[#This Row],[Indeks]]+1</f>
        <v>198</v>
      </c>
      <c r="CB207" s="32">
        <f t="shared" si="352"/>
        <v>1.6289596652667537</v>
      </c>
      <c r="CC207" s="32">
        <f t="shared" si="353"/>
        <v>0.10585412321974706</v>
      </c>
      <c r="CD207" s="32" t="e">
        <f t="shared" si="354"/>
        <v>#N/A</v>
      </c>
      <c r="CE207" s="32" t="e">
        <f t="shared" si="355"/>
        <v>#N/A</v>
      </c>
      <c r="CF207" s="32" t="e">
        <f t="shared" si="356"/>
        <v>#N/A</v>
      </c>
      <c r="CG207" s="32" t="b">
        <f t="shared" si="357"/>
        <v>0</v>
      </c>
      <c r="CH207" s="32" t="b">
        <f t="shared" si="358"/>
        <v>1</v>
      </c>
      <c r="CI207" s="32" t="b">
        <f t="shared" si="359"/>
        <v>0</v>
      </c>
      <c r="CJ207" s="32" t="b">
        <f t="shared" si="360"/>
        <v>1</v>
      </c>
      <c r="CK207" s="32">
        <f t="shared" si="327"/>
        <v>0.10585412321974706</v>
      </c>
      <c r="CL207" s="32" t="e">
        <f t="shared" si="361"/>
        <v>#N/A</v>
      </c>
      <c r="CM207" s="32">
        <f t="shared" si="362"/>
        <v>0.10585412321974706</v>
      </c>
      <c r="CN207" s="45" t="str">
        <f t="shared" si="363"/>
        <v/>
      </c>
      <c r="CO207" s="32">
        <f>_xlfn.NORM.DIST(_xlfn.NORM.INV(1-Eu_g_konfidensniveau,0,1)-Eu_tabel_g[[#This Row],[x base]],0,1,TRUE)</f>
        <v>5.3053347540103161E-4</v>
      </c>
      <c r="CP207" s="32">
        <f>1-_xlfn.NORM.DIST(_xlfn.NORM.INV(Eu_g_konfidensniveau,0,1)-Eu_tabel_g[[#This Row],[x base]],0,1,TRUE)</f>
        <v>0.49365949363636807</v>
      </c>
      <c r="CQ207" s="32">
        <f>_xlfn.NORM.DIST(_xlfn.NORM.INV((1-Eu_g_konfidensniveau)/2,0,1)-Eu_tabel_g[[#This Row],[x base]],0,1,TRUE)+1-_xlfn.NORM.DIST(_xlfn.NORM.INV(1-(1-Eu_g_konfidensniveau)/2,0,1)-Eu_tabel_g[[#This Row],[x base]],0,1,TRUE)</f>
        <v>0.370486634522321</v>
      </c>
      <c r="CR207" s="32" t="e" cm="1">
        <f t="array" ref="CR207">IF($CR$3,INDEX(Eu_tabel_g[[#This Row],[Styrke venstre]:[Styrke tosidet]],CR$7),NA())</f>
        <v>#N/A</v>
      </c>
      <c r="CS207" s="52" t="e">
        <f>Eu_tabel_g[[#This Row],[Falsk positiv
Nulhypotese accepteres
Fejltype 1]]</f>
        <v>#N/A</v>
      </c>
      <c r="CT207" s="52" t="e">
        <f>IF(CHOOSE(CR$7,Eu_tabel_g[[#This Row],[x base]]&gt;0,Eu_tabel_g[[#This Row],[x base]]&lt;0,Eu_tabel_g[[#This Row],[x base]]=0),Eu_tabel_g[[#This Row],[Styrke, aktiv]],NA())</f>
        <v>#N/A</v>
      </c>
      <c r="CU207" s="52" t="e">
        <f>IFERROR(IF($CR$3,Eu_tabel_g[[#This Row],[Styrke, aktiv]],NA()),NA())</f>
        <v>#N/A</v>
      </c>
      <c r="CV207" s="52" t="e">
        <f>IF(ISNA(Eu_tabel_g[[#This Row],[Sand negativ
Nulhypotese afvises
Korrekt]]),NA(),IF($CR$3,1,NA()))</f>
        <v>#N/A</v>
      </c>
      <c r="CW207" s="34" t="str" cm="1">
        <f t="array" ref="CW207">_xlfn.SWITCH(BZ207,_xlfn.IFNA(CU$2,-99),CU$5,_xlfn.IFNA(CU$3,-99),CU$6,_xlfn.IFNA(CU$4,-99),CU$7,"")</f>
        <v/>
      </c>
      <c r="DA207" s="7">
        <f t="shared" si="364"/>
        <v>0.8</v>
      </c>
      <c r="DB207">
        <f>IF(ROW(Styrkeberegning_G[[#This Row],[X base venstre]])=ROW(Styrkeberegning_G[[#Headers],[X base venstre]])+1,DB$7/(DA$7/$B$67),DB206/(DA206/$B$67))</f>
        <v>-2.8015817870135784</v>
      </c>
      <c r="DC207">
        <f>Styrkeberegning_G[[#This Row],[X base venstre]]*-1</f>
        <v>2.8015817870135784</v>
      </c>
      <c r="DN207" s="32">
        <f t="shared" si="365"/>
        <v>197</v>
      </c>
      <c r="DO207" s="32">
        <f t="shared" si="366"/>
        <v>198</v>
      </c>
      <c r="DP207" s="32">
        <f t="shared" si="367"/>
        <v>24.305811378802886</v>
      </c>
      <c r="DQ207" s="32" t="e">
        <f t="shared" si="368"/>
        <v>#N/A</v>
      </c>
      <c r="DR207" s="32" t="e">
        <f t="shared" si="369"/>
        <v>#N/A</v>
      </c>
      <c r="DS207" s="32">
        <f t="shared" si="370"/>
        <v>3.8303100696038244E-3</v>
      </c>
      <c r="DT207" s="32" t="e">
        <f t="shared" si="371"/>
        <v>#N/A</v>
      </c>
      <c r="DU207" s="32" t="b">
        <f t="shared" si="372"/>
        <v>0</v>
      </c>
      <c r="DV207" s="32" t="b">
        <f t="shared" si="373"/>
        <v>1</v>
      </c>
      <c r="DW207" s="32" t="b">
        <f t="shared" si="374"/>
        <v>1</v>
      </c>
      <c r="DX207" s="32" t="b">
        <f t="shared" si="375"/>
        <v>0</v>
      </c>
      <c r="DY207" s="32">
        <f t="shared" si="376"/>
        <v>3.8303100696038244E-3</v>
      </c>
      <c r="DZ207" s="32">
        <f t="shared" si="377"/>
        <v>3.8303100696038244E-3</v>
      </c>
      <c r="EA207" s="32" t="e">
        <f t="shared" si="378"/>
        <v>#N/A</v>
      </c>
      <c r="EB207" s="45" t="str">
        <f t="shared" si="379"/>
        <v/>
      </c>
      <c r="EG207" s="32">
        <f t="shared" si="380"/>
        <v>197</v>
      </c>
      <c r="EH207" s="32">
        <f t="shared" si="381"/>
        <v>198</v>
      </c>
      <c r="EI207" s="32">
        <f t="shared" si="382"/>
        <v>1.6289596652667537</v>
      </c>
      <c r="EJ207" s="32">
        <f t="shared" si="383"/>
        <v>0.10585412321974706</v>
      </c>
      <c r="EK207" s="32" t="e">
        <f t="shared" si="384"/>
        <v>#N/A</v>
      </c>
      <c r="EL207" s="32" t="e">
        <f t="shared" si="385"/>
        <v>#N/A</v>
      </c>
      <c r="EM207" s="32" t="e">
        <f t="shared" si="386"/>
        <v>#N/A</v>
      </c>
      <c r="EN207" s="32" t="b">
        <f t="shared" si="387"/>
        <v>0</v>
      </c>
      <c r="EO207" s="32" t="b">
        <f t="shared" si="388"/>
        <v>1</v>
      </c>
      <c r="EP207" s="32" t="b">
        <f t="shared" si="389"/>
        <v>0</v>
      </c>
      <c r="EQ207" s="32" t="b">
        <f t="shared" si="390"/>
        <v>1</v>
      </c>
      <c r="ER207" s="32">
        <f t="shared" si="391"/>
        <v>0.10585412321974706</v>
      </c>
      <c r="ES207" s="32" t="e">
        <f t="shared" si="392"/>
        <v>#N/A</v>
      </c>
      <c r="ET207" s="32">
        <f t="shared" si="393"/>
        <v>0.10585412321974706</v>
      </c>
      <c r="EU207" s="45" t="str">
        <f t="shared" si="394"/>
        <v/>
      </c>
      <c r="EV20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7" s="32" t="e" cm="1">
        <f t="array" ref="EY207">IF($CR$3,INDEX(Eu_tabel_a[[#This Row],[Styrke venstre]:[Styrke tosidet]],EY$7),NA())</f>
        <v>#N/A</v>
      </c>
      <c r="EZ207" s="32" t="e">
        <f>IF(EY$3,IF(CHOOSE(EY$7,Eu_tabel_a[[#This Row],[x base]]&gt;0,Eu_tabel_a[[#This Row],[x base]]&lt;0,Eu_tabel_a[[#This Row],[x base]]=0),1,NA()),NA())</f>
        <v>#N/A</v>
      </c>
      <c r="FA207" s="32" t="e">
        <f>IF(CHOOSE(EY$7,Eu_tabel_a[[#This Row],[x base]]&gt;0,Eu_tabel_a[[#This Row],[x base]]&lt;0,Eu_tabel_a[[#This Row],[x base]]=0),Eu_tabel_a[[#This Row],[Styrke, aktiv]],NA())</f>
        <v>#N/A</v>
      </c>
      <c r="FB207" s="32" t="e">
        <f>IFERROR(IF($EY$3,Eu_tabel_a[[#This Row],[Styrke, aktiv]],NA()),NA())</f>
        <v>#N/A</v>
      </c>
      <c r="FC207" s="32" t="e">
        <f>IF(ISNA(Eu_tabel_a[[#This Row],[Sand negativ
Nulhypotese afvises
Korrekt]]),NA(),IF(EY$3,1,NA()))</f>
        <v>#N/A</v>
      </c>
      <c r="FD207" s="33" t="str" cm="1">
        <f t="array" ref="FD207">IFERROR(_xlfn.SWITCH(Eu_tabel_a[[#This Row],[Indeks]],_xlfn.IFNA(FB$2,-99),FB$5,_xlfn.IFNA(FB$3,-99),FB$6,_xlfn.IFNA(FB$4,-99),FB$7,""),"")</f>
        <v/>
      </c>
      <c r="FE207" s="32">
        <f>Eu_tabel_a[[#This Row],[x base]]*SQRT(Eu_a_h0_x*(1-Eu_a_h0_x)/Eu_a_n_x)+Eu_a_h0_x</f>
        <v>0</v>
      </c>
      <c r="FJ207" s="74" t="e">
        <f t="shared" si="338"/>
        <v>#N/A</v>
      </c>
      <c r="FK207" s="82" t="e">
        <f t="shared" si="322"/>
        <v>#DIV/0!</v>
      </c>
      <c r="FL207" s="7" t="e">
        <f t="shared" si="332"/>
        <v>#DIV/0!</v>
      </c>
      <c r="FM207" t="e">
        <f t="shared" si="323"/>
        <v>#DIV/0!</v>
      </c>
      <c r="FN207" s="8" t="e">
        <f t="shared" si="324"/>
        <v>#DIV/0!</v>
      </c>
      <c r="FO207" s="8" t="e">
        <f t="shared" si="325"/>
        <v>#DIV/0!</v>
      </c>
      <c r="FP207" s="81" t="e">
        <f t="shared" si="326"/>
        <v>#DIV/0!</v>
      </c>
      <c r="FQ207" s="74" t="e">
        <f t="shared" ca="1" si="333"/>
        <v>#N/A</v>
      </c>
      <c r="FR207" s="82" t="e" vm="3">
        <f t="shared" ca="1" si="339"/>
        <v>#VALUE!</v>
      </c>
      <c r="FS207" s="7" t="e" vm="3">
        <f t="shared" ca="1" si="334"/>
        <v>#VALUE!</v>
      </c>
      <c r="FT207" t="e" vm="3">
        <f t="shared" ca="1" si="328"/>
        <v>#VALUE!</v>
      </c>
      <c r="FU207" s="8" t="e" vm="3">
        <f t="shared" ca="1" si="329"/>
        <v>#VALUE!</v>
      </c>
      <c r="FV207" s="8" t="e" vm="3">
        <f t="shared" ca="1" si="330"/>
        <v>#VALUE!</v>
      </c>
      <c r="FW207" s="81" t="e" vm="3">
        <f t="shared" ca="1" si="331"/>
        <v>#VALUE!</v>
      </c>
      <c r="FX207" s="74" t="e">
        <f t="shared" si="335"/>
        <v>#N/A</v>
      </c>
      <c r="FY207" s="82" t="e">
        <f t="shared" si="340"/>
        <v>#N/A</v>
      </c>
      <c r="FZ207" s="7" t="e">
        <f t="shared" si="336"/>
        <v>#N/A</v>
      </c>
      <c r="GA207" t="e">
        <f t="shared" si="341"/>
        <v>#N/A</v>
      </c>
      <c r="GB207" s="8" t="e">
        <f t="shared" si="342"/>
        <v>#N/A</v>
      </c>
      <c r="GC207" s="8" t="e">
        <f t="shared" si="343"/>
        <v>#N/A</v>
      </c>
      <c r="GD207" s="81" t="e">
        <f t="shared" si="344"/>
        <v>#N/A</v>
      </c>
      <c r="GE207" s="74" t="e">
        <f t="shared" si="345"/>
        <v>#N/A</v>
      </c>
      <c r="GF207" s="82" t="e">
        <f t="shared" si="346"/>
        <v>#N/A</v>
      </c>
      <c r="GG207" s="7" t="e">
        <f t="shared" si="337"/>
        <v>#N/A</v>
      </c>
      <c r="GH207" t="e">
        <f t="shared" si="347"/>
        <v>#N/A</v>
      </c>
      <c r="GI207" s="8" t="e">
        <f t="shared" si="348"/>
        <v>#N/A</v>
      </c>
      <c r="GJ207" s="8" t="e">
        <f t="shared" si="349"/>
        <v>#N/A</v>
      </c>
      <c r="GK207" s="81" t="e">
        <f t="shared" si="350"/>
        <v>#N/A</v>
      </c>
      <c r="GL207" s="81"/>
      <c r="GM207" s="81"/>
      <c r="GP207" s="32">
        <f t="shared" si="395"/>
        <v>197</v>
      </c>
      <c r="GQ207" s="32">
        <f t="shared" si="396"/>
        <v>198</v>
      </c>
      <c r="GR207" s="32">
        <f t="shared" si="397"/>
        <v>1.6289596652667537</v>
      </c>
      <c r="GS207" s="32">
        <f t="shared" si="398"/>
        <v>0.10585412321974706</v>
      </c>
      <c r="GT207" s="32" t="e">
        <f t="shared" si="399"/>
        <v>#N/A</v>
      </c>
      <c r="GU207" s="32" t="e">
        <f t="shared" si="400"/>
        <v>#N/A</v>
      </c>
      <c r="GV207" s="32" t="e">
        <f t="shared" si="401"/>
        <v>#N/A</v>
      </c>
      <c r="GW207" s="32" t="b">
        <f t="shared" si="402"/>
        <v>0</v>
      </c>
      <c r="GX207" s="32" t="b">
        <f t="shared" si="403"/>
        <v>1</v>
      </c>
      <c r="GY207" s="32" t="b">
        <f t="shared" si="404"/>
        <v>0</v>
      </c>
      <c r="GZ207" s="32" t="b">
        <f t="shared" si="405"/>
        <v>1</v>
      </c>
      <c r="HA207" s="32">
        <f t="shared" si="406"/>
        <v>0.10585412321974706</v>
      </c>
      <c r="HB207" s="32" t="e">
        <f t="shared" si="407"/>
        <v>#N/A</v>
      </c>
      <c r="HC207" s="32">
        <f t="shared" si="408"/>
        <v>0.10585412321974706</v>
      </c>
      <c r="HD207" s="45" t="str">
        <f t="shared" si="409"/>
        <v/>
      </c>
      <c r="HJ207" s="32">
        <f t="shared" si="410"/>
        <v>197</v>
      </c>
      <c r="HK207" s="32">
        <f t="shared" si="411"/>
        <v>198</v>
      </c>
      <c r="HL207" s="32">
        <f t="shared" si="412"/>
        <v>2.5224782538558657</v>
      </c>
      <c r="HM207" s="32" t="e">
        <f t="shared" si="413"/>
        <v>#N/A</v>
      </c>
      <c r="HN207" s="32">
        <f t="shared" si="414"/>
        <v>2.8989506460017054E-2</v>
      </c>
      <c r="HO207" s="32" t="e">
        <f t="shared" si="415"/>
        <v>#N/A</v>
      </c>
      <c r="HP207" s="32" t="e">
        <f t="shared" si="416"/>
        <v>#N/A</v>
      </c>
      <c r="HQ207" s="32" t="b">
        <f t="shared" si="417"/>
        <v>0</v>
      </c>
      <c r="HR207" s="32" t="b">
        <f t="shared" si="418"/>
        <v>1</v>
      </c>
      <c r="HS207" s="32" t="b">
        <f t="shared" si="419"/>
        <v>1</v>
      </c>
      <c r="HT207" s="32" t="b">
        <f t="shared" si="420"/>
        <v>0</v>
      </c>
      <c r="HU207" s="32">
        <f t="shared" si="421"/>
        <v>2.8989506460017054E-2</v>
      </c>
      <c r="HV207" s="32" t="e">
        <f t="shared" si="422"/>
        <v>#N/A</v>
      </c>
      <c r="HW207" s="32">
        <f t="shared" si="423"/>
        <v>2.8989506460017054E-2</v>
      </c>
      <c r="HX207" s="45" t="str">
        <f t="shared" si="424"/>
        <v/>
      </c>
    </row>
    <row r="208" spans="78:232" x14ac:dyDescent="0.2">
      <c r="BZ208" s="32">
        <f t="shared" si="351"/>
        <v>198</v>
      </c>
      <c r="CA208" s="32">
        <f>Eu_tabel_g[[#This Row],[Indeks]]+1</f>
        <v>199</v>
      </c>
      <c r="CB208" s="32">
        <f t="shared" si="352"/>
        <v>1.6529149544618535</v>
      </c>
      <c r="CC208" s="32">
        <f t="shared" si="353"/>
        <v>0.10177381209387595</v>
      </c>
      <c r="CD208" s="32" t="e">
        <f t="shared" si="354"/>
        <v>#N/A</v>
      </c>
      <c r="CE208" s="32" t="e">
        <f t="shared" si="355"/>
        <v>#N/A</v>
      </c>
      <c r="CF208" s="32" t="e">
        <f t="shared" si="356"/>
        <v>#N/A</v>
      </c>
      <c r="CG208" s="32" t="b">
        <f t="shared" si="357"/>
        <v>0</v>
      </c>
      <c r="CH208" s="32" t="b">
        <f t="shared" si="358"/>
        <v>1</v>
      </c>
      <c r="CI208" s="32" t="b">
        <f t="shared" si="359"/>
        <v>0</v>
      </c>
      <c r="CJ208" s="32" t="b">
        <f t="shared" si="360"/>
        <v>1</v>
      </c>
      <c r="CK208" s="32">
        <f t="shared" si="327"/>
        <v>0.10177381209387595</v>
      </c>
      <c r="CL208" s="32" t="e">
        <f t="shared" si="361"/>
        <v>#N/A</v>
      </c>
      <c r="CM208" s="32">
        <f t="shared" si="362"/>
        <v>0.10177381209387595</v>
      </c>
      <c r="CN208" s="45" t="str">
        <f t="shared" si="363"/>
        <v/>
      </c>
      <c r="CO208" s="32">
        <f>_xlfn.NORM.DIST(_xlfn.NORM.INV(1-Eu_g_konfidensniveau,0,1)-Eu_tabel_g[[#This Row],[x base]],0,1,TRUE)</f>
        <v>4.8728209848242275E-4</v>
      </c>
      <c r="CP208" s="32">
        <f>1-_xlfn.NORM.DIST(_xlfn.NORM.INV(Eu_g_konfidensniveau,0,1)-Eu_tabel_g[[#This Row],[x base]],0,1,TRUE)</f>
        <v>0.50321596954838599</v>
      </c>
      <c r="CQ208" s="32">
        <f>_xlfn.NORM.DIST(_xlfn.NORM.INV((1-Eu_g_konfidensniveau)/2,0,1)-Eu_tabel_g[[#This Row],[x base]],0,1,TRUE)+1-_xlfn.NORM.DIST(_xlfn.NORM.INV(1-(1-Eu_g_konfidensniveau)/2,0,1)-Eu_tabel_g[[#This Row],[x base]],0,1,TRUE)</f>
        <v>0.37955443451297199</v>
      </c>
      <c r="CR208" s="32" t="e" cm="1">
        <f t="array" ref="CR208">IF($CR$3,INDEX(Eu_tabel_g[[#This Row],[Styrke venstre]:[Styrke tosidet]],CR$7),NA())</f>
        <v>#N/A</v>
      </c>
      <c r="CS208" s="52" t="e">
        <f>Eu_tabel_g[[#This Row],[Falsk positiv
Nulhypotese accepteres
Fejltype 1]]</f>
        <v>#N/A</v>
      </c>
      <c r="CT208" s="52" t="e">
        <f>IF(CHOOSE(CR$7,Eu_tabel_g[[#This Row],[x base]]&gt;0,Eu_tabel_g[[#This Row],[x base]]&lt;0,Eu_tabel_g[[#This Row],[x base]]=0),Eu_tabel_g[[#This Row],[Styrke, aktiv]],NA())</f>
        <v>#N/A</v>
      </c>
      <c r="CU208" s="52" t="e">
        <f>IFERROR(IF($CR$3,Eu_tabel_g[[#This Row],[Styrke, aktiv]],NA()),NA())</f>
        <v>#N/A</v>
      </c>
      <c r="CV208" s="52" t="e">
        <f>IF(ISNA(Eu_tabel_g[[#This Row],[Sand negativ
Nulhypotese afvises
Korrekt]]),NA(),IF($CR$3,1,NA()))</f>
        <v>#N/A</v>
      </c>
      <c r="CW208" s="34" t="str" cm="1">
        <f t="array" ref="CW208">_xlfn.SWITCH(BZ208,_xlfn.IFNA(CU$2,-99),CU$5,_xlfn.IFNA(CU$3,-99),CU$6,_xlfn.IFNA(CU$4,-99),CU$7,"")</f>
        <v/>
      </c>
      <c r="DA208" s="7">
        <f t="shared" si="364"/>
        <v>0.8</v>
      </c>
      <c r="DB208">
        <f>IF(ROW(Styrkeberegning_G[[#This Row],[X base venstre]])=ROW(Styrkeberegning_G[[#Headers],[X base venstre]])+1,DB$7/(DA$7/$B$67),DB207/(DA207/$B$67))</f>
        <v>-2.8015817870135784</v>
      </c>
      <c r="DC208">
        <f>Styrkeberegning_G[[#This Row],[X base venstre]]*-1</f>
        <v>2.8015817870135784</v>
      </c>
      <c r="DN208" s="32">
        <f t="shared" si="365"/>
        <v>198</v>
      </c>
      <c r="DO208" s="32">
        <f t="shared" si="366"/>
        <v>199</v>
      </c>
      <c r="DP208" s="32">
        <f t="shared" si="367"/>
        <v>24.419882235219887</v>
      </c>
      <c r="DQ208" s="32" t="e">
        <f t="shared" si="368"/>
        <v>#N/A</v>
      </c>
      <c r="DR208" s="32" t="e">
        <f t="shared" si="369"/>
        <v>#N/A</v>
      </c>
      <c r="DS208" s="32">
        <f t="shared" si="370"/>
        <v>3.6949983526446363E-3</v>
      </c>
      <c r="DT208" s="32" t="e">
        <f t="shared" si="371"/>
        <v>#N/A</v>
      </c>
      <c r="DU208" s="32" t="b">
        <f t="shared" si="372"/>
        <v>0</v>
      </c>
      <c r="DV208" s="32" t="b">
        <f t="shared" si="373"/>
        <v>1</v>
      </c>
      <c r="DW208" s="32" t="b">
        <f t="shared" si="374"/>
        <v>1</v>
      </c>
      <c r="DX208" s="32" t="b">
        <f t="shared" si="375"/>
        <v>0</v>
      </c>
      <c r="DY208" s="32">
        <f t="shared" si="376"/>
        <v>3.6949983526446363E-3</v>
      </c>
      <c r="DZ208" s="32">
        <f t="shared" si="377"/>
        <v>3.6949983526446363E-3</v>
      </c>
      <c r="EA208" s="32" t="e">
        <f t="shared" si="378"/>
        <v>#N/A</v>
      </c>
      <c r="EB208" s="45" t="str">
        <f t="shared" si="379"/>
        <v/>
      </c>
      <c r="EG208" s="32">
        <f t="shared" si="380"/>
        <v>198</v>
      </c>
      <c r="EH208" s="32">
        <f t="shared" si="381"/>
        <v>199</v>
      </c>
      <c r="EI208" s="32">
        <f t="shared" si="382"/>
        <v>1.6529149544618535</v>
      </c>
      <c r="EJ208" s="32">
        <f t="shared" si="383"/>
        <v>0.10177381209387595</v>
      </c>
      <c r="EK208" s="32" t="e">
        <f t="shared" si="384"/>
        <v>#N/A</v>
      </c>
      <c r="EL208" s="32" t="e">
        <f t="shared" si="385"/>
        <v>#N/A</v>
      </c>
      <c r="EM208" s="32" t="e">
        <f t="shared" si="386"/>
        <v>#N/A</v>
      </c>
      <c r="EN208" s="32" t="b">
        <f t="shared" si="387"/>
        <v>0</v>
      </c>
      <c r="EO208" s="32" t="b">
        <f t="shared" si="388"/>
        <v>1</v>
      </c>
      <c r="EP208" s="32" t="b">
        <f t="shared" si="389"/>
        <v>0</v>
      </c>
      <c r="EQ208" s="32" t="b">
        <f t="shared" si="390"/>
        <v>1</v>
      </c>
      <c r="ER208" s="32">
        <f t="shared" si="391"/>
        <v>0.10177381209387595</v>
      </c>
      <c r="ES208" s="32" t="e">
        <f t="shared" si="392"/>
        <v>#N/A</v>
      </c>
      <c r="ET208" s="32">
        <f t="shared" si="393"/>
        <v>0.10177381209387595</v>
      </c>
      <c r="EU208" s="45" t="str">
        <f t="shared" si="394"/>
        <v/>
      </c>
      <c r="EV20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8" s="32" t="e" cm="1">
        <f t="array" ref="EY208">IF($CR$3,INDEX(Eu_tabel_a[[#This Row],[Styrke venstre]:[Styrke tosidet]],EY$7),NA())</f>
        <v>#N/A</v>
      </c>
      <c r="EZ208" s="32" t="e">
        <f>IF(EY$3,IF(CHOOSE(EY$7,Eu_tabel_a[[#This Row],[x base]]&gt;0,Eu_tabel_a[[#This Row],[x base]]&lt;0,Eu_tabel_a[[#This Row],[x base]]=0),1,NA()),NA())</f>
        <v>#N/A</v>
      </c>
      <c r="FA208" s="32" t="e">
        <f>IF(CHOOSE(EY$7,Eu_tabel_a[[#This Row],[x base]]&gt;0,Eu_tabel_a[[#This Row],[x base]]&lt;0,Eu_tabel_a[[#This Row],[x base]]=0),Eu_tabel_a[[#This Row],[Styrke, aktiv]],NA())</f>
        <v>#N/A</v>
      </c>
      <c r="FB208" s="32" t="e">
        <f>IFERROR(IF($EY$3,Eu_tabel_a[[#This Row],[Styrke, aktiv]],NA()),NA())</f>
        <v>#N/A</v>
      </c>
      <c r="FC208" s="32" t="e">
        <f>IF(ISNA(Eu_tabel_a[[#This Row],[Sand negativ
Nulhypotese afvises
Korrekt]]),NA(),IF(EY$3,1,NA()))</f>
        <v>#N/A</v>
      </c>
      <c r="FD208" s="33" t="str" cm="1">
        <f t="array" ref="FD208">IFERROR(_xlfn.SWITCH(Eu_tabel_a[[#This Row],[Indeks]],_xlfn.IFNA(FB$2,-99),FB$5,_xlfn.IFNA(FB$3,-99),FB$6,_xlfn.IFNA(FB$4,-99),FB$7,""),"")</f>
        <v/>
      </c>
      <c r="FE208" s="32">
        <f>Eu_tabel_a[[#This Row],[x base]]*SQRT(Eu_a_h0_x*(1-Eu_a_h0_x)/Eu_a_n_x)+Eu_a_h0_x</f>
        <v>0</v>
      </c>
      <c r="FJ208" s="74" t="e">
        <f t="shared" si="338"/>
        <v>#N/A</v>
      </c>
      <c r="FK208" s="82" t="e">
        <f t="shared" si="322"/>
        <v>#DIV/0!</v>
      </c>
      <c r="FL208" s="7" t="e">
        <f t="shared" si="332"/>
        <v>#DIV/0!</v>
      </c>
      <c r="FM208" t="e">
        <f t="shared" si="323"/>
        <v>#DIV/0!</v>
      </c>
      <c r="FN208" s="8" t="e">
        <f t="shared" si="324"/>
        <v>#DIV/0!</v>
      </c>
      <c r="FO208" s="8" t="e">
        <f t="shared" si="325"/>
        <v>#DIV/0!</v>
      </c>
      <c r="FP208" s="81" t="e">
        <f t="shared" si="326"/>
        <v>#DIV/0!</v>
      </c>
      <c r="FQ208" s="74" t="e">
        <f t="shared" ca="1" si="333"/>
        <v>#N/A</v>
      </c>
      <c r="FR208" s="82" t="e" vm="3">
        <f t="shared" ca="1" si="339"/>
        <v>#VALUE!</v>
      </c>
      <c r="FS208" s="7" t="e" vm="3">
        <f t="shared" ca="1" si="334"/>
        <v>#VALUE!</v>
      </c>
      <c r="FT208" t="e" vm="3">
        <f t="shared" ca="1" si="328"/>
        <v>#VALUE!</v>
      </c>
      <c r="FU208" s="8" t="e" vm="3">
        <f t="shared" ca="1" si="329"/>
        <v>#VALUE!</v>
      </c>
      <c r="FV208" s="8" t="e" vm="3">
        <f t="shared" ca="1" si="330"/>
        <v>#VALUE!</v>
      </c>
      <c r="FW208" s="81" t="e" vm="3">
        <f t="shared" ca="1" si="331"/>
        <v>#VALUE!</v>
      </c>
      <c r="FX208" s="74" t="e">
        <f t="shared" si="335"/>
        <v>#N/A</v>
      </c>
      <c r="FY208" s="82" t="e">
        <f t="shared" si="340"/>
        <v>#N/A</v>
      </c>
      <c r="FZ208" s="7" t="e">
        <f t="shared" si="336"/>
        <v>#N/A</v>
      </c>
      <c r="GA208" t="e">
        <f t="shared" si="341"/>
        <v>#N/A</v>
      </c>
      <c r="GB208" s="8" t="e">
        <f t="shared" si="342"/>
        <v>#N/A</v>
      </c>
      <c r="GC208" s="8" t="e">
        <f t="shared" si="343"/>
        <v>#N/A</v>
      </c>
      <c r="GD208" s="81" t="e">
        <f t="shared" si="344"/>
        <v>#N/A</v>
      </c>
      <c r="GE208" s="74" t="e">
        <f t="shared" si="345"/>
        <v>#N/A</v>
      </c>
      <c r="GF208" s="82" t="e">
        <f t="shared" si="346"/>
        <v>#N/A</v>
      </c>
      <c r="GG208" s="7" t="e">
        <f t="shared" si="337"/>
        <v>#N/A</v>
      </c>
      <c r="GH208" t="e">
        <f t="shared" si="347"/>
        <v>#N/A</v>
      </c>
      <c r="GI208" s="8" t="e">
        <f t="shared" si="348"/>
        <v>#N/A</v>
      </c>
      <c r="GJ208" s="8" t="e">
        <f t="shared" si="349"/>
        <v>#N/A</v>
      </c>
      <c r="GK208" s="81" t="e">
        <f t="shared" si="350"/>
        <v>#N/A</v>
      </c>
      <c r="GL208" s="81"/>
      <c r="GM208" s="81"/>
      <c r="GP208" s="32">
        <f t="shared" si="395"/>
        <v>198</v>
      </c>
      <c r="GQ208" s="32">
        <f t="shared" si="396"/>
        <v>199</v>
      </c>
      <c r="GR208" s="32">
        <f t="shared" si="397"/>
        <v>1.6529149544618535</v>
      </c>
      <c r="GS208" s="32">
        <f t="shared" si="398"/>
        <v>0.10177381209387595</v>
      </c>
      <c r="GT208" s="32" t="e">
        <f t="shared" si="399"/>
        <v>#N/A</v>
      </c>
      <c r="GU208" s="32" t="e">
        <f t="shared" si="400"/>
        <v>#N/A</v>
      </c>
      <c r="GV208" s="32" t="e">
        <f t="shared" si="401"/>
        <v>#N/A</v>
      </c>
      <c r="GW208" s="32" t="b">
        <f t="shared" si="402"/>
        <v>0</v>
      </c>
      <c r="GX208" s="32" t="b">
        <f t="shared" si="403"/>
        <v>1</v>
      </c>
      <c r="GY208" s="32" t="b">
        <f t="shared" si="404"/>
        <v>0</v>
      </c>
      <c r="GZ208" s="32" t="b">
        <f t="shared" si="405"/>
        <v>1</v>
      </c>
      <c r="HA208" s="32">
        <f t="shared" si="406"/>
        <v>0.10177381209387595</v>
      </c>
      <c r="HB208" s="32" t="e">
        <f t="shared" si="407"/>
        <v>#N/A</v>
      </c>
      <c r="HC208" s="32">
        <f t="shared" si="408"/>
        <v>0.10177381209387595</v>
      </c>
      <c r="HD208" s="45" t="str">
        <f t="shared" si="409"/>
        <v/>
      </c>
      <c r="HJ208" s="32">
        <f t="shared" si="410"/>
        <v>198</v>
      </c>
      <c r="HK208" s="32">
        <f t="shared" si="411"/>
        <v>199</v>
      </c>
      <c r="HL208" s="32">
        <f t="shared" si="412"/>
        <v>2.5595735222949223</v>
      </c>
      <c r="HM208" s="32" t="e">
        <f t="shared" si="413"/>
        <v>#N/A</v>
      </c>
      <c r="HN208" s="32">
        <f t="shared" si="414"/>
        <v>2.7409711035389889E-2</v>
      </c>
      <c r="HO208" s="32" t="e">
        <f t="shared" si="415"/>
        <v>#N/A</v>
      </c>
      <c r="HP208" s="32" t="e">
        <f t="shared" si="416"/>
        <v>#N/A</v>
      </c>
      <c r="HQ208" s="32" t="b">
        <f t="shared" si="417"/>
        <v>0</v>
      </c>
      <c r="HR208" s="32" t="b">
        <f t="shared" si="418"/>
        <v>1</v>
      </c>
      <c r="HS208" s="32" t="b">
        <f t="shared" si="419"/>
        <v>1</v>
      </c>
      <c r="HT208" s="32" t="b">
        <f t="shared" si="420"/>
        <v>0</v>
      </c>
      <c r="HU208" s="32">
        <f t="shared" si="421"/>
        <v>2.7409711035389889E-2</v>
      </c>
      <c r="HV208" s="32" t="e">
        <f t="shared" si="422"/>
        <v>#N/A</v>
      </c>
      <c r="HW208" s="32">
        <f t="shared" si="423"/>
        <v>2.7409711035389889E-2</v>
      </c>
      <c r="HX208" s="45" t="str">
        <f t="shared" si="424"/>
        <v/>
      </c>
    </row>
    <row r="209" spans="78:232" x14ac:dyDescent="0.2">
      <c r="BZ209" s="32">
        <f t="shared" si="351"/>
        <v>199</v>
      </c>
      <c r="CA209" s="32">
        <f>Eu_tabel_g[[#This Row],[Indeks]]+1</f>
        <v>200</v>
      </c>
      <c r="CB209" s="32">
        <f t="shared" si="352"/>
        <v>1.6768702436569525</v>
      </c>
      <c r="CC209" s="32">
        <f t="shared" si="353"/>
        <v>9.7794646741326E-2</v>
      </c>
      <c r="CD209" s="32" t="e">
        <f t="shared" si="354"/>
        <v>#N/A</v>
      </c>
      <c r="CE209" s="32" t="e">
        <f t="shared" si="355"/>
        <v>#N/A</v>
      </c>
      <c r="CF209" s="32" t="e">
        <f t="shared" si="356"/>
        <v>#N/A</v>
      </c>
      <c r="CG209" s="32" t="b">
        <f t="shared" si="357"/>
        <v>0</v>
      </c>
      <c r="CH209" s="32" t="b">
        <f t="shared" si="358"/>
        <v>1</v>
      </c>
      <c r="CI209" s="32" t="b">
        <f t="shared" si="359"/>
        <v>0</v>
      </c>
      <c r="CJ209" s="32" t="b">
        <f t="shared" si="360"/>
        <v>1</v>
      </c>
      <c r="CK209" s="32">
        <f t="shared" si="327"/>
        <v>9.7794646741326E-2</v>
      </c>
      <c r="CL209" s="32" t="e">
        <f t="shared" si="361"/>
        <v>#N/A</v>
      </c>
      <c r="CM209" s="32">
        <f t="shared" si="362"/>
        <v>9.7794646741326E-2</v>
      </c>
      <c r="CN209" s="45" t="str">
        <f t="shared" si="363"/>
        <v/>
      </c>
      <c r="CO209" s="32">
        <f>_xlfn.NORM.DIST(_xlfn.NORM.INV(1-Eu_g_konfidensniveau,0,1)-Eu_tabel_g[[#This Row],[x base]],0,1,TRUE)</f>
        <v>4.4731590849217021E-4</v>
      </c>
      <c r="CP209" s="32">
        <f>1-_xlfn.NORM.DIST(_xlfn.NORM.INV(Eu_g_konfidensniveau,0,1)-Eu_tabel_g[[#This Row],[x base]],0,1,TRUE)</f>
        <v>0.51277060026206978</v>
      </c>
      <c r="CQ209" s="32">
        <f>_xlfn.NORM.DIST(_xlfn.NORM.INV((1-Eu_g_konfidensniveau)/2,0,1)-Eu_tabel_g[[#This Row],[x base]],0,1,TRUE)+1-_xlfn.NORM.DIST(_xlfn.NORM.INV(1-(1-Eu_g_konfidensniveau)/2,0,1)-Eu_tabel_g[[#This Row],[x base]],0,1,TRUE)</f>
        <v>0.38869049445814374</v>
      </c>
      <c r="CR209" s="32" t="e" cm="1">
        <f t="array" ref="CR209">IF($CR$3,INDEX(Eu_tabel_g[[#This Row],[Styrke venstre]:[Styrke tosidet]],CR$7),NA())</f>
        <v>#N/A</v>
      </c>
      <c r="CS209" s="52" t="e">
        <f>Eu_tabel_g[[#This Row],[Falsk positiv
Nulhypotese accepteres
Fejltype 1]]</f>
        <v>#N/A</v>
      </c>
      <c r="CT209" s="52" t="e">
        <f>IF(CHOOSE(CR$7,Eu_tabel_g[[#This Row],[x base]]&gt;0,Eu_tabel_g[[#This Row],[x base]]&lt;0,Eu_tabel_g[[#This Row],[x base]]=0),Eu_tabel_g[[#This Row],[Styrke, aktiv]],NA())</f>
        <v>#N/A</v>
      </c>
      <c r="CU209" s="52" t="e">
        <f>IFERROR(IF($CR$3,Eu_tabel_g[[#This Row],[Styrke, aktiv]],NA()),NA())</f>
        <v>#N/A</v>
      </c>
      <c r="CV209" s="52" t="e">
        <f>IF(ISNA(Eu_tabel_g[[#This Row],[Sand negativ
Nulhypotese afvises
Korrekt]]),NA(),IF($CR$3,1,NA()))</f>
        <v>#N/A</v>
      </c>
      <c r="CW209" s="34" t="str" cm="1">
        <f t="array" ref="CW209">_xlfn.SWITCH(BZ209,_xlfn.IFNA(CU$2,-99),CU$5,_xlfn.IFNA(CU$3,-99),CU$6,_xlfn.IFNA(CU$4,-99),CU$7,"")</f>
        <v/>
      </c>
      <c r="DA209" s="7">
        <f t="shared" si="364"/>
        <v>0.8</v>
      </c>
      <c r="DB209">
        <f>IF(ROW(Styrkeberegning_G[[#This Row],[X base venstre]])=ROW(Styrkeberegning_G[[#Headers],[X base venstre]])+1,DB$7/(DA$7/$B$67),DB208/(DA208/$B$67))</f>
        <v>-2.8015817870135784</v>
      </c>
      <c r="DC209">
        <f>Styrkeberegning_G[[#This Row],[X base venstre]]*-1</f>
        <v>2.8015817870135784</v>
      </c>
      <c r="DN209" s="32">
        <f t="shared" si="365"/>
        <v>199</v>
      </c>
      <c r="DO209" s="32">
        <f t="shared" si="366"/>
        <v>200</v>
      </c>
      <c r="DP209" s="32">
        <f t="shared" si="367"/>
        <v>24.533953091636889</v>
      </c>
      <c r="DQ209" s="32" t="e">
        <f t="shared" si="368"/>
        <v>#N/A</v>
      </c>
      <c r="DR209" s="32" t="e">
        <f t="shared" si="369"/>
        <v>#N/A</v>
      </c>
      <c r="DS209" s="32">
        <f t="shared" si="370"/>
        <v>3.564116746841857E-3</v>
      </c>
      <c r="DT209" s="32" t="e">
        <f t="shared" si="371"/>
        <v>#N/A</v>
      </c>
      <c r="DU209" s="32" t="b">
        <f t="shared" si="372"/>
        <v>0</v>
      </c>
      <c r="DV209" s="32" t="b">
        <f t="shared" si="373"/>
        <v>1</v>
      </c>
      <c r="DW209" s="32" t="b">
        <f t="shared" si="374"/>
        <v>1</v>
      </c>
      <c r="DX209" s="32" t="b">
        <f t="shared" si="375"/>
        <v>0</v>
      </c>
      <c r="DY209" s="32">
        <f t="shared" si="376"/>
        <v>3.564116746841857E-3</v>
      </c>
      <c r="DZ209" s="32">
        <f t="shared" si="377"/>
        <v>3.564116746841857E-3</v>
      </c>
      <c r="EA209" s="32" t="e">
        <f t="shared" si="378"/>
        <v>#N/A</v>
      </c>
      <c r="EB209" s="45" t="str">
        <f t="shared" si="379"/>
        <v/>
      </c>
      <c r="EG209" s="32">
        <f t="shared" si="380"/>
        <v>199</v>
      </c>
      <c r="EH209" s="32">
        <f t="shared" si="381"/>
        <v>200</v>
      </c>
      <c r="EI209" s="32">
        <f t="shared" si="382"/>
        <v>1.6768702436569525</v>
      </c>
      <c r="EJ209" s="32">
        <f t="shared" si="383"/>
        <v>9.7794646741326E-2</v>
      </c>
      <c r="EK209" s="32" t="e">
        <f t="shared" si="384"/>
        <v>#N/A</v>
      </c>
      <c r="EL209" s="32" t="e">
        <f t="shared" si="385"/>
        <v>#N/A</v>
      </c>
      <c r="EM209" s="32" t="e">
        <f t="shared" si="386"/>
        <v>#N/A</v>
      </c>
      <c r="EN209" s="32" t="b">
        <f t="shared" si="387"/>
        <v>0</v>
      </c>
      <c r="EO209" s="32" t="b">
        <f t="shared" si="388"/>
        <v>1</v>
      </c>
      <c r="EP209" s="32" t="b">
        <f t="shared" si="389"/>
        <v>0</v>
      </c>
      <c r="EQ209" s="32" t="b">
        <f t="shared" si="390"/>
        <v>1</v>
      </c>
      <c r="ER209" s="32">
        <f t="shared" si="391"/>
        <v>9.7794646741326E-2</v>
      </c>
      <c r="ES209" s="32" t="e">
        <f t="shared" si="392"/>
        <v>#N/A</v>
      </c>
      <c r="ET209" s="32">
        <f t="shared" si="393"/>
        <v>9.7794646741326E-2</v>
      </c>
      <c r="EU209" s="45" t="str">
        <f t="shared" si="394"/>
        <v/>
      </c>
      <c r="EV20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9" s="32" t="e" cm="1">
        <f t="array" ref="EY209">IF($CR$3,INDEX(Eu_tabel_a[[#This Row],[Styrke venstre]:[Styrke tosidet]],EY$7),NA())</f>
        <v>#N/A</v>
      </c>
      <c r="EZ209" s="32" t="e">
        <f>IF(EY$3,IF(CHOOSE(EY$7,Eu_tabel_a[[#This Row],[x base]]&gt;0,Eu_tabel_a[[#This Row],[x base]]&lt;0,Eu_tabel_a[[#This Row],[x base]]=0),1,NA()),NA())</f>
        <v>#N/A</v>
      </c>
      <c r="FA209" s="32" t="e">
        <f>IF(CHOOSE(EY$7,Eu_tabel_a[[#This Row],[x base]]&gt;0,Eu_tabel_a[[#This Row],[x base]]&lt;0,Eu_tabel_a[[#This Row],[x base]]=0),Eu_tabel_a[[#This Row],[Styrke, aktiv]],NA())</f>
        <v>#N/A</v>
      </c>
      <c r="FB209" s="32" t="e">
        <f>IFERROR(IF($EY$3,Eu_tabel_a[[#This Row],[Styrke, aktiv]],NA()),NA())</f>
        <v>#N/A</v>
      </c>
      <c r="FC209" s="32" t="e">
        <f>IF(ISNA(Eu_tabel_a[[#This Row],[Sand negativ
Nulhypotese afvises
Korrekt]]),NA(),IF(EY$3,1,NA()))</f>
        <v>#N/A</v>
      </c>
      <c r="FD209" s="33" t="str" cm="1">
        <f t="array" ref="FD209">IFERROR(_xlfn.SWITCH(Eu_tabel_a[[#This Row],[Indeks]],_xlfn.IFNA(FB$2,-99),FB$5,_xlfn.IFNA(FB$3,-99),FB$6,_xlfn.IFNA(FB$4,-99),FB$7,""),"")</f>
        <v/>
      </c>
      <c r="FE209" s="32">
        <f>Eu_tabel_a[[#This Row],[x base]]*SQRT(Eu_a_h0_x*(1-Eu_a_h0_x)/Eu_a_n_x)+Eu_a_h0_x</f>
        <v>0</v>
      </c>
      <c r="FJ209" s="74" t="e">
        <f t="shared" si="338"/>
        <v>#N/A</v>
      </c>
      <c r="FK209" s="82" t="e">
        <f t="shared" si="322"/>
        <v>#DIV/0!</v>
      </c>
      <c r="FL209" s="7" t="e">
        <f t="shared" si="332"/>
        <v>#DIV/0!</v>
      </c>
      <c r="FM209" t="e">
        <f t="shared" si="323"/>
        <v>#DIV/0!</v>
      </c>
      <c r="FN209" s="8" t="e">
        <f t="shared" si="324"/>
        <v>#DIV/0!</v>
      </c>
      <c r="FO209" s="8" t="e">
        <f t="shared" si="325"/>
        <v>#DIV/0!</v>
      </c>
      <c r="FP209" s="81" t="e">
        <f t="shared" si="326"/>
        <v>#DIV/0!</v>
      </c>
      <c r="FQ209" s="74" t="e">
        <f t="shared" ca="1" si="333"/>
        <v>#N/A</v>
      </c>
      <c r="FR209" s="82" t="e" vm="3">
        <f t="shared" ca="1" si="339"/>
        <v>#VALUE!</v>
      </c>
      <c r="FS209" s="7" t="e" vm="3">
        <f t="shared" ca="1" si="334"/>
        <v>#VALUE!</v>
      </c>
      <c r="FT209" t="e" vm="3">
        <f t="shared" ca="1" si="328"/>
        <v>#VALUE!</v>
      </c>
      <c r="FU209" s="8" t="e" vm="3">
        <f t="shared" ca="1" si="329"/>
        <v>#VALUE!</v>
      </c>
      <c r="FV209" s="8" t="e" vm="3">
        <f t="shared" ca="1" si="330"/>
        <v>#VALUE!</v>
      </c>
      <c r="FW209" s="81" t="e" vm="3">
        <f t="shared" ca="1" si="331"/>
        <v>#VALUE!</v>
      </c>
      <c r="FX209" s="74" t="e">
        <f t="shared" si="335"/>
        <v>#N/A</v>
      </c>
      <c r="FY209" s="82" t="e">
        <f t="shared" si="340"/>
        <v>#N/A</v>
      </c>
      <c r="FZ209" s="7" t="e">
        <f t="shared" si="336"/>
        <v>#N/A</v>
      </c>
      <c r="GA209" t="e">
        <f t="shared" si="341"/>
        <v>#N/A</v>
      </c>
      <c r="GB209" s="8" t="e">
        <f t="shared" si="342"/>
        <v>#N/A</v>
      </c>
      <c r="GC209" s="8" t="e">
        <f t="shared" si="343"/>
        <v>#N/A</v>
      </c>
      <c r="GD209" s="81" t="e">
        <f t="shared" si="344"/>
        <v>#N/A</v>
      </c>
      <c r="GE209" s="74" t="e">
        <f t="shared" si="345"/>
        <v>#N/A</v>
      </c>
      <c r="GF209" s="82" t="e">
        <f t="shared" si="346"/>
        <v>#N/A</v>
      </c>
      <c r="GG209" s="7" t="e">
        <f t="shared" si="337"/>
        <v>#N/A</v>
      </c>
      <c r="GH209" t="e">
        <f t="shared" si="347"/>
        <v>#N/A</v>
      </c>
      <c r="GI209" s="8" t="e">
        <f t="shared" si="348"/>
        <v>#N/A</v>
      </c>
      <c r="GJ209" s="8" t="e">
        <f t="shared" si="349"/>
        <v>#N/A</v>
      </c>
      <c r="GK209" s="81" t="e">
        <f t="shared" si="350"/>
        <v>#N/A</v>
      </c>
      <c r="GL209" s="81"/>
      <c r="GM209" s="81"/>
      <c r="GP209" s="32">
        <f t="shared" si="395"/>
        <v>199</v>
      </c>
      <c r="GQ209" s="32">
        <f t="shared" si="396"/>
        <v>200</v>
      </c>
      <c r="GR209" s="32">
        <f t="shared" si="397"/>
        <v>1.6768702436569525</v>
      </c>
      <c r="GS209" s="32">
        <f t="shared" si="398"/>
        <v>9.7794646741326E-2</v>
      </c>
      <c r="GT209" s="32" t="e">
        <f t="shared" si="399"/>
        <v>#N/A</v>
      </c>
      <c r="GU209" s="32" t="e">
        <f t="shared" si="400"/>
        <v>#N/A</v>
      </c>
      <c r="GV209" s="32" t="e">
        <f t="shared" si="401"/>
        <v>#N/A</v>
      </c>
      <c r="GW209" s="32" t="b">
        <f t="shared" si="402"/>
        <v>0</v>
      </c>
      <c r="GX209" s="32" t="b">
        <f t="shared" si="403"/>
        <v>1</v>
      </c>
      <c r="GY209" s="32" t="b">
        <f t="shared" si="404"/>
        <v>0</v>
      </c>
      <c r="GZ209" s="32" t="b">
        <f t="shared" si="405"/>
        <v>1</v>
      </c>
      <c r="HA209" s="32">
        <f t="shared" si="406"/>
        <v>9.7794646741326E-2</v>
      </c>
      <c r="HB209" s="32" t="e">
        <f t="shared" si="407"/>
        <v>#N/A</v>
      </c>
      <c r="HC209" s="32">
        <f t="shared" si="408"/>
        <v>9.7794646741326E-2</v>
      </c>
      <c r="HD209" s="45" t="str">
        <f t="shared" si="409"/>
        <v/>
      </c>
      <c r="HJ209" s="32">
        <f t="shared" si="410"/>
        <v>199</v>
      </c>
      <c r="HK209" s="32">
        <f t="shared" si="411"/>
        <v>200</v>
      </c>
      <c r="HL209" s="32">
        <f t="shared" si="412"/>
        <v>2.5966687907339798</v>
      </c>
      <c r="HM209" s="32" t="e">
        <f t="shared" si="413"/>
        <v>#N/A</v>
      </c>
      <c r="HN209" s="32">
        <f t="shared" si="414"/>
        <v>2.5915309276453979E-2</v>
      </c>
      <c r="HO209" s="32" t="e">
        <f t="shared" si="415"/>
        <v>#N/A</v>
      </c>
      <c r="HP209" s="32" t="e">
        <f t="shared" si="416"/>
        <v>#N/A</v>
      </c>
      <c r="HQ209" s="32" t="b">
        <f t="shared" si="417"/>
        <v>0</v>
      </c>
      <c r="HR209" s="32" t="b">
        <f t="shared" si="418"/>
        <v>1</v>
      </c>
      <c r="HS209" s="32" t="b">
        <f t="shared" si="419"/>
        <v>1</v>
      </c>
      <c r="HT209" s="32" t="b">
        <f t="shared" si="420"/>
        <v>0</v>
      </c>
      <c r="HU209" s="32">
        <f t="shared" si="421"/>
        <v>2.5915309276453979E-2</v>
      </c>
      <c r="HV209" s="32" t="e">
        <f t="shared" si="422"/>
        <v>#N/A</v>
      </c>
      <c r="HW209" s="32">
        <f t="shared" si="423"/>
        <v>2.5915309276453979E-2</v>
      </c>
      <c r="HX209" s="45" t="str">
        <f t="shared" si="424"/>
        <v/>
      </c>
    </row>
    <row r="210" spans="78:232" x14ac:dyDescent="0.2">
      <c r="BZ210" s="32">
        <f t="shared" si="351"/>
        <v>200</v>
      </c>
      <c r="CA210" s="32">
        <f>Eu_tabel_g[[#This Row],[Indeks]]+1</f>
        <v>201</v>
      </c>
      <c r="CB210" s="32">
        <f t="shared" si="352"/>
        <v>1.7008255328520523</v>
      </c>
      <c r="CC210" s="32">
        <f t="shared" si="353"/>
        <v>9.3917148922940161E-2</v>
      </c>
      <c r="CD210" s="32" t="e">
        <f t="shared" si="354"/>
        <v>#N/A</v>
      </c>
      <c r="CE210" s="32" t="e">
        <f t="shared" si="355"/>
        <v>#N/A</v>
      </c>
      <c r="CF210" s="32" t="e">
        <f t="shared" si="356"/>
        <v>#N/A</v>
      </c>
      <c r="CG210" s="32" t="b">
        <f t="shared" si="357"/>
        <v>0</v>
      </c>
      <c r="CH210" s="32" t="b">
        <f t="shared" si="358"/>
        <v>1</v>
      </c>
      <c r="CI210" s="32" t="b">
        <f t="shared" si="359"/>
        <v>0</v>
      </c>
      <c r="CJ210" s="32" t="b">
        <f t="shared" si="360"/>
        <v>1</v>
      </c>
      <c r="CK210" s="32">
        <f t="shared" si="327"/>
        <v>9.3917148922940161E-2</v>
      </c>
      <c r="CL210" s="32" t="e">
        <f t="shared" si="361"/>
        <v>#N/A</v>
      </c>
      <c r="CM210" s="32">
        <f t="shared" si="362"/>
        <v>9.3917148922940161E-2</v>
      </c>
      <c r="CN210" s="45" t="str">
        <f t="shared" si="363"/>
        <v/>
      </c>
      <c r="CO210" s="32">
        <f>_xlfn.NORM.DIST(_xlfn.NORM.INV(1-Eu_g_konfidensniveau,0,1)-Eu_tabel_g[[#This Row],[x base]],0,1,TRUE)</f>
        <v>4.1040656259575155E-4</v>
      </c>
      <c r="CP210" s="32">
        <f>1-_xlfn.NORM.DIST(_xlfn.NORM.INV(Eu_g_konfidensniveau,0,1)-Eu_tabel_g[[#This Row],[x base]],0,1,TRUE)</f>
        <v>0.52231790604596395</v>
      </c>
      <c r="CQ210" s="32">
        <f>_xlfn.NORM.DIST(_xlfn.NORM.INV((1-Eu_g_konfidensniveau)/2,0,1)-Eu_tabel_g[[#This Row],[x base]],0,1,TRUE)+1-_xlfn.NORM.DIST(_xlfn.NORM.INV(1-(1-Eu_g_konfidensniveau)/2,0,1)-Eu_tabel_g[[#This Row],[x base]],0,1,TRUE)</f>
        <v>0.39788992846045113</v>
      </c>
      <c r="CR210" s="32" t="e" cm="1">
        <f t="array" ref="CR210">IF($CR$3,INDEX(Eu_tabel_g[[#This Row],[Styrke venstre]:[Styrke tosidet]],CR$7),NA())</f>
        <v>#N/A</v>
      </c>
      <c r="CS210" s="52" t="e">
        <f>Eu_tabel_g[[#This Row],[Falsk positiv
Nulhypotese accepteres
Fejltype 1]]</f>
        <v>#N/A</v>
      </c>
      <c r="CT210" s="52" t="e">
        <f>IF(CHOOSE(CR$7,Eu_tabel_g[[#This Row],[x base]]&gt;0,Eu_tabel_g[[#This Row],[x base]]&lt;0,Eu_tabel_g[[#This Row],[x base]]=0),Eu_tabel_g[[#This Row],[Styrke, aktiv]],NA())</f>
        <v>#N/A</v>
      </c>
      <c r="CU210" s="52" t="e">
        <f>IFERROR(IF($CR$3,Eu_tabel_g[[#This Row],[Styrke, aktiv]],NA()),NA())</f>
        <v>#N/A</v>
      </c>
      <c r="CV210" s="52" t="e">
        <f>IF(ISNA(Eu_tabel_g[[#This Row],[Sand negativ
Nulhypotese afvises
Korrekt]]),NA(),IF($CR$3,1,NA()))</f>
        <v>#N/A</v>
      </c>
      <c r="CW210" s="34" t="str" cm="1">
        <f t="array" ref="CW210">_xlfn.SWITCH(BZ210,_xlfn.IFNA(CU$2,-99),CU$5,_xlfn.IFNA(CU$3,-99),CU$6,_xlfn.IFNA(CU$4,-99),CU$7,"")</f>
        <v/>
      </c>
      <c r="DA210" s="7">
        <f t="shared" si="364"/>
        <v>0.8</v>
      </c>
      <c r="DB210">
        <f>IF(ROW(Styrkeberegning_G[[#This Row],[X base venstre]])=ROW(Styrkeberegning_G[[#Headers],[X base venstre]])+1,DB$7/(DA$7/$B$67),DB209/(DA209/$B$67))</f>
        <v>-2.8015817870135784</v>
      </c>
      <c r="DC210">
        <f>Styrkeberegning_G[[#This Row],[X base venstre]]*-1</f>
        <v>2.8015817870135784</v>
      </c>
      <c r="DN210" s="32">
        <f t="shared" si="365"/>
        <v>200</v>
      </c>
      <c r="DO210" s="32">
        <f t="shared" si="366"/>
        <v>201</v>
      </c>
      <c r="DP210" s="32">
        <f t="shared" si="367"/>
        <v>24.64802394805389</v>
      </c>
      <c r="DQ210" s="32" t="e">
        <f t="shared" si="368"/>
        <v>#N/A</v>
      </c>
      <c r="DR210" s="32" t="e">
        <f t="shared" si="369"/>
        <v>#N/A</v>
      </c>
      <c r="DS210" s="32">
        <f t="shared" si="370"/>
        <v>3.4375367102795801E-3</v>
      </c>
      <c r="DT210" s="32" t="e">
        <f t="shared" si="371"/>
        <v>#N/A</v>
      </c>
      <c r="DU210" s="32" t="b">
        <f t="shared" si="372"/>
        <v>0</v>
      </c>
      <c r="DV210" s="32" t="b">
        <f t="shared" si="373"/>
        <v>1</v>
      </c>
      <c r="DW210" s="32" t="b">
        <f t="shared" si="374"/>
        <v>1</v>
      </c>
      <c r="DX210" s="32" t="b">
        <f t="shared" si="375"/>
        <v>0</v>
      </c>
      <c r="DY210" s="32">
        <f t="shared" si="376"/>
        <v>3.4375367102795801E-3</v>
      </c>
      <c r="DZ210" s="32">
        <f t="shared" si="377"/>
        <v>3.4375367102795801E-3</v>
      </c>
      <c r="EA210" s="32" t="e">
        <f t="shared" si="378"/>
        <v>#N/A</v>
      </c>
      <c r="EB210" s="45" t="str">
        <f t="shared" si="379"/>
        <v/>
      </c>
      <c r="EG210" s="32">
        <f t="shared" si="380"/>
        <v>200</v>
      </c>
      <c r="EH210" s="32">
        <f t="shared" si="381"/>
        <v>201</v>
      </c>
      <c r="EI210" s="32">
        <f t="shared" si="382"/>
        <v>1.7008255328520523</v>
      </c>
      <c r="EJ210" s="32">
        <f t="shared" si="383"/>
        <v>9.3917148922940161E-2</v>
      </c>
      <c r="EK210" s="32" t="e">
        <f t="shared" si="384"/>
        <v>#N/A</v>
      </c>
      <c r="EL210" s="32" t="e">
        <f t="shared" si="385"/>
        <v>#N/A</v>
      </c>
      <c r="EM210" s="32" t="e">
        <f t="shared" si="386"/>
        <v>#N/A</v>
      </c>
      <c r="EN210" s="32" t="b">
        <f t="shared" si="387"/>
        <v>0</v>
      </c>
      <c r="EO210" s="32" t="b">
        <f t="shared" si="388"/>
        <v>1</v>
      </c>
      <c r="EP210" s="32" t="b">
        <f t="shared" si="389"/>
        <v>0</v>
      </c>
      <c r="EQ210" s="32" t="b">
        <f t="shared" si="390"/>
        <v>1</v>
      </c>
      <c r="ER210" s="32">
        <f t="shared" si="391"/>
        <v>9.3917148922940161E-2</v>
      </c>
      <c r="ES210" s="32" t="e">
        <f t="shared" si="392"/>
        <v>#N/A</v>
      </c>
      <c r="ET210" s="32">
        <f t="shared" si="393"/>
        <v>9.3917148922940161E-2</v>
      </c>
      <c r="EU210" s="45" t="str">
        <f t="shared" si="394"/>
        <v/>
      </c>
      <c r="EV21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0" s="32" t="e" cm="1">
        <f t="array" ref="EY210">IF($CR$3,INDEX(Eu_tabel_a[[#This Row],[Styrke venstre]:[Styrke tosidet]],EY$7),NA())</f>
        <v>#N/A</v>
      </c>
      <c r="EZ210" s="32" t="e">
        <f>IF(EY$3,IF(CHOOSE(EY$7,Eu_tabel_a[[#This Row],[x base]]&gt;0,Eu_tabel_a[[#This Row],[x base]]&lt;0,Eu_tabel_a[[#This Row],[x base]]=0),1,NA()),NA())</f>
        <v>#N/A</v>
      </c>
      <c r="FA210" s="32" t="e">
        <f>IF(CHOOSE(EY$7,Eu_tabel_a[[#This Row],[x base]]&gt;0,Eu_tabel_a[[#This Row],[x base]]&lt;0,Eu_tabel_a[[#This Row],[x base]]=0),Eu_tabel_a[[#This Row],[Styrke, aktiv]],NA())</f>
        <v>#N/A</v>
      </c>
      <c r="FB210" s="32" t="e">
        <f>IFERROR(IF($EY$3,Eu_tabel_a[[#This Row],[Styrke, aktiv]],NA()),NA())</f>
        <v>#N/A</v>
      </c>
      <c r="FC210" s="32" t="e">
        <f>IF(ISNA(Eu_tabel_a[[#This Row],[Sand negativ
Nulhypotese afvises
Korrekt]]),NA(),IF(EY$3,1,NA()))</f>
        <v>#N/A</v>
      </c>
      <c r="FD210" s="33" t="str" cm="1">
        <f t="array" ref="FD210">IFERROR(_xlfn.SWITCH(Eu_tabel_a[[#This Row],[Indeks]],_xlfn.IFNA(FB$2,-99),FB$5,_xlfn.IFNA(FB$3,-99),FB$6,_xlfn.IFNA(FB$4,-99),FB$7,""),"")</f>
        <v/>
      </c>
      <c r="FE210" s="32">
        <f>Eu_tabel_a[[#This Row],[x base]]*SQRT(Eu_a_h0_x*(1-Eu_a_h0_x)/Eu_a_n_x)+Eu_a_h0_x</f>
        <v>0</v>
      </c>
      <c r="FJ210" s="74" t="e">
        <f t="shared" si="338"/>
        <v>#N/A</v>
      </c>
      <c r="FK210" s="82" t="e">
        <f t="shared" si="322"/>
        <v>#DIV/0!</v>
      </c>
      <c r="FL210" s="7" t="e">
        <f t="shared" si="332"/>
        <v>#DIV/0!</v>
      </c>
      <c r="FM210" t="e">
        <f t="shared" si="323"/>
        <v>#DIV/0!</v>
      </c>
      <c r="FN210" s="8" t="e">
        <f t="shared" si="324"/>
        <v>#DIV/0!</v>
      </c>
      <c r="FO210" s="8" t="e">
        <f t="shared" si="325"/>
        <v>#DIV/0!</v>
      </c>
      <c r="FP210" s="81" t="e">
        <f t="shared" si="326"/>
        <v>#DIV/0!</v>
      </c>
      <c r="FQ210" s="74" t="e">
        <f t="shared" ca="1" si="333"/>
        <v>#N/A</v>
      </c>
      <c r="FR210" s="82" t="e" vm="3">
        <f t="shared" ca="1" si="339"/>
        <v>#VALUE!</v>
      </c>
      <c r="FS210" s="7" t="e" vm="3">
        <f t="shared" ca="1" si="334"/>
        <v>#VALUE!</v>
      </c>
      <c r="FT210" t="e" vm="3">
        <f t="shared" ca="1" si="328"/>
        <v>#VALUE!</v>
      </c>
      <c r="FU210" s="8" t="e" vm="3">
        <f t="shared" ca="1" si="329"/>
        <v>#VALUE!</v>
      </c>
      <c r="FV210" s="8" t="e" vm="3">
        <f t="shared" ca="1" si="330"/>
        <v>#VALUE!</v>
      </c>
      <c r="FW210" s="81" t="e" vm="3">
        <f t="shared" ca="1" si="331"/>
        <v>#VALUE!</v>
      </c>
      <c r="FX210" s="74" t="e">
        <f t="shared" si="335"/>
        <v>#N/A</v>
      </c>
      <c r="FY210" s="82" t="e">
        <f t="shared" si="340"/>
        <v>#N/A</v>
      </c>
      <c r="FZ210" s="7" t="e">
        <f t="shared" si="336"/>
        <v>#N/A</v>
      </c>
      <c r="GA210" t="e">
        <f t="shared" si="341"/>
        <v>#N/A</v>
      </c>
      <c r="GB210" s="8" t="e">
        <f t="shared" si="342"/>
        <v>#N/A</v>
      </c>
      <c r="GC210" s="8" t="e">
        <f t="shared" si="343"/>
        <v>#N/A</v>
      </c>
      <c r="GD210" s="81" t="e">
        <f t="shared" si="344"/>
        <v>#N/A</v>
      </c>
      <c r="GE210" s="74" t="e">
        <f t="shared" si="345"/>
        <v>#N/A</v>
      </c>
      <c r="GF210" s="82" t="e">
        <f t="shared" si="346"/>
        <v>#N/A</v>
      </c>
      <c r="GG210" s="7" t="e">
        <f t="shared" si="337"/>
        <v>#N/A</v>
      </c>
      <c r="GH210" t="e">
        <f t="shared" si="347"/>
        <v>#N/A</v>
      </c>
      <c r="GI210" s="8" t="e">
        <f t="shared" si="348"/>
        <v>#N/A</v>
      </c>
      <c r="GJ210" s="8" t="e">
        <f t="shared" si="349"/>
        <v>#N/A</v>
      </c>
      <c r="GK210" s="81" t="e">
        <f t="shared" si="350"/>
        <v>#N/A</v>
      </c>
      <c r="GL210" s="81"/>
      <c r="GM210" s="81"/>
      <c r="GP210" s="32">
        <f t="shared" si="395"/>
        <v>200</v>
      </c>
      <c r="GQ210" s="32">
        <f t="shared" si="396"/>
        <v>201</v>
      </c>
      <c r="GR210" s="32">
        <f t="shared" si="397"/>
        <v>1.7008255328520523</v>
      </c>
      <c r="GS210" s="32">
        <f t="shared" si="398"/>
        <v>9.3917148922940161E-2</v>
      </c>
      <c r="GT210" s="32" t="e">
        <f t="shared" si="399"/>
        <v>#N/A</v>
      </c>
      <c r="GU210" s="32" t="e">
        <f t="shared" si="400"/>
        <v>#N/A</v>
      </c>
      <c r="GV210" s="32" t="e">
        <f t="shared" si="401"/>
        <v>#N/A</v>
      </c>
      <c r="GW210" s="32" t="b">
        <f t="shared" si="402"/>
        <v>0</v>
      </c>
      <c r="GX210" s="32" t="b">
        <f t="shared" si="403"/>
        <v>1</v>
      </c>
      <c r="GY210" s="32" t="b">
        <f t="shared" si="404"/>
        <v>0</v>
      </c>
      <c r="GZ210" s="32" t="b">
        <f t="shared" si="405"/>
        <v>1</v>
      </c>
      <c r="HA210" s="32">
        <f t="shared" si="406"/>
        <v>9.3917148922940161E-2</v>
      </c>
      <c r="HB210" s="32" t="e">
        <f t="shared" si="407"/>
        <v>#N/A</v>
      </c>
      <c r="HC210" s="32">
        <f t="shared" si="408"/>
        <v>9.3917148922940161E-2</v>
      </c>
      <c r="HD210" s="45" t="str">
        <f t="shared" si="409"/>
        <v/>
      </c>
      <c r="HJ210" s="32">
        <f t="shared" si="410"/>
        <v>200</v>
      </c>
      <c r="HK210" s="32">
        <f t="shared" si="411"/>
        <v>201</v>
      </c>
      <c r="HL210" s="32">
        <f t="shared" si="412"/>
        <v>2.6337640591730365</v>
      </c>
      <c r="HM210" s="32" t="e">
        <f t="shared" si="413"/>
        <v>#N/A</v>
      </c>
      <c r="HN210" s="32">
        <f t="shared" si="414"/>
        <v>2.4502015153508718E-2</v>
      </c>
      <c r="HO210" s="32" t="e">
        <f t="shared" si="415"/>
        <v>#N/A</v>
      </c>
      <c r="HP210" s="32" t="e">
        <f t="shared" si="416"/>
        <v>#N/A</v>
      </c>
      <c r="HQ210" s="32" t="b">
        <f t="shared" si="417"/>
        <v>0</v>
      </c>
      <c r="HR210" s="32" t="b">
        <f t="shared" si="418"/>
        <v>1</v>
      </c>
      <c r="HS210" s="32" t="b">
        <f t="shared" si="419"/>
        <v>1</v>
      </c>
      <c r="HT210" s="32" t="b">
        <f t="shared" si="420"/>
        <v>0</v>
      </c>
      <c r="HU210" s="32">
        <f t="shared" si="421"/>
        <v>2.4502015153508718E-2</v>
      </c>
      <c r="HV210" s="32" t="e">
        <f t="shared" si="422"/>
        <v>#N/A</v>
      </c>
      <c r="HW210" s="32">
        <f t="shared" si="423"/>
        <v>2.4502015153508718E-2</v>
      </c>
      <c r="HX210" s="45" t="str">
        <f t="shared" si="424"/>
        <v/>
      </c>
    </row>
    <row r="211" spans="78:232" x14ac:dyDescent="0.2">
      <c r="BZ211" s="32">
        <f t="shared" si="351"/>
        <v>201</v>
      </c>
      <c r="CA211" s="32">
        <f>Eu_tabel_g[[#This Row],[Indeks]]+1</f>
        <v>202</v>
      </c>
      <c r="CB211" s="32">
        <f t="shared" si="352"/>
        <v>1.7247808220471512</v>
      </c>
      <c r="CC211" s="32">
        <f t="shared" si="353"/>
        <v>9.0141648356948725E-2</v>
      </c>
      <c r="CD211" s="32" t="e">
        <f t="shared" si="354"/>
        <v>#N/A</v>
      </c>
      <c r="CE211" s="32" t="e">
        <f t="shared" si="355"/>
        <v>#N/A</v>
      </c>
      <c r="CF211" s="32" t="e">
        <f t="shared" si="356"/>
        <v>#N/A</v>
      </c>
      <c r="CG211" s="32" t="b">
        <f t="shared" si="357"/>
        <v>0</v>
      </c>
      <c r="CH211" s="32" t="b">
        <f t="shared" si="358"/>
        <v>1</v>
      </c>
      <c r="CI211" s="32" t="b">
        <f t="shared" si="359"/>
        <v>0</v>
      </c>
      <c r="CJ211" s="32" t="b">
        <f t="shared" si="360"/>
        <v>1</v>
      </c>
      <c r="CK211" s="32">
        <f t="shared" si="327"/>
        <v>9.0141648356948725E-2</v>
      </c>
      <c r="CL211" s="32" t="e">
        <f t="shared" si="361"/>
        <v>#N/A</v>
      </c>
      <c r="CM211" s="32">
        <f t="shared" si="362"/>
        <v>9.0141648356948725E-2</v>
      </c>
      <c r="CN211" s="45" t="str">
        <f t="shared" si="363"/>
        <v/>
      </c>
      <c r="CO211" s="32">
        <f>_xlfn.NORM.DIST(_xlfn.NORM.INV(1-Eu_g_konfidensniveau,0,1)-Eu_tabel_g[[#This Row],[x base]],0,1,TRUE)</f>
        <v>3.7633980985570035E-4</v>
      </c>
      <c r="CP211" s="32">
        <f>1-_xlfn.NORM.DIST(_xlfn.NORM.INV(Eu_g_konfidensniveau,0,1)-Eu_tabel_g[[#This Row],[x base]],0,1,TRUE)</f>
        <v>0.53185241977044739</v>
      </c>
      <c r="CQ211" s="32">
        <f>_xlfn.NORM.DIST(_xlfn.NORM.INV((1-Eu_g_konfidensniveau)/2,0,1)-Eu_tabel_g[[#This Row],[x base]],0,1,TRUE)+1-_xlfn.NORM.DIST(_xlfn.NORM.INV(1-(1-Eu_g_konfidensniveau)/2,0,1)-Eu_tabel_g[[#This Row],[x base]],0,1,TRUE)</f>
        <v>0.40714775290485883</v>
      </c>
      <c r="CR211" s="32" t="e" cm="1">
        <f t="array" ref="CR211">IF($CR$3,INDEX(Eu_tabel_g[[#This Row],[Styrke venstre]:[Styrke tosidet]],CR$7),NA())</f>
        <v>#N/A</v>
      </c>
      <c r="CS211" s="52" t="e">
        <f>Eu_tabel_g[[#This Row],[Falsk positiv
Nulhypotese accepteres
Fejltype 1]]</f>
        <v>#N/A</v>
      </c>
      <c r="CT211" s="52" t="e">
        <f>IF(CHOOSE(CR$7,Eu_tabel_g[[#This Row],[x base]]&gt;0,Eu_tabel_g[[#This Row],[x base]]&lt;0,Eu_tabel_g[[#This Row],[x base]]=0),Eu_tabel_g[[#This Row],[Styrke, aktiv]],NA())</f>
        <v>#N/A</v>
      </c>
      <c r="CU211" s="52" t="e">
        <f>IFERROR(IF($CR$3,Eu_tabel_g[[#This Row],[Styrke, aktiv]],NA()),NA())</f>
        <v>#N/A</v>
      </c>
      <c r="CV211" s="52" t="e">
        <f>IF(ISNA(Eu_tabel_g[[#This Row],[Sand negativ
Nulhypotese afvises
Korrekt]]),NA(),IF($CR$3,1,NA()))</f>
        <v>#N/A</v>
      </c>
      <c r="CW211" s="34" t="str" cm="1">
        <f t="array" ref="CW211">_xlfn.SWITCH(BZ211,_xlfn.IFNA(CU$2,-99),CU$5,_xlfn.IFNA(CU$3,-99),CU$6,_xlfn.IFNA(CU$4,-99),CU$7,"")</f>
        <v/>
      </c>
      <c r="DA211" s="7">
        <f t="shared" si="364"/>
        <v>0.8</v>
      </c>
      <c r="DB211">
        <f>IF(ROW(Styrkeberegning_G[[#This Row],[X base venstre]])=ROW(Styrkeberegning_G[[#Headers],[X base venstre]])+1,DB$7/(DA$7/$B$67),DB210/(DA210/$B$67))</f>
        <v>-2.8015817870135784</v>
      </c>
      <c r="DC211">
        <f>Styrkeberegning_G[[#This Row],[X base venstre]]*-1</f>
        <v>2.8015817870135784</v>
      </c>
      <c r="DN211" s="32">
        <f t="shared" si="365"/>
        <v>201</v>
      </c>
      <c r="DO211" s="32">
        <f t="shared" si="366"/>
        <v>202</v>
      </c>
      <c r="DP211" s="32">
        <f t="shared" si="367"/>
        <v>24.762094804470891</v>
      </c>
      <c r="DQ211" s="32" t="e">
        <f t="shared" si="368"/>
        <v>#N/A</v>
      </c>
      <c r="DR211" s="32" t="e">
        <f t="shared" si="369"/>
        <v>#N/A</v>
      </c>
      <c r="DS211" s="32">
        <f t="shared" si="370"/>
        <v>3.3151326397612151E-3</v>
      </c>
      <c r="DT211" s="32" t="e">
        <f t="shared" si="371"/>
        <v>#N/A</v>
      </c>
      <c r="DU211" s="32" t="b">
        <f t="shared" si="372"/>
        <v>0</v>
      </c>
      <c r="DV211" s="32" t="b">
        <f t="shared" si="373"/>
        <v>1</v>
      </c>
      <c r="DW211" s="32" t="b">
        <f t="shared" si="374"/>
        <v>1</v>
      </c>
      <c r="DX211" s="32" t="b">
        <f t="shared" si="375"/>
        <v>0</v>
      </c>
      <c r="DY211" s="32">
        <f t="shared" si="376"/>
        <v>3.3151326397612151E-3</v>
      </c>
      <c r="DZ211" s="32">
        <f t="shared" si="377"/>
        <v>3.3151326397612151E-3</v>
      </c>
      <c r="EA211" s="32" t="e">
        <f t="shared" si="378"/>
        <v>#N/A</v>
      </c>
      <c r="EB211" s="45" t="str">
        <f t="shared" si="379"/>
        <v/>
      </c>
      <c r="EG211" s="32">
        <f t="shared" si="380"/>
        <v>201</v>
      </c>
      <c r="EH211" s="32">
        <f t="shared" si="381"/>
        <v>202</v>
      </c>
      <c r="EI211" s="32">
        <f t="shared" si="382"/>
        <v>1.7247808220471512</v>
      </c>
      <c r="EJ211" s="32">
        <f t="shared" si="383"/>
        <v>9.0141648356948725E-2</v>
      </c>
      <c r="EK211" s="32" t="e">
        <f t="shared" si="384"/>
        <v>#N/A</v>
      </c>
      <c r="EL211" s="32" t="e">
        <f t="shared" si="385"/>
        <v>#N/A</v>
      </c>
      <c r="EM211" s="32" t="e">
        <f t="shared" si="386"/>
        <v>#N/A</v>
      </c>
      <c r="EN211" s="32" t="b">
        <f t="shared" si="387"/>
        <v>0</v>
      </c>
      <c r="EO211" s="32" t="b">
        <f t="shared" si="388"/>
        <v>1</v>
      </c>
      <c r="EP211" s="32" t="b">
        <f t="shared" si="389"/>
        <v>0</v>
      </c>
      <c r="EQ211" s="32" t="b">
        <f t="shared" si="390"/>
        <v>1</v>
      </c>
      <c r="ER211" s="32">
        <f t="shared" si="391"/>
        <v>9.0141648356948725E-2</v>
      </c>
      <c r="ES211" s="32" t="e">
        <f t="shared" si="392"/>
        <v>#N/A</v>
      </c>
      <c r="ET211" s="32">
        <f t="shared" si="393"/>
        <v>9.0141648356948725E-2</v>
      </c>
      <c r="EU211" s="45" t="str">
        <f t="shared" si="394"/>
        <v/>
      </c>
      <c r="EV21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1" s="32" t="e" cm="1">
        <f t="array" ref="EY211">IF($CR$3,INDEX(Eu_tabel_a[[#This Row],[Styrke venstre]:[Styrke tosidet]],EY$7),NA())</f>
        <v>#N/A</v>
      </c>
      <c r="EZ211" s="32" t="e">
        <f>IF(EY$3,IF(CHOOSE(EY$7,Eu_tabel_a[[#This Row],[x base]]&gt;0,Eu_tabel_a[[#This Row],[x base]]&lt;0,Eu_tabel_a[[#This Row],[x base]]=0),1,NA()),NA())</f>
        <v>#N/A</v>
      </c>
      <c r="FA211" s="32" t="e">
        <f>IF(CHOOSE(EY$7,Eu_tabel_a[[#This Row],[x base]]&gt;0,Eu_tabel_a[[#This Row],[x base]]&lt;0,Eu_tabel_a[[#This Row],[x base]]=0),Eu_tabel_a[[#This Row],[Styrke, aktiv]],NA())</f>
        <v>#N/A</v>
      </c>
      <c r="FB211" s="32" t="e">
        <f>IFERROR(IF($EY$3,Eu_tabel_a[[#This Row],[Styrke, aktiv]],NA()),NA())</f>
        <v>#N/A</v>
      </c>
      <c r="FC211" s="32" t="e">
        <f>IF(ISNA(Eu_tabel_a[[#This Row],[Sand negativ
Nulhypotese afvises
Korrekt]]),NA(),IF(EY$3,1,NA()))</f>
        <v>#N/A</v>
      </c>
      <c r="FD211" s="33" t="str" cm="1">
        <f t="array" ref="FD211">IFERROR(_xlfn.SWITCH(Eu_tabel_a[[#This Row],[Indeks]],_xlfn.IFNA(FB$2,-99),FB$5,_xlfn.IFNA(FB$3,-99),FB$6,_xlfn.IFNA(FB$4,-99),FB$7,""),"")</f>
        <v/>
      </c>
      <c r="FE211" s="32">
        <f>Eu_tabel_a[[#This Row],[x base]]*SQRT(Eu_a_h0_x*(1-Eu_a_h0_x)/Eu_a_n_x)+Eu_a_h0_x</f>
        <v>0</v>
      </c>
      <c r="FJ211" s="74" t="e">
        <f t="shared" si="338"/>
        <v>#N/A</v>
      </c>
      <c r="FK211" s="82" t="e">
        <f t="shared" si="322"/>
        <v>#DIV/0!</v>
      </c>
      <c r="FL211" s="7" t="e">
        <f t="shared" si="332"/>
        <v>#DIV/0!</v>
      </c>
      <c r="FM211" t="e">
        <f t="shared" si="323"/>
        <v>#DIV/0!</v>
      </c>
      <c r="FN211" s="8" t="e">
        <f t="shared" si="324"/>
        <v>#DIV/0!</v>
      </c>
      <c r="FO211" s="8" t="e">
        <f t="shared" si="325"/>
        <v>#DIV/0!</v>
      </c>
      <c r="FP211" s="81" t="e">
        <f t="shared" si="326"/>
        <v>#DIV/0!</v>
      </c>
      <c r="FQ211" s="74" t="e">
        <f t="shared" ca="1" si="333"/>
        <v>#N/A</v>
      </c>
      <c r="FR211" s="82" t="e" vm="3">
        <f t="shared" ca="1" si="339"/>
        <v>#VALUE!</v>
      </c>
      <c r="FS211" s="7" t="e" vm="3">
        <f t="shared" ca="1" si="334"/>
        <v>#VALUE!</v>
      </c>
      <c r="FT211" t="e" vm="3">
        <f t="shared" ca="1" si="328"/>
        <v>#VALUE!</v>
      </c>
      <c r="FU211" s="8" t="e" vm="3">
        <f t="shared" ca="1" si="329"/>
        <v>#VALUE!</v>
      </c>
      <c r="FV211" s="8" t="e" vm="3">
        <f t="shared" ca="1" si="330"/>
        <v>#VALUE!</v>
      </c>
      <c r="FW211" s="81" t="e" vm="3">
        <f t="shared" ca="1" si="331"/>
        <v>#VALUE!</v>
      </c>
      <c r="FX211" s="74" t="e">
        <f t="shared" si="335"/>
        <v>#N/A</v>
      </c>
      <c r="FY211" s="82" t="e">
        <f t="shared" si="340"/>
        <v>#N/A</v>
      </c>
      <c r="FZ211" s="7" t="e">
        <f t="shared" si="336"/>
        <v>#N/A</v>
      </c>
      <c r="GA211" t="e">
        <f t="shared" si="341"/>
        <v>#N/A</v>
      </c>
      <c r="GB211" s="8" t="e">
        <f t="shared" si="342"/>
        <v>#N/A</v>
      </c>
      <c r="GC211" s="8" t="e">
        <f t="shared" si="343"/>
        <v>#N/A</v>
      </c>
      <c r="GD211" s="81" t="e">
        <f t="shared" si="344"/>
        <v>#N/A</v>
      </c>
      <c r="GE211" s="74" t="e">
        <f t="shared" si="345"/>
        <v>#N/A</v>
      </c>
      <c r="GF211" s="82" t="e">
        <f t="shared" si="346"/>
        <v>#N/A</v>
      </c>
      <c r="GG211" s="7" t="e">
        <f t="shared" si="337"/>
        <v>#N/A</v>
      </c>
      <c r="GH211" t="e">
        <f t="shared" si="347"/>
        <v>#N/A</v>
      </c>
      <c r="GI211" s="8" t="e">
        <f t="shared" si="348"/>
        <v>#N/A</v>
      </c>
      <c r="GJ211" s="8" t="e">
        <f t="shared" si="349"/>
        <v>#N/A</v>
      </c>
      <c r="GK211" s="81" t="e">
        <f t="shared" si="350"/>
        <v>#N/A</v>
      </c>
      <c r="GL211" s="81"/>
      <c r="GM211" s="81"/>
      <c r="GP211" s="32">
        <f t="shared" si="395"/>
        <v>201</v>
      </c>
      <c r="GQ211" s="32">
        <f t="shared" si="396"/>
        <v>202</v>
      </c>
      <c r="GR211" s="32">
        <f t="shared" si="397"/>
        <v>1.7247808220471512</v>
      </c>
      <c r="GS211" s="32">
        <f t="shared" si="398"/>
        <v>9.0141648356948725E-2</v>
      </c>
      <c r="GT211" s="32" t="e">
        <f t="shared" si="399"/>
        <v>#N/A</v>
      </c>
      <c r="GU211" s="32" t="e">
        <f t="shared" si="400"/>
        <v>#N/A</v>
      </c>
      <c r="GV211" s="32" t="e">
        <f t="shared" si="401"/>
        <v>#N/A</v>
      </c>
      <c r="GW211" s="32" t="b">
        <f t="shared" si="402"/>
        <v>0</v>
      </c>
      <c r="GX211" s="32" t="b">
        <f t="shared" si="403"/>
        <v>1</v>
      </c>
      <c r="GY211" s="32" t="b">
        <f t="shared" si="404"/>
        <v>0</v>
      </c>
      <c r="GZ211" s="32" t="b">
        <f t="shared" si="405"/>
        <v>1</v>
      </c>
      <c r="HA211" s="32">
        <f t="shared" si="406"/>
        <v>9.0141648356948725E-2</v>
      </c>
      <c r="HB211" s="32" t="e">
        <f t="shared" si="407"/>
        <v>#N/A</v>
      </c>
      <c r="HC211" s="32">
        <f t="shared" si="408"/>
        <v>9.0141648356948725E-2</v>
      </c>
      <c r="HD211" s="45" t="str">
        <f t="shared" si="409"/>
        <v/>
      </c>
      <c r="HJ211" s="32">
        <f t="shared" si="410"/>
        <v>201</v>
      </c>
      <c r="HK211" s="32">
        <f t="shared" si="411"/>
        <v>202</v>
      </c>
      <c r="HL211" s="32">
        <f t="shared" si="412"/>
        <v>2.6708593276120931</v>
      </c>
      <c r="HM211" s="32" t="e">
        <f t="shared" si="413"/>
        <v>#N/A</v>
      </c>
      <c r="HN211" s="32">
        <f t="shared" si="414"/>
        <v>2.3165711177825673E-2</v>
      </c>
      <c r="HO211" s="32" t="e">
        <f t="shared" si="415"/>
        <v>#N/A</v>
      </c>
      <c r="HP211" s="32" t="e">
        <f t="shared" si="416"/>
        <v>#N/A</v>
      </c>
      <c r="HQ211" s="32" t="b">
        <f t="shared" si="417"/>
        <v>0</v>
      </c>
      <c r="HR211" s="32" t="b">
        <f t="shared" si="418"/>
        <v>1</v>
      </c>
      <c r="HS211" s="32" t="b">
        <f t="shared" si="419"/>
        <v>1</v>
      </c>
      <c r="HT211" s="32" t="b">
        <f t="shared" si="420"/>
        <v>0</v>
      </c>
      <c r="HU211" s="32">
        <f t="shared" si="421"/>
        <v>2.3165711177825673E-2</v>
      </c>
      <c r="HV211" s="32" t="e">
        <f t="shared" si="422"/>
        <v>#N/A</v>
      </c>
      <c r="HW211" s="32">
        <f t="shared" si="423"/>
        <v>2.3165711177825673E-2</v>
      </c>
      <c r="HX211" s="45" t="str">
        <f t="shared" si="424"/>
        <v/>
      </c>
    </row>
    <row r="212" spans="78:232" x14ac:dyDescent="0.2">
      <c r="BZ212" s="32">
        <f t="shared" si="351"/>
        <v>202</v>
      </c>
      <c r="CA212" s="32">
        <f>Eu_tabel_g[[#This Row],[Indeks]]+1</f>
        <v>203</v>
      </c>
      <c r="CB212" s="32">
        <f t="shared" si="352"/>
        <v>1.748736111242251</v>
      </c>
      <c r="CC212" s="32">
        <f t="shared" si="353"/>
        <v>8.6468289590491632E-2</v>
      </c>
      <c r="CD212" s="32" t="e">
        <f t="shared" si="354"/>
        <v>#N/A</v>
      </c>
      <c r="CE212" s="32" t="e">
        <f t="shared" si="355"/>
        <v>#N/A</v>
      </c>
      <c r="CF212" s="32" t="e">
        <f t="shared" si="356"/>
        <v>#N/A</v>
      </c>
      <c r="CG212" s="32" t="b">
        <f t="shared" si="357"/>
        <v>0</v>
      </c>
      <c r="CH212" s="32" t="b">
        <f t="shared" si="358"/>
        <v>1</v>
      </c>
      <c r="CI212" s="32" t="b">
        <f t="shared" si="359"/>
        <v>0</v>
      </c>
      <c r="CJ212" s="32" t="b">
        <f t="shared" si="360"/>
        <v>1</v>
      </c>
      <c r="CK212" s="32">
        <f t="shared" si="327"/>
        <v>8.6468289590491632E-2</v>
      </c>
      <c r="CL212" s="32" t="e">
        <f t="shared" si="361"/>
        <v>#N/A</v>
      </c>
      <c r="CM212" s="32">
        <f t="shared" si="362"/>
        <v>8.6468289590491632E-2</v>
      </c>
      <c r="CN212" s="45" t="str">
        <f t="shared" si="363"/>
        <v/>
      </c>
      <c r="CO212" s="32">
        <f>_xlfn.NORM.DIST(_xlfn.NORM.INV(1-Eu_g_konfidensniveau,0,1)-Eu_tabel_g[[#This Row],[x base]],0,1,TRUE)</f>
        <v>3.4491476418879784E-4</v>
      </c>
      <c r="CP212" s="32">
        <f>1-_xlfn.NORM.DIST(_xlfn.NORM.INV(Eu_g_konfidensniveau,0,1)-Eu_tabel_g[[#This Row],[x base]],0,1,TRUE)</f>
        <v>0.54136869629794382</v>
      </c>
      <c r="CQ212" s="32">
        <f>_xlfn.NORM.DIST(_xlfn.NORM.INV((1-Eu_g_konfidensniveau)/2,0,1)-Eu_tabel_g[[#This Row],[x base]],0,1,TRUE)+1-_xlfn.NORM.DIST(_xlfn.NORM.INV(1-(1-Eu_g_konfidensniveau)/2,0,1)-Eu_tabel_g[[#This Row],[x base]],0,1,TRUE)</f>
        <v>0.41645889382757795</v>
      </c>
      <c r="CR212" s="32" t="e" cm="1">
        <f t="array" ref="CR212">IF($CR$3,INDEX(Eu_tabel_g[[#This Row],[Styrke venstre]:[Styrke tosidet]],CR$7),NA())</f>
        <v>#N/A</v>
      </c>
      <c r="CS212" s="52" t="e">
        <f>Eu_tabel_g[[#This Row],[Falsk positiv
Nulhypotese accepteres
Fejltype 1]]</f>
        <v>#N/A</v>
      </c>
      <c r="CT212" s="52" t="e">
        <f>IF(CHOOSE(CR$7,Eu_tabel_g[[#This Row],[x base]]&gt;0,Eu_tabel_g[[#This Row],[x base]]&lt;0,Eu_tabel_g[[#This Row],[x base]]=0),Eu_tabel_g[[#This Row],[Styrke, aktiv]],NA())</f>
        <v>#N/A</v>
      </c>
      <c r="CU212" s="52" t="e">
        <f>IFERROR(IF($CR$3,Eu_tabel_g[[#This Row],[Styrke, aktiv]],NA()),NA())</f>
        <v>#N/A</v>
      </c>
      <c r="CV212" s="52" t="e">
        <f>IF(ISNA(Eu_tabel_g[[#This Row],[Sand negativ
Nulhypotese afvises
Korrekt]]),NA(),IF($CR$3,1,NA()))</f>
        <v>#N/A</v>
      </c>
      <c r="CW212" s="34" t="str" cm="1">
        <f t="array" ref="CW212">_xlfn.SWITCH(BZ212,_xlfn.IFNA(CU$2,-99),CU$5,_xlfn.IFNA(CU$3,-99),CU$6,_xlfn.IFNA(CU$4,-99),CU$7,"")</f>
        <v/>
      </c>
      <c r="DA212" s="7">
        <f t="shared" si="364"/>
        <v>0.8</v>
      </c>
      <c r="DB212">
        <f>IF(ROW(Styrkeberegning_G[[#This Row],[X base venstre]])=ROW(Styrkeberegning_G[[#Headers],[X base venstre]])+1,DB$7/(DA$7/$B$67),DB211/(DA211/$B$67))</f>
        <v>-2.8015817870135784</v>
      </c>
      <c r="DC212">
        <f>Styrkeberegning_G[[#This Row],[X base venstre]]*-1</f>
        <v>2.8015817870135784</v>
      </c>
      <c r="DN212" s="32">
        <f t="shared" si="365"/>
        <v>202</v>
      </c>
      <c r="DO212" s="32">
        <f t="shared" si="366"/>
        <v>203</v>
      </c>
      <c r="DP212" s="32">
        <f t="shared" si="367"/>
        <v>24.876165660887892</v>
      </c>
      <c r="DQ212" s="32" t="e">
        <f t="shared" si="368"/>
        <v>#N/A</v>
      </c>
      <c r="DR212" s="32" t="e">
        <f t="shared" si="369"/>
        <v>#N/A</v>
      </c>
      <c r="DS212" s="32">
        <f t="shared" si="370"/>
        <v>3.1967818436801831E-3</v>
      </c>
      <c r="DT212" s="32" t="e">
        <f t="shared" si="371"/>
        <v>#N/A</v>
      </c>
      <c r="DU212" s="32" t="b">
        <f t="shared" si="372"/>
        <v>0</v>
      </c>
      <c r="DV212" s="32" t="b">
        <f t="shared" si="373"/>
        <v>1</v>
      </c>
      <c r="DW212" s="32" t="b">
        <f t="shared" si="374"/>
        <v>1</v>
      </c>
      <c r="DX212" s="32" t="b">
        <f t="shared" si="375"/>
        <v>0</v>
      </c>
      <c r="DY212" s="32">
        <f t="shared" si="376"/>
        <v>3.1967818436801831E-3</v>
      </c>
      <c r="DZ212" s="32">
        <f t="shared" si="377"/>
        <v>3.1967818436801831E-3</v>
      </c>
      <c r="EA212" s="32" t="e">
        <f t="shared" si="378"/>
        <v>#N/A</v>
      </c>
      <c r="EB212" s="45" t="str">
        <f t="shared" si="379"/>
        <v/>
      </c>
      <c r="EG212" s="32">
        <f t="shared" si="380"/>
        <v>202</v>
      </c>
      <c r="EH212" s="32">
        <f t="shared" si="381"/>
        <v>203</v>
      </c>
      <c r="EI212" s="32">
        <f t="shared" si="382"/>
        <v>1.748736111242251</v>
      </c>
      <c r="EJ212" s="32">
        <f t="shared" si="383"/>
        <v>8.6468289590491632E-2</v>
      </c>
      <c r="EK212" s="32" t="e">
        <f t="shared" si="384"/>
        <v>#N/A</v>
      </c>
      <c r="EL212" s="32" t="e">
        <f t="shared" si="385"/>
        <v>#N/A</v>
      </c>
      <c r="EM212" s="32" t="e">
        <f t="shared" si="386"/>
        <v>#N/A</v>
      </c>
      <c r="EN212" s="32" t="b">
        <f t="shared" si="387"/>
        <v>0</v>
      </c>
      <c r="EO212" s="32" t="b">
        <f t="shared" si="388"/>
        <v>1</v>
      </c>
      <c r="EP212" s="32" t="b">
        <f t="shared" si="389"/>
        <v>0</v>
      </c>
      <c r="EQ212" s="32" t="b">
        <f t="shared" si="390"/>
        <v>1</v>
      </c>
      <c r="ER212" s="32">
        <f t="shared" si="391"/>
        <v>8.6468289590491632E-2</v>
      </c>
      <c r="ES212" s="32" t="e">
        <f t="shared" si="392"/>
        <v>#N/A</v>
      </c>
      <c r="ET212" s="32">
        <f t="shared" si="393"/>
        <v>8.6468289590491632E-2</v>
      </c>
      <c r="EU212" s="45" t="str">
        <f t="shared" si="394"/>
        <v/>
      </c>
      <c r="EV21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2" s="32" t="e" cm="1">
        <f t="array" ref="EY212">IF($CR$3,INDEX(Eu_tabel_a[[#This Row],[Styrke venstre]:[Styrke tosidet]],EY$7),NA())</f>
        <v>#N/A</v>
      </c>
      <c r="EZ212" s="32" t="e">
        <f>IF(EY$3,IF(CHOOSE(EY$7,Eu_tabel_a[[#This Row],[x base]]&gt;0,Eu_tabel_a[[#This Row],[x base]]&lt;0,Eu_tabel_a[[#This Row],[x base]]=0),1,NA()),NA())</f>
        <v>#N/A</v>
      </c>
      <c r="FA212" s="32" t="e">
        <f>IF(CHOOSE(EY$7,Eu_tabel_a[[#This Row],[x base]]&gt;0,Eu_tabel_a[[#This Row],[x base]]&lt;0,Eu_tabel_a[[#This Row],[x base]]=0),Eu_tabel_a[[#This Row],[Styrke, aktiv]],NA())</f>
        <v>#N/A</v>
      </c>
      <c r="FB212" s="32" t="e">
        <f>IFERROR(IF($EY$3,Eu_tabel_a[[#This Row],[Styrke, aktiv]],NA()),NA())</f>
        <v>#N/A</v>
      </c>
      <c r="FC212" s="32" t="e">
        <f>IF(ISNA(Eu_tabel_a[[#This Row],[Sand negativ
Nulhypotese afvises
Korrekt]]),NA(),IF(EY$3,1,NA()))</f>
        <v>#N/A</v>
      </c>
      <c r="FD212" s="33" t="str" cm="1">
        <f t="array" ref="FD212">IFERROR(_xlfn.SWITCH(Eu_tabel_a[[#This Row],[Indeks]],_xlfn.IFNA(FB$2,-99),FB$5,_xlfn.IFNA(FB$3,-99),FB$6,_xlfn.IFNA(FB$4,-99),FB$7,""),"")</f>
        <v/>
      </c>
      <c r="FE212" s="32">
        <f>Eu_tabel_a[[#This Row],[x base]]*SQRT(Eu_a_h0_x*(1-Eu_a_h0_x)/Eu_a_n_x)+Eu_a_h0_x</f>
        <v>0</v>
      </c>
      <c r="FJ212" s="74" t="e">
        <f t="shared" si="338"/>
        <v>#N/A</v>
      </c>
      <c r="FK212" s="82" t="e">
        <f t="shared" si="322"/>
        <v>#DIV/0!</v>
      </c>
      <c r="FL212" s="7" t="e">
        <f t="shared" si="332"/>
        <v>#DIV/0!</v>
      </c>
      <c r="FM212" t="e">
        <f t="shared" si="323"/>
        <v>#DIV/0!</v>
      </c>
      <c r="FN212" s="8" t="e">
        <f t="shared" si="324"/>
        <v>#DIV/0!</v>
      </c>
      <c r="FO212" s="8" t="e">
        <f t="shared" si="325"/>
        <v>#DIV/0!</v>
      </c>
      <c r="FP212" s="81" t="e">
        <f t="shared" si="326"/>
        <v>#DIV/0!</v>
      </c>
      <c r="FQ212" s="74" t="e">
        <f t="shared" ca="1" si="333"/>
        <v>#N/A</v>
      </c>
      <c r="FR212" s="82" t="e" vm="3">
        <f t="shared" ca="1" si="339"/>
        <v>#VALUE!</v>
      </c>
      <c r="FS212" s="7" t="e" vm="3">
        <f t="shared" ca="1" si="334"/>
        <v>#VALUE!</v>
      </c>
      <c r="FT212" t="e" vm="3">
        <f t="shared" ca="1" si="328"/>
        <v>#VALUE!</v>
      </c>
      <c r="FU212" s="8" t="e" vm="3">
        <f t="shared" ca="1" si="329"/>
        <v>#VALUE!</v>
      </c>
      <c r="FV212" s="8" t="e" vm="3">
        <f t="shared" ca="1" si="330"/>
        <v>#VALUE!</v>
      </c>
      <c r="FW212" s="81" t="e" vm="3">
        <f t="shared" ca="1" si="331"/>
        <v>#VALUE!</v>
      </c>
      <c r="FX212" s="74" t="e">
        <f t="shared" si="335"/>
        <v>#N/A</v>
      </c>
      <c r="FY212" s="82" t="e">
        <f t="shared" si="340"/>
        <v>#N/A</v>
      </c>
      <c r="FZ212" s="7" t="e">
        <f t="shared" si="336"/>
        <v>#N/A</v>
      </c>
      <c r="GA212" t="e">
        <f t="shared" si="341"/>
        <v>#N/A</v>
      </c>
      <c r="GB212" s="8" t="e">
        <f t="shared" si="342"/>
        <v>#N/A</v>
      </c>
      <c r="GC212" s="8" t="e">
        <f t="shared" si="343"/>
        <v>#N/A</v>
      </c>
      <c r="GD212" s="81" t="e">
        <f t="shared" si="344"/>
        <v>#N/A</v>
      </c>
      <c r="GE212" s="74" t="e">
        <f t="shared" si="345"/>
        <v>#N/A</v>
      </c>
      <c r="GF212" s="82" t="e">
        <f t="shared" si="346"/>
        <v>#N/A</v>
      </c>
      <c r="GG212" s="7" t="e">
        <f t="shared" si="337"/>
        <v>#N/A</v>
      </c>
      <c r="GH212" t="e">
        <f t="shared" si="347"/>
        <v>#N/A</v>
      </c>
      <c r="GI212" s="8" t="e">
        <f t="shared" si="348"/>
        <v>#N/A</v>
      </c>
      <c r="GJ212" s="8" t="e">
        <f t="shared" si="349"/>
        <v>#N/A</v>
      </c>
      <c r="GK212" s="81" t="e">
        <f t="shared" si="350"/>
        <v>#N/A</v>
      </c>
      <c r="GL212" s="81"/>
      <c r="GM212" s="81"/>
      <c r="GP212" s="32">
        <f t="shared" si="395"/>
        <v>202</v>
      </c>
      <c r="GQ212" s="32">
        <f t="shared" si="396"/>
        <v>203</v>
      </c>
      <c r="GR212" s="32">
        <f t="shared" si="397"/>
        <v>1.748736111242251</v>
      </c>
      <c r="GS212" s="32">
        <f t="shared" si="398"/>
        <v>8.6468289590491632E-2</v>
      </c>
      <c r="GT212" s="32" t="e">
        <f t="shared" si="399"/>
        <v>#N/A</v>
      </c>
      <c r="GU212" s="32" t="e">
        <f t="shared" si="400"/>
        <v>#N/A</v>
      </c>
      <c r="GV212" s="32" t="e">
        <f t="shared" si="401"/>
        <v>#N/A</v>
      </c>
      <c r="GW212" s="32" t="b">
        <f t="shared" si="402"/>
        <v>0</v>
      </c>
      <c r="GX212" s="32" t="b">
        <f t="shared" si="403"/>
        <v>1</v>
      </c>
      <c r="GY212" s="32" t="b">
        <f t="shared" si="404"/>
        <v>0</v>
      </c>
      <c r="GZ212" s="32" t="b">
        <f t="shared" si="405"/>
        <v>1</v>
      </c>
      <c r="HA212" s="32">
        <f t="shared" si="406"/>
        <v>8.6468289590491632E-2</v>
      </c>
      <c r="HB212" s="32" t="e">
        <f t="shared" si="407"/>
        <v>#N/A</v>
      </c>
      <c r="HC212" s="32">
        <f t="shared" si="408"/>
        <v>8.6468289590491632E-2</v>
      </c>
      <c r="HD212" s="45" t="str">
        <f t="shared" si="409"/>
        <v/>
      </c>
      <c r="HJ212" s="32">
        <f t="shared" si="410"/>
        <v>202</v>
      </c>
      <c r="HK212" s="32">
        <f t="shared" si="411"/>
        <v>203</v>
      </c>
      <c r="HL212" s="32">
        <f t="shared" si="412"/>
        <v>2.7079545960511497</v>
      </c>
      <c r="HM212" s="32" t="e">
        <f t="shared" si="413"/>
        <v>#N/A</v>
      </c>
      <c r="HN212" s="32">
        <f t="shared" si="414"/>
        <v>2.1902447557375637E-2</v>
      </c>
      <c r="HO212" s="32" t="e">
        <f t="shared" si="415"/>
        <v>#N/A</v>
      </c>
      <c r="HP212" s="32" t="e">
        <f t="shared" si="416"/>
        <v>#N/A</v>
      </c>
      <c r="HQ212" s="32" t="b">
        <f t="shared" si="417"/>
        <v>0</v>
      </c>
      <c r="HR212" s="32" t="b">
        <f t="shared" si="418"/>
        <v>1</v>
      </c>
      <c r="HS212" s="32" t="b">
        <f t="shared" si="419"/>
        <v>1</v>
      </c>
      <c r="HT212" s="32" t="b">
        <f t="shared" si="420"/>
        <v>0</v>
      </c>
      <c r="HU212" s="32">
        <f t="shared" si="421"/>
        <v>2.1902447557375637E-2</v>
      </c>
      <c r="HV212" s="32" t="e">
        <f t="shared" si="422"/>
        <v>#N/A</v>
      </c>
      <c r="HW212" s="32">
        <f t="shared" si="423"/>
        <v>2.1902447557375637E-2</v>
      </c>
      <c r="HX212" s="45" t="str">
        <f t="shared" si="424"/>
        <v/>
      </c>
    </row>
    <row r="213" spans="78:232" x14ac:dyDescent="0.2">
      <c r="BZ213" s="32">
        <f t="shared" si="351"/>
        <v>203</v>
      </c>
      <c r="CA213" s="32">
        <f>Eu_tabel_g[[#This Row],[Indeks]]+1</f>
        <v>204</v>
      </c>
      <c r="CB213" s="32">
        <f t="shared" si="352"/>
        <v>1.77269140043735</v>
      </c>
      <c r="CC213" s="32">
        <f t="shared" si="353"/>
        <v>8.2897039117220503E-2</v>
      </c>
      <c r="CD213" s="32" t="e">
        <f t="shared" si="354"/>
        <v>#N/A</v>
      </c>
      <c r="CE213" s="32" t="e">
        <f t="shared" si="355"/>
        <v>#N/A</v>
      </c>
      <c r="CF213" s="32" t="e">
        <f t="shared" si="356"/>
        <v>#N/A</v>
      </c>
      <c r="CG213" s="32" t="b">
        <f t="shared" si="357"/>
        <v>0</v>
      </c>
      <c r="CH213" s="32" t="b">
        <f t="shared" si="358"/>
        <v>1</v>
      </c>
      <c r="CI213" s="32" t="b">
        <f t="shared" si="359"/>
        <v>0</v>
      </c>
      <c r="CJ213" s="32" t="b">
        <f t="shared" si="360"/>
        <v>1</v>
      </c>
      <c r="CK213" s="32">
        <f t="shared" si="327"/>
        <v>8.2897039117220503E-2</v>
      </c>
      <c r="CL213" s="32" t="e">
        <f t="shared" si="361"/>
        <v>#N/A</v>
      </c>
      <c r="CM213" s="32">
        <f t="shared" si="362"/>
        <v>8.2897039117220503E-2</v>
      </c>
      <c r="CN213" s="45" t="str">
        <f t="shared" si="363"/>
        <v/>
      </c>
      <c r="CO213" s="32">
        <f>_xlfn.NORM.DIST(_xlfn.NORM.INV(1-Eu_g_konfidensniveau,0,1)-Eu_tabel_g[[#This Row],[x base]],0,1,TRUE)</f>
        <v>3.1594320383957267E-4</v>
      </c>
      <c r="CP213" s="32">
        <f>1-_xlfn.NORM.DIST(_xlfn.NORM.INV(Eu_g_konfidensniveau,0,1)-Eu_tabel_g[[#This Row],[x base]],0,1,TRUE)</f>
        <v>0.55086132181012337</v>
      </c>
      <c r="CQ213" s="32">
        <f>_xlfn.NORM.DIST(_xlfn.NORM.INV((1-Eu_g_konfidensniveau)/2,0,1)-Eu_tabel_g[[#This Row],[x base]],0,1,TRUE)+1-_xlfn.NORM.DIST(_xlfn.NORM.INV(1-(1-Eu_g_konfidensniveau)/2,0,1)-Eu_tabel_g[[#This Row],[x base]],0,1,TRUE)</f>
        <v>0.42581819457602854</v>
      </c>
      <c r="CR213" s="32" t="e" cm="1">
        <f t="array" ref="CR213">IF($CR$3,INDEX(Eu_tabel_g[[#This Row],[Styrke venstre]:[Styrke tosidet]],CR$7),NA())</f>
        <v>#N/A</v>
      </c>
      <c r="CS213" s="52" t="e">
        <f>Eu_tabel_g[[#This Row],[Falsk positiv
Nulhypotese accepteres
Fejltype 1]]</f>
        <v>#N/A</v>
      </c>
      <c r="CT213" s="52" t="e">
        <f>IF(CHOOSE(CR$7,Eu_tabel_g[[#This Row],[x base]]&gt;0,Eu_tabel_g[[#This Row],[x base]]&lt;0,Eu_tabel_g[[#This Row],[x base]]=0),Eu_tabel_g[[#This Row],[Styrke, aktiv]],NA())</f>
        <v>#N/A</v>
      </c>
      <c r="CU213" s="52" t="e">
        <f>IFERROR(IF($CR$3,Eu_tabel_g[[#This Row],[Styrke, aktiv]],NA()),NA())</f>
        <v>#N/A</v>
      </c>
      <c r="CV213" s="52" t="e">
        <f>IF(ISNA(Eu_tabel_g[[#This Row],[Sand negativ
Nulhypotese afvises
Korrekt]]),NA(),IF($CR$3,1,NA()))</f>
        <v>#N/A</v>
      </c>
      <c r="CW213" s="34" t="str" cm="1">
        <f t="array" ref="CW213">_xlfn.SWITCH(BZ213,_xlfn.IFNA(CU$2,-99),CU$5,_xlfn.IFNA(CU$3,-99),CU$6,_xlfn.IFNA(CU$4,-99),CU$7,"")</f>
        <v/>
      </c>
      <c r="DA213" s="7">
        <f t="shared" si="364"/>
        <v>0.8</v>
      </c>
      <c r="DB213">
        <f>IF(ROW(Styrkeberegning_G[[#This Row],[X base venstre]])=ROW(Styrkeberegning_G[[#Headers],[X base venstre]])+1,DB$7/(DA$7/$B$67),DB212/(DA212/$B$67))</f>
        <v>-2.8015817870135784</v>
      </c>
      <c r="DC213">
        <f>Styrkeberegning_G[[#This Row],[X base venstre]]*-1</f>
        <v>2.8015817870135784</v>
      </c>
      <c r="DN213" s="32">
        <f t="shared" si="365"/>
        <v>203</v>
      </c>
      <c r="DO213" s="32">
        <f t="shared" si="366"/>
        <v>204</v>
      </c>
      <c r="DP213" s="32">
        <f t="shared" si="367"/>
        <v>24.990236517304893</v>
      </c>
      <c r="DQ213" s="32" t="e">
        <f t="shared" si="368"/>
        <v>#N/A</v>
      </c>
      <c r="DR213" s="32" t="e">
        <f t="shared" si="369"/>
        <v>#N/A</v>
      </c>
      <c r="DS213" s="32">
        <f t="shared" si="370"/>
        <v>3.0823645127233709E-3</v>
      </c>
      <c r="DT213" s="32" t="e">
        <f t="shared" si="371"/>
        <v>#N/A</v>
      </c>
      <c r="DU213" s="32" t="b">
        <f t="shared" si="372"/>
        <v>0</v>
      </c>
      <c r="DV213" s="32" t="b">
        <f t="shared" si="373"/>
        <v>1</v>
      </c>
      <c r="DW213" s="32" t="b">
        <f t="shared" si="374"/>
        <v>1</v>
      </c>
      <c r="DX213" s="32" t="b">
        <f t="shared" si="375"/>
        <v>0</v>
      </c>
      <c r="DY213" s="32">
        <f t="shared" si="376"/>
        <v>3.0823645127233709E-3</v>
      </c>
      <c r="DZ213" s="32">
        <f t="shared" si="377"/>
        <v>3.0823645127233709E-3</v>
      </c>
      <c r="EA213" s="32" t="e">
        <f t="shared" si="378"/>
        <v>#N/A</v>
      </c>
      <c r="EB213" s="45" t="str">
        <f t="shared" si="379"/>
        <v/>
      </c>
      <c r="EG213" s="32">
        <f t="shared" si="380"/>
        <v>203</v>
      </c>
      <c r="EH213" s="32">
        <f t="shared" si="381"/>
        <v>204</v>
      </c>
      <c r="EI213" s="32">
        <f t="shared" si="382"/>
        <v>1.77269140043735</v>
      </c>
      <c r="EJ213" s="32">
        <f t="shared" si="383"/>
        <v>8.2897039117220503E-2</v>
      </c>
      <c r="EK213" s="32" t="e">
        <f t="shared" si="384"/>
        <v>#N/A</v>
      </c>
      <c r="EL213" s="32" t="e">
        <f t="shared" si="385"/>
        <v>#N/A</v>
      </c>
      <c r="EM213" s="32" t="e">
        <f t="shared" si="386"/>
        <v>#N/A</v>
      </c>
      <c r="EN213" s="32" t="b">
        <f t="shared" si="387"/>
        <v>0</v>
      </c>
      <c r="EO213" s="32" t="b">
        <f t="shared" si="388"/>
        <v>1</v>
      </c>
      <c r="EP213" s="32" t="b">
        <f t="shared" si="389"/>
        <v>0</v>
      </c>
      <c r="EQ213" s="32" t="b">
        <f t="shared" si="390"/>
        <v>1</v>
      </c>
      <c r="ER213" s="32">
        <f t="shared" si="391"/>
        <v>8.2897039117220503E-2</v>
      </c>
      <c r="ES213" s="32" t="e">
        <f t="shared" si="392"/>
        <v>#N/A</v>
      </c>
      <c r="ET213" s="32">
        <f t="shared" si="393"/>
        <v>8.2897039117220503E-2</v>
      </c>
      <c r="EU213" s="45" t="str">
        <f t="shared" si="394"/>
        <v/>
      </c>
      <c r="EV21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3" s="32" t="e" cm="1">
        <f t="array" ref="EY213">IF($CR$3,INDEX(Eu_tabel_a[[#This Row],[Styrke venstre]:[Styrke tosidet]],EY$7),NA())</f>
        <v>#N/A</v>
      </c>
      <c r="EZ213" s="32" t="e">
        <f>IF(EY$3,IF(CHOOSE(EY$7,Eu_tabel_a[[#This Row],[x base]]&gt;0,Eu_tabel_a[[#This Row],[x base]]&lt;0,Eu_tabel_a[[#This Row],[x base]]=0),1,NA()),NA())</f>
        <v>#N/A</v>
      </c>
      <c r="FA213" s="32" t="e">
        <f>IF(CHOOSE(EY$7,Eu_tabel_a[[#This Row],[x base]]&gt;0,Eu_tabel_a[[#This Row],[x base]]&lt;0,Eu_tabel_a[[#This Row],[x base]]=0),Eu_tabel_a[[#This Row],[Styrke, aktiv]],NA())</f>
        <v>#N/A</v>
      </c>
      <c r="FB213" s="32" t="e">
        <f>IFERROR(IF($EY$3,Eu_tabel_a[[#This Row],[Styrke, aktiv]],NA()),NA())</f>
        <v>#N/A</v>
      </c>
      <c r="FC213" s="32" t="e">
        <f>IF(ISNA(Eu_tabel_a[[#This Row],[Sand negativ
Nulhypotese afvises
Korrekt]]),NA(),IF(EY$3,1,NA()))</f>
        <v>#N/A</v>
      </c>
      <c r="FD213" s="33" t="str" cm="1">
        <f t="array" ref="FD213">IFERROR(_xlfn.SWITCH(Eu_tabel_a[[#This Row],[Indeks]],_xlfn.IFNA(FB$2,-99),FB$5,_xlfn.IFNA(FB$3,-99),FB$6,_xlfn.IFNA(FB$4,-99),FB$7,""),"")</f>
        <v/>
      </c>
      <c r="FE213" s="32">
        <f>Eu_tabel_a[[#This Row],[x base]]*SQRT(Eu_a_h0_x*(1-Eu_a_h0_x)/Eu_a_n_x)+Eu_a_h0_x</f>
        <v>0</v>
      </c>
      <c r="FJ213" s="74" t="e">
        <f t="shared" si="338"/>
        <v>#N/A</v>
      </c>
      <c r="FK213" s="82" t="e">
        <f t="shared" si="322"/>
        <v>#DIV/0!</v>
      </c>
      <c r="FL213" s="7" t="e">
        <f t="shared" si="332"/>
        <v>#DIV/0!</v>
      </c>
      <c r="FM213" t="e">
        <f t="shared" si="323"/>
        <v>#DIV/0!</v>
      </c>
      <c r="FN213" s="8" t="e">
        <f t="shared" si="324"/>
        <v>#DIV/0!</v>
      </c>
      <c r="FO213" s="8" t="e">
        <f t="shared" si="325"/>
        <v>#DIV/0!</v>
      </c>
      <c r="FP213" s="81" t="e">
        <f t="shared" si="326"/>
        <v>#DIV/0!</v>
      </c>
      <c r="FQ213" s="74" t="e">
        <f t="shared" ca="1" si="333"/>
        <v>#N/A</v>
      </c>
      <c r="FR213" s="82" t="e" vm="3">
        <f t="shared" ca="1" si="339"/>
        <v>#VALUE!</v>
      </c>
      <c r="FS213" s="7" t="e" vm="3">
        <f t="shared" ca="1" si="334"/>
        <v>#VALUE!</v>
      </c>
      <c r="FT213" t="e" vm="3">
        <f t="shared" ca="1" si="328"/>
        <v>#VALUE!</v>
      </c>
      <c r="FU213" s="8" t="e" vm="3">
        <f t="shared" ca="1" si="329"/>
        <v>#VALUE!</v>
      </c>
      <c r="FV213" s="8" t="e" vm="3">
        <f t="shared" ca="1" si="330"/>
        <v>#VALUE!</v>
      </c>
      <c r="FW213" s="81" t="e" vm="3">
        <f t="shared" ca="1" si="331"/>
        <v>#VALUE!</v>
      </c>
      <c r="FX213" s="74" t="e">
        <f t="shared" si="335"/>
        <v>#N/A</v>
      </c>
      <c r="FY213" s="82" t="e">
        <f t="shared" si="340"/>
        <v>#N/A</v>
      </c>
      <c r="FZ213" s="7" t="e">
        <f t="shared" si="336"/>
        <v>#N/A</v>
      </c>
      <c r="GA213" t="e">
        <f t="shared" si="341"/>
        <v>#N/A</v>
      </c>
      <c r="GB213" s="8" t="e">
        <f t="shared" si="342"/>
        <v>#N/A</v>
      </c>
      <c r="GC213" s="8" t="e">
        <f t="shared" si="343"/>
        <v>#N/A</v>
      </c>
      <c r="GD213" s="81" t="e">
        <f t="shared" si="344"/>
        <v>#N/A</v>
      </c>
      <c r="GE213" s="74" t="e">
        <f t="shared" si="345"/>
        <v>#N/A</v>
      </c>
      <c r="GF213" s="82" t="e">
        <f t="shared" si="346"/>
        <v>#N/A</v>
      </c>
      <c r="GG213" s="7" t="e">
        <f t="shared" si="337"/>
        <v>#N/A</v>
      </c>
      <c r="GH213" t="e">
        <f t="shared" si="347"/>
        <v>#N/A</v>
      </c>
      <c r="GI213" s="8" t="e">
        <f t="shared" si="348"/>
        <v>#N/A</v>
      </c>
      <c r="GJ213" s="8" t="e">
        <f t="shared" si="349"/>
        <v>#N/A</v>
      </c>
      <c r="GK213" s="81" t="e">
        <f t="shared" si="350"/>
        <v>#N/A</v>
      </c>
      <c r="GL213" s="81"/>
      <c r="GM213" s="81"/>
      <c r="GP213" s="32">
        <f t="shared" si="395"/>
        <v>203</v>
      </c>
      <c r="GQ213" s="32">
        <f t="shared" si="396"/>
        <v>204</v>
      </c>
      <c r="GR213" s="32">
        <f t="shared" si="397"/>
        <v>1.77269140043735</v>
      </c>
      <c r="GS213" s="32">
        <f t="shared" si="398"/>
        <v>8.2897039117220503E-2</v>
      </c>
      <c r="GT213" s="32" t="e">
        <f t="shared" si="399"/>
        <v>#N/A</v>
      </c>
      <c r="GU213" s="32" t="e">
        <f t="shared" si="400"/>
        <v>#N/A</v>
      </c>
      <c r="GV213" s="32" t="e">
        <f t="shared" si="401"/>
        <v>#N/A</v>
      </c>
      <c r="GW213" s="32" t="b">
        <f t="shared" si="402"/>
        <v>0</v>
      </c>
      <c r="GX213" s="32" t="b">
        <f t="shared" si="403"/>
        <v>1</v>
      </c>
      <c r="GY213" s="32" t="b">
        <f t="shared" si="404"/>
        <v>0</v>
      </c>
      <c r="GZ213" s="32" t="b">
        <f t="shared" si="405"/>
        <v>1</v>
      </c>
      <c r="HA213" s="32">
        <f t="shared" si="406"/>
        <v>8.2897039117220503E-2</v>
      </c>
      <c r="HB213" s="32" t="e">
        <f t="shared" si="407"/>
        <v>#N/A</v>
      </c>
      <c r="HC213" s="32">
        <f t="shared" si="408"/>
        <v>8.2897039117220503E-2</v>
      </c>
      <c r="HD213" s="45" t="str">
        <f t="shared" si="409"/>
        <v/>
      </c>
      <c r="HJ213" s="32">
        <f t="shared" si="410"/>
        <v>203</v>
      </c>
      <c r="HK213" s="32">
        <f t="shared" si="411"/>
        <v>204</v>
      </c>
      <c r="HL213" s="32">
        <f t="shared" si="412"/>
        <v>2.7450498644902073</v>
      </c>
      <c r="HM213" s="32" t="e">
        <f t="shared" si="413"/>
        <v>#N/A</v>
      </c>
      <c r="HN213" s="32">
        <f t="shared" si="414"/>
        <v>2.0708440519801093E-2</v>
      </c>
      <c r="HO213" s="32" t="e">
        <f t="shared" si="415"/>
        <v>#N/A</v>
      </c>
      <c r="HP213" s="32" t="e">
        <f t="shared" si="416"/>
        <v>#N/A</v>
      </c>
      <c r="HQ213" s="32" t="b">
        <f t="shared" si="417"/>
        <v>0</v>
      </c>
      <c r="HR213" s="32" t="b">
        <f t="shared" si="418"/>
        <v>1</v>
      </c>
      <c r="HS213" s="32" t="b">
        <f t="shared" si="419"/>
        <v>1</v>
      </c>
      <c r="HT213" s="32" t="b">
        <f t="shared" si="420"/>
        <v>0</v>
      </c>
      <c r="HU213" s="32">
        <f t="shared" si="421"/>
        <v>2.0708440519801093E-2</v>
      </c>
      <c r="HV213" s="32" t="e">
        <f t="shared" si="422"/>
        <v>#N/A</v>
      </c>
      <c r="HW213" s="32">
        <f t="shared" si="423"/>
        <v>2.0708440519801093E-2</v>
      </c>
      <c r="HX213" s="45" t="str">
        <f t="shared" si="424"/>
        <v/>
      </c>
    </row>
    <row r="214" spans="78:232" x14ac:dyDescent="0.2">
      <c r="BZ214" s="32">
        <f t="shared" si="351"/>
        <v>204</v>
      </c>
      <c r="CA214" s="32">
        <f>Eu_tabel_g[[#This Row],[Indeks]]+1</f>
        <v>205</v>
      </c>
      <c r="CB214" s="32">
        <f t="shared" si="352"/>
        <v>1.7966466896324498</v>
      </c>
      <c r="CC214" s="32">
        <f t="shared" si="353"/>
        <v>7.942769270709038E-2</v>
      </c>
      <c r="CD214" s="32" t="e">
        <f t="shared" si="354"/>
        <v>#N/A</v>
      </c>
      <c r="CE214" s="32" t="e">
        <f t="shared" si="355"/>
        <v>#N/A</v>
      </c>
      <c r="CF214" s="32" t="e">
        <f t="shared" si="356"/>
        <v>#N/A</v>
      </c>
      <c r="CG214" s="32" t="b">
        <f t="shared" si="357"/>
        <v>0</v>
      </c>
      <c r="CH214" s="32" t="b">
        <f t="shared" si="358"/>
        <v>1</v>
      </c>
      <c r="CI214" s="32" t="b">
        <f t="shared" si="359"/>
        <v>0</v>
      </c>
      <c r="CJ214" s="32" t="b">
        <f t="shared" si="360"/>
        <v>1</v>
      </c>
      <c r="CK214" s="32">
        <f t="shared" si="327"/>
        <v>7.942769270709038E-2</v>
      </c>
      <c r="CL214" s="32" t="e">
        <f t="shared" si="361"/>
        <v>#N/A</v>
      </c>
      <c r="CM214" s="32">
        <f t="shared" si="362"/>
        <v>7.942769270709038E-2</v>
      </c>
      <c r="CN214" s="45" t="str">
        <f t="shared" si="363"/>
        <v/>
      </c>
      <c r="CO214" s="32">
        <f>_xlfn.NORM.DIST(_xlfn.NORM.INV(1-Eu_g_konfidensniveau,0,1)-Eu_tabel_g[[#This Row],[x base]],0,1,TRUE)</f>
        <v>2.8924889725157158E-4</v>
      </c>
      <c r="CP214" s="32">
        <f>1-_xlfn.NORM.DIST(_xlfn.NORM.INV(Eu_g_konfidensniveau,0,1)-Eu_tabel_g[[#This Row],[x base]],0,1,TRUE)</f>
        <v>0.56032492304548565</v>
      </c>
      <c r="CQ214" s="32">
        <f>_xlfn.NORM.DIST(_xlfn.NORM.INV((1-Eu_g_konfidensniveau)/2,0,1)-Eu_tabel_g[[#This Row],[x base]],0,1,TRUE)+1-_xlfn.NORM.DIST(_xlfn.NORM.INV(1-(1-Eu_g_konfidensniveau)/2,0,1)-Eu_tabel_g[[#This Row],[x base]],0,1,TRUE)</f>
        <v>0.43522042373767211</v>
      </c>
      <c r="CR214" s="32" t="e" cm="1">
        <f t="array" ref="CR214">IF($CR$3,INDEX(Eu_tabel_g[[#This Row],[Styrke venstre]:[Styrke tosidet]],CR$7),NA())</f>
        <v>#N/A</v>
      </c>
      <c r="CS214" s="52" t="e">
        <f>Eu_tabel_g[[#This Row],[Falsk positiv
Nulhypotese accepteres
Fejltype 1]]</f>
        <v>#N/A</v>
      </c>
      <c r="CT214" s="52" t="e">
        <f>IF(CHOOSE(CR$7,Eu_tabel_g[[#This Row],[x base]]&gt;0,Eu_tabel_g[[#This Row],[x base]]&lt;0,Eu_tabel_g[[#This Row],[x base]]=0),Eu_tabel_g[[#This Row],[Styrke, aktiv]],NA())</f>
        <v>#N/A</v>
      </c>
      <c r="CU214" s="52" t="e">
        <f>IFERROR(IF($CR$3,Eu_tabel_g[[#This Row],[Styrke, aktiv]],NA()),NA())</f>
        <v>#N/A</v>
      </c>
      <c r="CV214" s="52" t="e">
        <f>IF(ISNA(Eu_tabel_g[[#This Row],[Sand negativ
Nulhypotese afvises
Korrekt]]),NA(),IF($CR$3,1,NA()))</f>
        <v>#N/A</v>
      </c>
      <c r="CW214" s="34" t="str" cm="1">
        <f t="array" ref="CW214">_xlfn.SWITCH(BZ214,_xlfn.IFNA(CU$2,-99),CU$5,_xlfn.IFNA(CU$3,-99),CU$6,_xlfn.IFNA(CU$4,-99),CU$7,"")</f>
        <v/>
      </c>
      <c r="DA214" s="7">
        <f t="shared" si="364"/>
        <v>0.8</v>
      </c>
      <c r="DB214">
        <f>IF(ROW(Styrkeberegning_G[[#This Row],[X base venstre]])=ROW(Styrkeberegning_G[[#Headers],[X base venstre]])+1,DB$7/(DA$7/$B$67),DB213/(DA213/$B$67))</f>
        <v>-2.8015817870135784</v>
      </c>
      <c r="DC214">
        <f>Styrkeberegning_G[[#This Row],[X base venstre]]*-1</f>
        <v>2.8015817870135784</v>
      </c>
      <c r="DN214" s="32">
        <f t="shared" si="365"/>
        <v>204</v>
      </c>
      <c r="DO214" s="32">
        <f t="shared" si="366"/>
        <v>205</v>
      </c>
      <c r="DP214" s="32">
        <f t="shared" si="367"/>
        <v>25.104307373721895</v>
      </c>
      <c r="DQ214" s="32" t="e">
        <f t="shared" si="368"/>
        <v>#N/A</v>
      </c>
      <c r="DR214" s="32" t="e">
        <f t="shared" si="369"/>
        <v>#N/A</v>
      </c>
      <c r="DS214" s="32">
        <f t="shared" si="370"/>
        <v>2.9717636885863707E-3</v>
      </c>
      <c r="DT214" s="32" t="e">
        <f t="shared" si="371"/>
        <v>#N/A</v>
      </c>
      <c r="DU214" s="32" t="b">
        <f t="shared" si="372"/>
        <v>0</v>
      </c>
      <c r="DV214" s="32" t="b">
        <f t="shared" si="373"/>
        <v>1</v>
      </c>
      <c r="DW214" s="32" t="b">
        <f t="shared" si="374"/>
        <v>1</v>
      </c>
      <c r="DX214" s="32" t="b">
        <f t="shared" si="375"/>
        <v>0</v>
      </c>
      <c r="DY214" s="32">
        <f t="shared" si="376"/>
        <v>2.9717636885863707E-3</v>
      </c>
      <c r="DZ214" s="32">
        <f t="shared" si="377"/>
        <v>2.9717636885863707E-3</v>
      </c>
      <c r="EA214" s="32" t="e">
        <f t="shared" si="378"/>
        <v>#N/A</v>
      </c>
      <c r="EB214" s="45" t="str">
        <f t="shared" si="379"/>
        <v/>
      </c>
      <c r="EG214" s="32">
        <f t="shared" si="380"/>
        <v>204</v>
      </c>
      <c r="EH214" s="32">
        <f t="shared" si="381"/>
        <v>205</v>
      </c>
      <c r="EI214" s="32">
        <f t="shared" si="382"/>
        <v>1.7966466896324498</v>
      </c>
      <c r="EJ214" s="32">
        <f t="shared" si="383"/>
        <v>7.942769270709038E-2</v>
      </c>
      <c r="EK214" s="32" t="e">
        <f t="shared" si="384"/>
        <v>#N/A</v>
      </c>
      <c r="EL214" s="32" t="e">
        <f t="shared" si="385"/>
        <v>#N/A</v>
      </c>
      <c r="EM214" s="32" t="e">
        <f t="shared" si="386"/>
        <v>#N/A</v>
      </c>
      <c r="EN214" s="32" t="b">
        <f t="shared" si="387"/>
        <v>0</v>
      </c>
      <c r="EO214" s="32" t="b">
        <f t="shared" si="388"/>
        <v>1</v>
      </c>
      <c r="EP214" s="32" t="b">
        <f t="shared" si="389"/>
        <v>0</v>
      </c>
      <c r="EQ214" s="32" t="b">
        <f t="shared" si="390"/>
        <v>1</v>
      </c>
      <c r="ER214" s="32">
        <f t="shared" si="391"/>
        <v>7.942769270709038E-2</v>
      </c>
      <c r="ES214" s="32" t="e">
        <f t="shared" si="392"/>
        <v>#N/A</v>
      </c>
      <c r="ET214" s="32">
        <f t="shared" si="393"/>
        <v>7.942769270709038E-2</v>
      </c>
      <c r="EU214" s="45" t="str">
        <f t="shared" si="394"/>
        <v/>
      </c>
      <c r="EV21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4" s="32" t="e" cm="1">
        <f t="array" ref="EY214">IF($CR$3,INDEX(Eu_tabel_a[[#This Row],[Styrke venstre]:[Styrke tosidet]],EY$7),NA())</f>
        <v>#N/A</v>
      </c>
      <c r="EZ214" s="32" t="e">
        <f>IF(EY$3,IF(CHOOSE(EY$7,Eu_tabel_a[[#This Row],[x base]]&gt;0,Eu_tabel_a[[#This Row],[x base]]&lt;0,Eu_tabel_a[[#This Row],[x base]]=0),1,NA()),NA())</f>
        <v>#N/A</v>
      </c>
      <c r="FA214" s="32" t="e">
        <f>IF(CHOOSE(EY$7,Eu_tabel_a[[#This Row],[x base]]&gt;0,Eu_tabel_a[[#This Row],[x base]]&lt;0,Eu_tabel_a[[#This Row],[x base]]=0),Eu_tabel_a[[#This Row],[Styrke, aktiv]],NA())</f>
        <v>#N/A</v>
      </c>
      <c r="FB214" s="32" t="e">
        <f>IFERROR(IF($EY$3,Eu_tabel_a[[#This Row],[Styrke, aktiv]],NA()),NA())</f>
        <v>#N/A</v>
      </c>
      <c r="FC214" s="32" t="e">
        <f>IF(ISNA(Eu_tabel_a[[#This Row],[Sand negativ
Nulhypotese afvises
Korrekt]]),NA(),IF(EY$3,1,NA()))</f>
        <v>#N/A</v>
      </c>
      <c r="FD214" s="33" t="str" cm="1">
        <f t="array" ref="FD214">IFERROR(_xlfn.SWITCH(Eu_tabel_a[[#This Row],[Indeks]],_xlfn.IFNA(FB$2,-99),FB$5,_xlfn.IFNA(FB$3,-99),FB$6,_xlfn.IFNA(FB$4,-99),FB$7,""),"")</f>
        <v/>
      </c>
      <c r="FE214" s="32">
        <f>Eu_tabel_a[[#This Row],[x base]]*SQRT(Eu_a_h0_x*(1-Eu_a_h0_x)/Eu_a_n_x)+Eu_a_h0_x</f>
        <v>0</v>
      </c>
      <c r="FJ214" s="74" t="e">
        <f t="shared" si="338"/>
        <v>#N/A</v>
      </c>
      <c r="FK214" s="82" t="e">
        <f t="shared" si="322"/>
        <v>#DIV/0!</v>
      </c>
      <c r="FL214" s="7" t="e">
        <f t="shared" si="332"/>
        <v>#DIV/0!</v>
      </c>
      <c r="FM214" t="e">
        <f t="shared" si="323"/>
        <v>#DIV/0!</v>
      </c>
      <c r="FN214" s="8" t="e">
        <f t="shared" si="324"/>
        <v>#DIV/0!</v>
      </c>
      <c r="FO214" s="8" t="e">
        <f t="shared" si="325"/>
        <v>#DIV/0!</v>
      </c>
      <c r="FP214" s="81" t="e">
        <f t="shared" si="326"/>
        <v>#DIV/0!</v>
      </c>
      <c r="FQ214" s="74" t="e">
        <f t="shared" ca="1" si="333"/>
        <v>#N/A</v>
      </c>
      <c r="FR214" s="82" t="e" vm="3">
        <f t="shared" ca="1" si="339"/>
        <v>#VALUE!</v>
      </c>
      <c r="FS214" s="7" t="e" vm="3">
        <f t="shared" ca="1" si="334"/>
        <v>#VALUE!</v>
      </c>
      <c r="FT214" t="e" vm="3">
        <f t="shared" ca="1" si="328"/>
        <v>#VALUE!</v>
      </c>
      <c r="FU214" s="8" t="e" vm="3">
        <f t="shared" ca="1" si="329"/>
        <v>#VALUE!</v>
      </c>
      <c r="FV214" s="8" t="e" vm="3">
        <f t="shared" ca="1" si="330"/>
        <v>#VALUE!</v>
      </c>
      <c r="FW214" s="81" t="e" vm="3">
        <f t="shared" ca="1" si="331"/>
        <v>#VALUE!</v>
      </c>
      <c r="FX214" s="74" t="e">
        <f t="shared" si="335"/>
        <v>#N/A</v>
      </c>
      <c r="FY214" s="82" t="e">
        <f t="shared" si="340"/>
        <v>#N/A</v>
      </c>
      <c r="FZ214" s="7" t="e">
        <f t="shared" si="336"/>
        <v>#N/A</v>
      </c>
      <c r="GA214" t="e">
        <f t="shared" si="341"/>
        <v>#N/A</v>
      </c>
      <c r="GB214" s="8" t="e">
        <f t="shared" si="342"/>
        <v>#N/A</v>
      </c>
      <c r="GC214" s="8" t="e">
        <f t="shared" si="343"/>
        <v>#N/A</v>
      </c>
      <c r="GD214" s="81" t="e">
        <f t="shared" si="344"/>
        <v>#N/A</v>
      </c>
      <c r="GE214" s="74" t="e">
        <f t="shared" si="345"/>
        <v>#N/A</v>
      </c>
      <c r="GF214" s="82" t="e">
        <f t="shared" si="346"/>
        <v>#N/A</v>
      </c>
      <c r="GG214" s="7" t="e">
        <f t="shared" si="337"/>
        <v>#N/A</v>
      </c>
      <c r="GH214" t="e">
        <f t="shared" si="347"/>
        <v>#N/A</v>
      </c>
      <c r="GI214" s="8" t="e">
        <f t="shared" si="348"/>
        <v>#N/A</v>
      </c>
      <c r="GJ214" s="8" t="e">
        <f t="shared" si="349"/>
        <v>#N/A</v>
      </c>
      <c r="GK214" s="81" t="e">
        <f t="shared" si="350"/>
        <v>#N/A</v>
      </c>
      <c r="GL214" s="81"/>
      <c r="GM214" s="81"/>
      <c r="GP214" s="32">
        <f t="shared" si="395"/>
        <v>204</v>
      </c>
      <c r="GQ214" s="32">
        <f t="shared" si="396"/>
        <v>205</v>
      </c>
      <c r="GR214" s="32">
        <f t="shared" si="397"/>
        <v>1.7966466896324498</v>
      </c>
      <c r="GS214" s="32">
        <f t="shared" si="398"/>
        <v>7.942769270709038E-2</v>
      </c>
      <c r="GT214" s="32" t="e">
        <f t="shared" si="399"/>
        <v>#N/A</v>
      </c>
      <c r="GU214" s="32" t="e">
        <f t="shared" si="400"/>
        <v>#N/A</v>
      </c>
      <c r="GV214" s="32" t="e">
        <f t="shared" si="401"/>
        <v>#N/A</v>
      </c>
      <c r="GW214" s="32" t="b">
        <f t="shared" si="402"/>
        <v>0</v>
      </c>
      <c r="GX214" s="32" t="b">
        <f t="shared" si="403"/>
        <v>1</v>
      </c>
      <c r="GY214" s="32" t="b">
        <f t="shared" si="404"/>
        <v>0</v>
      </c>
      <c r="GZ214" s="32" t="b">
        <f t="shared" si="405"/>
        <v>1</v>
      </c>
      <c r="HA214" s="32">
        <f t="shared" si="406"/>
        <v>7.942769270709038E-2</v>
      </c>
      <c r="HB214" s="32" t="e">
        <f t="shared" si="407"/>
        <v>#N/A</v>
      </c>
      <c r="HC214" s="32">
        <f t="shared" si="408"/>
        <v>7.942769270709038E-2</v>
      </c>
      <c r="HD214" s="45" t="str">
        <f t="shared" si="409"/>
        <v/>
      </c>
      <c r="HJ214" s="32">
        <f t="shared" si="410"/>
        <v>204</v>
      </c>
      <c r="HK214" s="32">
        <f t="shared" si="411"/>
        <v>205</v>
      </c>
      <c r="HL214" s="32">
        <f t="shared" si="412"/>
        <v>2.7821451329292639</v>
      </c>
      <c r="HM214" s="32" t="e">
        <f t="shared" si="413"/>
        <v>#N/A</v>
      </c>
      <c r="HN214" s="32">
        <f t="shared" si="414"/>
        <v>1.9580069923484249E-2</v>
      </c>
      <c r="HO214" s="32" t="e">
        <f t="shared" si="415"/>
        <v>#N/A</v>
      </c>
      <c r="HP214" s="32" t="e">
        <f t="shared" si="416"/>
        <v>#N/A</v>
      </c>
      <c r="HQ214" s="32" t="b">
        <f t="shared" si="417"/>
        <v>0</v>
      </c>
      <c r="HR214" s="32" t="b">
        <f t="shared" si="418"/>
        <v>1</v>
      </c>
      <c r="HS214" s="32" t="b">
        <f t="shared" si="419"/>
        <v>1</v>
      </c>
      <c r="HT214" s="32" t="b">
        <f t="shared" si="420"/>
        <v>0</v>
      </c>
      <c r="HU214" s="32">
        <f t="shared" si="421"/>
        <v>1.9580069923484249E-2</v>
      </c>
      <c r="HV214" s="32" t="e">
        <f t="shared" si="422"/>
        <v>#N/A</v>
      </c>
      <c r="HW214" s="32">
        <f t="shared" si="423"/>
        <v>1.9580069923484249E-2</v>
      </c>
      <c r="HX214" s="45" t="str">
        <f t="shared" si="424"/>
        <v/>
      </c>
    </row>
    <row r="215" spans="78:232" x14ac:dyDescent="0.2">
      <c r="BZ215" s="32">
        <f t="shared" si="351"/>
        <v>205</v>
      </c>
      <c r="CA215" s="32">
        <f>Eu_tabel_g[[#This Row],[Indeks]]+1</f>
        <v>206</v>
      </c>
      <c r="CB215" s="32">
        <f t="shared" si="352"/>
        <v>1.8206019788275487</v>
      </c>
      <c r="CC215" s="32">
        <f t="shared" si="353"/>
        <v>7.6059882914996213E-2</v>
      </c>
      <c r="CD215" s="32" t="e">
        <f t="shared" si="354"/>
        <v>#N/A</v>
      </c>
      <c r="CE215" s="32" t="e">
        <f t="shared" si="355"/>
        <v>#N/A</v>
      </c>
      <c r="CF215" s="32" t="e">
        <f t="shared" si="356"/>
        <v>#N/A</v>
      </c>
      <c r="CG215" s="32" t="b">
        <f t="shared" si="357"/>
        <v>0</v>
      </c>
      <c r="CH215" s="32" t="b">
        <f t="shared" si="358"/>
        <v>1</v>
      </c>
      <c r="CI215" s="32" t="b">
        <f t="shared" si="359"/>
        <v>0</v>
      </c>
      <c r="CJ215" s="32" t="b">
        <f t="shared" si="360"/>
        <v>1</v>
      </c>
      <c r="CK215" s="32">
        <f t="shared" si="327"/>
        <v>7.6059882914996213E-2</v>
      </c>
      <c r="CL215" s="32" t="e">
        <f t="shared" si="361"/>
        <v>#N/A</v>
      </c>
      <c r="CM215" s="32">
        <f t="shared" si="362"/>
        <v>7.6059882914996213E-2</v>
      </c>
      <c r="CN215" s="45" t="str">
        <f t="shared" si="363"/>
        <v/>
      </c>
      <c r="CO215" s="32">
        <f>_xlfn.NORM.DIST(_xlfn.NORM.INV(1-Eu_g_konfidensniveau,0,1)-Eu_tabel_g[[#This Row],[x base]],0,1,TRUE)</f>
        <v>2.6466695513984898E-4</v>
      </c>
      <c r="CP215" s="32">
        <f>1-_xlfn.NORM.DIST(_xlfn.NORM.INV(Eu_g_konfidensniveau,0,1)-Eu_tabel_g[[#This Row],[x base]],0,1,TRUE)</f>
        <v>0.56975417642104731</v>
      </c>
      <c r="CQ215" s="32">
        <f>_xlfn.NORM.DIST(_xlfn.NORM.INV((1-Eu_g_konfidensniveau)/2,0,1)-Eu_tabel_g[[#This Row],[x base]],0,1,TRUE)+1-_xlfn.NORM.DIST(_xlfn.NORM.INV(1-(1-Eu_g_konfidensniveau)/2,0,1)-Eu_tabel_g[[#This Row],[x base]],0,1,TRUE)</f>
        <v>0.44466028331450491</v>
      </c>
      <c r="CR215" s="32" t="e" cm="1">
        <f t="array" ref="CR215">IF($CR$3,INDEX(Eu_tabel_g[[#This Row],[Styrke venstre]:[Styrke tosidet]],CR$7),NA())</f>
        <v>#N/A</v>
      </c>
      <c r="CS215" s="52" t="e">
        <f>Eu_tabel_g[[#This Row],[Falsk positiv
Nulhypotese accepteres
Fejltype 1]]</f>
        <v>#N/A</v>
      </c>
      <c r="CT215" s="52" t="e">
        <f>IF(CHOOSE(CR$7,Eu_tabel_g[[#This Row],[x base]]&gt;0,Eu_tabel_g[[#This Row],[x base]]&lt;0,Eu_tabel_g[[#This Row],[x base]]=0),Eu_tabel_g[[#This Row],[Styrke, aktiv]],NA())</f>
        <v>#N/A</v>
      </c>
      <c r="CU215" s="52" t="e">
        <f>IFERROR(IF($CR$3,Eu_tabel_g[[#This Row],[Styrke, aktiv]],NA()),NA())</f>
        <v>#N/A</v>
      </c>
      <c r="CV215" s="52" t="e">
        <f>IF(ISNA(Eu_tabel_g[[#This Row],[Sand negativ
Nulhypotese afvises
Korrekt]]),NA(),IF($CR$3,1,NA()))</f>
        <v>#N/A</v>
      </c>
      <c r="CW215" s="34" t="str" cm="1">
        <f t="array" ref="CW215">_xlfn.SWITCH(BZ215,_xlfn.IFNA(CU$2,-99),CU$5,_xlfn.IFNA(CU$3,-99),CU$6,_xlfn.IFNA(CU$4,-99),CU$7,"")</f>
        <v/>
      </c>
      <c r="DA215" s="7">
        <f t="shared" si="364"/>
        <v>0.8</v>
      </c>
      <c r="DB215">
        <f>IF(ROW(Styrkeberegning_G[[#This Row],[X base venstre]])=ROW(Styrkeberegning_G[[#Headers],[X base venstre]])+1,DB$7/(DA$7/$B$67),DB214/(DA214/$B$67))</f>
        <v>-2.8015817870135784</v>
      </c>
      <c r="DC215">
        <f>Styrkeberegning_G[[#This Row],[X base venstre]]*-1</f>
        <v>2.8015817870135784</v>
      </c>
      <c r="DN215" s="32">
        <f t="shared" si="365"/>
        <v>205</v>
      </c>
      <c r="DO215" s="32">
        <f t="shared" si="366"/>
        <v>206</v>
      </c>
      <c r="DP215" s="32">
        <f t="shared" si="367"/>
        <v>25.218378230138896</v>
      </c>
      <c r="DQ215" s="32" t="e">
        <f t="shared" si="368"/>
        <v>#N/A</v>
      </c>
      <c r="DR215" s="32" t="e">
        <f t="shared" si="369"/>
        <v>#N/A</v>
      </c>
      <c r="DS215" s="32">
        <f t="shared" si="370"/>
        <v>2.8648652308713566E-3</v>
      </c>
      <c r="DT215" s="32" t="e">
        <f t="shared" si="371"/>
        <v>#N/A</v>
      </c>
      <c r="DU215" s="32" t="b">
        <f t="shared" si="372"/>
        <v>0</v>
      </c>
      <c r="DV215" s="32" t="b">
        <f t="shared" si="373"/>
        <v>1</v>
      </c>
      <c r="DW215" s="32" t="b">
        <f t="shared" si="374"/>
        <v>1</v>
      </c>
      <c r="DX215" s="32" t="b">
        <f t="shared" si="375"/>
        <v>0</v>
      </c>
      <c r="DY215" s="32">
        <f t="shared" si="376"/>
        <v>2.8648652308713566E-3</v>
      </c>
      <c r="DZ215" s="32">
        <f t="shared" si="377"/>
        <v>2.8648652308713566E-3</v>
      </c>
      <c r="EA215" s="32" t="e">
        <f t="shared" si="378"/>
        <v>#N/A</v>
      </c>
      <c r="EB215" s="45" t="str">
        <f t="shared" si="379"/>
        <v/>
      </c>
      <c r="EG215" s="32">
        <f t="shared" si="380"/>
        <v>205</v>
      </c>
      <c r="EH215" s="32">
        <f t="shared" si="381"/>
        <v>206</v>
      </c>
      <c r="EI215" s="32">
        <f t="shared" si="382"/>
        <v>1.8206019788275487</v>
      </c>
      <c r="EJ215" s="32">
        <f t="shared" si="383"/>
        <v>7.6059882914996213E-2</v>
      </c>
      <c r="EK215" s="32" t="e">
        <f t="shared" si="384"/>
        <v>#N/A</v>
      </c>
      <c r="EL215" s="32" t="e">
        <f t="shared" si="385"/>
        <v>#N/A</v>
      </c>
      <c r="EM215" s="32" t="e">
        <f t="shared" si="386"/>
        <v>#N/A</v>
      </c>
      <c r="EN215" s="32" t="b">
        <f t="shared" si="387"/>
        <v>0</v>
      </c>
      <c r="EO215" s="32" t="b">
        <f t="shared" si="388"/>
        <v>1</v>
      </c>
      <c r="EP215" s="32" t="b">
        <f t="shared" si="389"/>
        <v>0</v>
      </c>
      <c r="EQ215" s="32" t="b">
        <f t="shared" si="390"/>
        <v>1</v>
      </c>
      <c r="ER215" s="32">
        <f t="shared" si="391"/>
        <v>7.6059882914996213E-2</v>
      </c>
      <c r="ES215" s="32" t="e">
        <f t="shared" si="392"/>
        <v>#N/A</v>
      </c>
      <c r="ET215" s="32">
        <f t="shared" si="393"/>
        <v>7.6059882914996213E-2</v>
      </c>
      <c r="EU215" s="45" t="str">
        <f t="shared" si="394"/>
        <v/>
      </c>
      <c r="EV21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5" s="32" t="e" cm="1">
        <f t="array" ref="EY215">IF($CR$3,INDEX(Eu_tabel_a[[#This Row],[Styrke venstre]:[Styrke tosidet]],EY$7),NA())</f>
        <v>#N/A</v>
      </c>
      <c r="EZ215" s="32" t="e">
        <f>IF(EY$3,IF(CHOOSE(EY$7,Eu_tabel_a[[#This Row],[x base]]&gt;0,Eu_tabel_a[[#This Row],[x base]]&lt;0,Eu_tabel_a[[#This Row],[x base]]=0),1,NA()),NA())</f>
        <v>#N/A</v>
      </c>
      <c r="FA215" s="32" t="e">
        <f>IF(CHOOSE(EY$7,Eu_tabel_a[[#This Row],[x base]]&gt;0,Eu_tabel_a[[#This Row],[x base]]&lt;0,Eu_tabel_a[[#This Row],[x base]]=0),Eu_tabel_a[[#This Row],[Styrke, aktiv]],NA())</f>
        <v>#N/A</v>
      </c>
      <c r="FB215" s="32" t="e">
        <f>IFERROR(IF($EY$3,Eu_tabel_a[[#This Row],[Styrke, aktiv]],NA()),NA())</f>
        <v>#N/A</v>
      </c>
      <c r="FC215" s="32" t="e">
        <f>IF(ISNA(Eu_tabel_a[[#This Row],[Sand negativ
Nulhypotese afvises
Korrekt]]),NA(),IF(EY$3,1,NA()))</f>
        <v>#N/A</v>
      </c>
      <c r="FD215" s="33" t="str" cm="1">
        <f t="array" ref="FD215">IFERROR(_xlfn.SWITCH(Eu_tabel_a[[#This Row],[Indeks]],_xlfn.IFNA(FB$2,-99),FB$5,_xlfn.IFNA(FB$3,-99),FB$6,_xlfn.IFNA(FB$4,-99),FB$7,""),"")</f>
        <v/>
      </c>
      <c r="FE215" s="32">
        <f>Eu_tabel_a[[#This Row],[x base]]*SQRT(Eu_a_h0_x*(1-Eu_a_h0_x)/Eu_a_n_x)+Eu_a_h0_x</f>
        <v>0</v>
      </c>
      <c r="FJ215" s="74" t="e">
        <f t="shared" si="338"/>
        <v>#N/A</v>
      </c>
      <c r="FK215" s="82" t="e">
        <f t="shared" si="322"/>
        <v>#DIV/0!</v>
      </c>
      <c r="FL215" s="7" t="e">
        <f t="shared" si="332"/>
        <v>#DIV/0!</v>
      </c>
      <c r="FM215" t="e">
        <f t="shared" si="323"/>
        <v>#DIV/0!</v>
      </c>
      <c r="FN215" s="8" t="e">
        <f t="shared" si="324"/>
        <v>#DIV/0!</v>
      </c>
      <c r="FO215" s="8" t="e">
        <f t="shared" si="325"/>
        <v>#DIV/0!</v>
      </c>
      <c r="FP215" s="81" t="e">
        <f t="shared" si="326"/>
        <v>#DIV/0!</v>
      </c>
      <c r="FQ215" s="74" t="e">
        <f t="shared" ca="1" si="333"/>
        <v>#N/A</v>
      </c>
      <c r="FR215" s="82" t="e" vm="3">
        <f t="shared" ca="1" si="339"/>
        <v>#VALUE!</v>
      </c>
      <c r="FS215" s="7" t="e" vm="3">
        <f t="shared" ca="1" si="334"/>
        <v>#VALUE!</v>
      </c>
      <c r="FT215" t="e" vm="3">
        <f t="shared" ca="1" si="328"/>
        <v>#VALUE!</v>
      </c>
      <c r="FU215" s="8" t="e" vm="3">
        <f t="shared" ca="1" si="329"/>
        <v>#VALUE!</v>
      </c>
      <c r="FV215" s="8" t="e" vm="3">
        <f t="shared" ca="1" si="330"/>
        <v>#VALUE!</v>
      </c>
      <c r="FW215" s="81" t="e" vm="3">
        <f t="shared" ca="1" si="331"/>
        <v>#VALUE!</v>
      </c>
      <c r="FX215" s="74" t="e">
        <f t="shared" si="335"/>
        <v>#N/A</v>
      </c>
      <c r="FY215" s="82" t="e">
        <f t="shared" si="340"/>
        <v>#N/A</v>
      </c>
      <c r="FZ215" s="7" t="e">
        <f t="shared" si="336"/>
        <v>#N/A</v>
      </c>
      <c r="GA215" t="e">
        <f t="shared" si="341"/>
        <v>#N/A</v>
      </c>
      <c r="GB215" s="8" t="e">
        <f t="shared" si="342"/>
        <v>#N/A</v>
      </c>
      <c r="GC215" s="8" t="e">
        <f t="shared" si="343"/>
        <v>#N/A</v>
      </c>
      <c r="GD215" s="81" t="e">
        <f t="shared" si="344"/>
        <v>#N/A</v>
      </c>
      <c r="GE215" s="74" t="e">
        <f t="shared" si="345"/>
        <v>#N/A</v>
      </c>
      <c r="GF215" s="82" t="e">
        <f t="shared" si="346"/>
        <v>#N/A</v>
      </c>
      <c r="GG215" s="7" t="e">
        <f t="shared" si="337"/>
        <v>#N/A</v>
      </c>
      <c r="GH215" t="e">
        <f t="shared" si="347"/>
        <v>#N/A</v>
      </c>
      <c r="GI215" s="8" t="e">
        <f t="shared" si="348"/>
        <v>#N/A</v>
      </c>
      <c r="GJ215" s="8" t="e">
        <f t="shared" si="349"/>
        <v>#N/A</v>
      </c>
      <c r="GK215" s="81" t="e">
        <f t="shared" si="350"/>
        <v>#N/A</v>
      </c>
      <c r="GL215" s="81"/>
      <c r="GM215" s="81"/>
      <c r="GP215" s="32">
        <f t="shared" si="395"/>
        <v>205</v>
      </c>
      <c r="GQ215" s="32">
        <f t="shared" si="396"/>
        <v>206</v>
      </c>
      <c r="GR215" s="32">
        <f t="shared" si="397"/>
        <v>1.8206019788275487</v>
      </c>
      <c r="GS215" s="32">
        <f t="shared" si="398"/>
        <v>7.6059882914996213E-2</v>
      </c>
      <c r="GT215" s="32" t="e">
        <f t="shared" si="399"/>
        <v>#N/A</v>
      </c>
      <c r="GU215" s="32" t="e">
        <f t="shared" si="400"/>
        <v>#N/A</v>
      </c>
      <c r="GV215" s="32" t="e">
        <f t="shared" si="401"/>
        <v>#N/A</v>
      </c>
      <c r="GW215" s="32" t="b">
        <f t="shared" si="402"/>
        <v>0</v>
      </c>
      <c r="GX215" s="32" t="b">
        <f t="shared" si="403"/>
        <v>1</v>
      </c>
      <c r="GY215" s="32" t="b">
        <f t="shared" si="404"/>
        <v>0</v>
      </c>
      <c r="GZ215" s="32" t="b">
        <f t="shared" si="405"/>
        <v>1</v>
      </c>
      <c r="HA215" s="32">
        <f t="shared" si="406"/>
        <v>7.6059882914996213E-2</v>
      </c>
      <c r="HB215" s="32" t="e">
        <f t="shared" si="407"/>
        <v>#N/A</v>
      </c>
      <c r="HC215" s="32">
        <f t="shared" si="408"/>
        <v>7.6059882914996213E-2</v>
      </c>
      <c r="HD215" s="45" t="str">
        <f t="shared" si="409"/>
        <v/>
      </c>
      <c r="HJ215" s="32">
        <f t="shared" si="410"/>
        <v>205</v>
      </c>
      <c r="HK215" s="32">
        <f t="shared" si="411"/>
        <v>206</v>
      </c>
      <c r="HL215" s="32">
        <f t="shared" si="412"/>
        <v>2.8192404013683205</v>
      </c>
      <c r="HM215" s="32" t="e">
        <f t="shared" si="413"/>
        <v>#N/A</v>
      </c>
      <c r="HN215" s="32">
        <f t="shared" si="414"/>
        <v>1.8513876266587247E-2</v>
      </c>
      <c r="HO215" s="32" t="e">
        <f t="shared" si="415"/>
        <v>#N/A</v>
      </c>
      <c r="HP215" s="32" t="e">
        <f t="shared" si="416"/>
        <v>#N/A</v>
      </c>
      <c r="HQ215" s="32" t="b">
        <f t="shared" si="417"/>
        <v>0</v>
      </c>
      <c r="HR215" s="32" t="b">
        <f t="shared" si="418"/>
        <v>1</v>
      </c>
      <c r="HS215" s="32" t="b">
        <f t="shared" si="419"/>
        <v>1</v>
      </c>
      <c r="HT215" s="32" t="b">
        <f t="shared" si="420"/>
        <v>0</v>
      </c>
      <c r="HU215" s="32">
        <f t="shared" si="421"/>
        <v>1.8513876266587247E-2</v>
      </c>
      <c r="HV215" s="32" t="e">
        <f t="shared" si="422"/>
        <v>#N/A</v>
      </c>
      <c r="HW215" s="32">
        <f t="shared" si="423"/>
        <v>1.8513876266587247E-2</v>
      </c>
      <c r="HX215" s="45" t="str">
        <f t="shared" si="424"/>
        <v/>
      </c>
    </row>
    <row r="216" spans="78:232" x14ac:dyDescent="0.2">
      <c r="BZ216" s="32">
        <f t="shared" si="351"/>
        <v>206</v>
      </c>
      <c r="CA216" s="32">
        <f>Eu_tabel_g[[#This Row],[Indeks]]+1</f>
        <v>207</v>
      </c>
      <c r="CB216" s="32">
        <f t="shared" si="352"/>
        <v>1.8445572680226485</v>
      </c>
      <c r="CC216" s="32">
        <f t="shared" si="353"/>
        <v>7.2793086735565712E-2</v>
      </c>
      <c r="CD216" s="32" t="e">
        <f t="shared" si="354"/>
        <v>#N/A</v>
      </c>
      <c r="CE216" s="32" t="e">
        <f t="shared" si="355"/>
        <v>#N/A</v>
      </c>
      <c r="CF216" s="32" t="e">
        <f t="shared" si="356"/>
        <v>#N/A</v>
      </c>
      <c r="CG216" s="32" t="b">
        <f t="shared" si="357"/>
        <v>0</v>
      </c>
      <c r="CH216" s="32" t="b">
        <f t="shared" si="358"/>
        <v>1</v>
      </c>
      <c r="CI216" s="32" t="b">
        <f t="shared" si="359"/>
        <v>0</v>
      </c>
      <c r="CJ216" s="32" t="b">
        <f t="shared" si="360"/>
        <v>1</v>
      </c>
      <c r="CK216" s="32">
        <f t="shared" si="327"/>
        <v>7.2793086735565712E-2</v>
      </c>
      <c r="CL216" s="32" t="e">
        <f t="shared" si="361"/>
        <v>#N/A</v>
      </c>
      <c r="CM216" s="32">
        <f t="shared" si="362"/>
        <v>7.2793086735565712E-2</v>
      </c>
      <c r="CN216" s="45" t="str">
        <f t="shared" si="363"/>
        <v/>
      </c>
      <c r="CO216" s="32">
        <f>_xlfn.NORM.DIST(_xlfn.NORM.INV(1-Eu_g_konfidensniveau,0,1)-Eu_tabel_g[[#This Row],[x base]],0,1,TRUE)</f>
        <v>2.4204320849681733E-4</v>
      </c>
      <c r="CP216" s="32">
        <f>1-_xlfn.NORM.DIST(_xlfn.NORM.INV(Eu_g_konfidensniveau,0,1)-Eu_tabel_g[[#This Row],[x base]],0,1,TRUE)</f>
        <v>0.57914381701234718</v>
      </c>
      <c r="CQ216" s="32">
        <f>_xlfn.NORM.DIST(_xlfn.NORM.INV((1-Eu_g_konfidensniveau)/2,0,1)-Eu_tabel_g[[#This Row],[x base]],0,1,TRUE)+1-_xlfn.NORM.DIST(_xlfn.NORM.INV(1-(1-Eu_g_konfidensniveau)/2,0,1)-Eu_tabel_g[[#This Row],[x base]],0,1,TRUE)</f>
        <v>0.45413241711912866</v>
      </c>
      <c r="CR216" s="32" t="e" cm="1">
        <f t="array" ref="CR216">IF($CR$3,INDEX(Eu_tabel_g[[#This Row],[Styrke venstre]:[Styrke tosidet]],CR$7),NA())</f>
        <v>#N/A</v>
      </c>
      <c r="CS216" s="52" t="e">
        <f>Eu_tabel_g[[#This Row],[Falsk positiv
Nulhypotese accepteres
Fejltype 1]]</f>
        <v>#N/A</v>
      </c>
      <c r="CT216" s="52" t="e">
        <f>IF(CHOOSE(CR$7,Eu_tabel_g[[#This Row],[x base]]&gt;0,Eu_tabel_g[[#This Row],[x base]]&lt;0,Eu_tabel_g[[#This Row],[x base]]=0),Eu_tabel_g[[#This Row],[Styrke, aktiv]],NA())</f>
        <v>#N/A</v>
      </c>
      <c r="CU216" s="52" t="e">
        <f>IFERROR(IF($CR$3,Eu_tabel_g[[#This Row],[Styrke, aktiv]],NA()),NA())</f>
        <v>#N/A</v>
      </c>
      <c r="CV216" s="52" t="e">
        <f>IF(ISNA(Eu_tabel_g[[#This Row],[Sand negativ
Nulhypotese afvises
Korrekt]]),NA(),IF($CR$3,1,NA()))</f>
        <v>#N/A</v>
      </c>
      <c r="CW216" s="34" t="str" cm="1">
        <f t="array" ref="CW216">_xlfn.SWITCH(BZ216,_xlfn.IFNA(CU$2,-99),CU$5,_xlfn.IFNA(CU$3,-99),CU$6,_xlfn.IFNA(CU$4,-99),CU$7,"")</f>
        <v/>
      </c>
      <c r="DA216" s="7">
        <f t="shared" si="364"/>
        <v>0.8</v>
      </c>
      <c r="DB216">
        <f>IF(ROW(Styrkeberegning_G[[#This Row],[X base venstre]])=ROW(Styrkeberegning_G[[#Headers],[X base venstre]])+1,DB$7/(DA$7/$B$67),DB215/(DA215/$B$67))</f>
        <v>-2.8015817870135784</v>
      </c>
      <c r="DC216">
        <f>Styrkeberegning_G[[#This Row],[X base venstre]]*-1</f>
        <v>2.8015817870135784</v>
      </c>
      <c r="DN216" s="32">
        <f t="shared" si="365"/>
        <v>206</v>
      </c>
      <c r="DO216" s="32">
        <f t="shared" si="366"/>
        <v>207</v>
      </c>
      <c r="DP216" s="32">
        <f t="shared" si="367"/>
        <v>25.332449086555897</v>
      </c>
      <c r="DQ216" s="32" t="e">
        <f t="shared" si="368"/>
        <v>#N/A</v>
      </c>
      <c r="DR216" s="32" t="e">
        <f t="shared" si="369"/>
        <v>#N/A</v>
      </c>
      <c r="DS216" s="32">
        <f t="shared" si="370"/>
        <v>2.7615577823302622E-3</v>
      </c>
      <c r="DT216" s="32" t="e">
        <f t="shared" si="371"/>
        <v>#N/A</v>
      </c>
      <c r="DU216" s="32" t="b">
        <f t="shared" si="372"/>
        <v>0</v>
      </c>
      <c r="DV216" s="32" t="b">
        <f t="shared" si="373"/>
        <v>1</v>
      </c>
      <c r="DW216" s="32" t="b">
        <f t="shared" si="374"/>
        <v>1</v>
      </c>
      <c r="DX216" s="32" t="b">
        <f t="shared" si="375"/>
        <v>0</v>
      </c>
      <c r="DY216" s="32">
        <f t="shared" si="376"/>
        <v>2.7615577823302622E-3</v>
      </c>
      <c r="DZ216" s="32">
        <f t="shared" si="377"/>
        <v>2.7615577823302622E-3</v>
      </c>
      <c r="EA216" s="32" t="e">
        <f t="shared" si="378"/>
        <v>#N/A</v>
      </c>
      <c r="EB216" s="45" t="str">
        <f t="shared" si="379"/>
        <v/>
      </c>
      <c r="EG216" s="32">
        <f t="shared" si="380"/>
        <v>206</v>
      </c>
      <c r="EH216" s="32">
        <f t="shared" si="381"/>
        <v>207</v>
      </c>
      <c r="EI216" s="32">
        <f t="shared" si="382"/>
        <v>1.8445572680226485</v>
      </c>
      <c r="EJ216" s="32">
        <f t="shared" si="383"/>
        <v>7.2793086735565712E-2</v>
      </c>
      <c r="EK216" s="32" t="e">
        <f t="shared" si="384"/>
        <v>#N/A</v>
      </c>
      <c r="EL216" s="32" t="e">
        <f t="shared" si="385"/>
        <v>#N/A</v>
      </c>
      <c r="EM216" s="32" t="e">
        <f t="shared" si="386"/>
        <v>#N/A</v>
      </c>
      <c r="EN216" s="32" t="b">
        <f t="shared" si="387"/>
        <v>0</v>
      </c>
      <c r="EO216" s="32" t="b">
        <f t="shared" si="388"/>
        <v>1</v>
      </c>
      <c r="EP216" s="32" t="b">
        <f t="shared" si="389"/>
        <v>0</v>
      </c>
      <c r="EQ216" s="32" t="b">
        <f t="shared" si="390"/>
        <v>1</v>
      </c>
      <c r="ER216" s="32">
        <f t="shared" si="391"/>
        <v>7.2793086735565712E-2</v>
      </c>
      <c r="ES216" s="32" t="e">
        <f t="shared" si="392"/>
        <v>#N/A</v>
      </c>
      <c r="ET216" s="32">
        <f t="shared" si="393"/>
        <v>7.2793086735565712E-2</v>
      </c>
      <c r="EU216" s="45" t="str">
        <f t="shared" si="394"/>
        <v/>
      </c>
      <c r="EV21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6" s="32" t="e" cm="1">
        <f t="array" ref="EY216">IF($CR$3,INDEX(Eu_tabel_a[[#This Row],[Styrke venstre]:[Styrke tosidet]],EY$7),NA())</f>
        <v>#N/A</v>
      </c>
      <c r="EZ216" s="32" t="e">
        <f>IF(EY$3,IF(CHOOSE(EY$7,Eu_tabel_a[[#This Row],[x base]]&gt;0,Eu_tabel_a[[#This Row],[x base]]&lt;0,Eu_tabel_a[[#This Row],[x base]]=0),1,NA()),NA())</f>
        <v>#N/A</v>
      </c>
      <c r="FA216" s="32" t="e">
        <f>IF(CHOOSE(EY$7,Eu_tabel_a[[#This Row],[x base]]&gt;0,Eu_tabel_a[[#This Row],[x base]]&lt;0,Eu_tabel_a[[#This Row],[x base]]=0),Eu_tabel_a[[#This Row],[Styrke, aktiv]],NA())</f>
        <v>#N/A</v>
      </c>
      <c r="FB216" s="32" t="e">
        <f>IFERROR(IF($EY$3,Eu_tabel_a[[#This Row],[Styrke, aktiv]],NA()),NA())</f>
        <v>#N/A</v>
      </c>
      <c r="FC216" s="32" t="e">
        <f>IF(ISNA(Eu_tabel_a[[#This Row],[Sand negativ
Nulhypotese afvises
Korrekt]]),NA(),IF(EY$3,1,NA()))</f>
        <v>#N/A</v>
      </c>
      <c r="FD216" s="33" t="str" cm="1">
        <f t="array" ref="FD216">IFERROR(_xlfn.SWITCH(Eu_tabel_a[[#This Row],[Indeks]],_xlfn.IFNA(FB$2,-99),FB$5,_xlfn.IFNA(FB$3,-99),FB$6,_xlfn.IFNA(FB$4,-99),FB$7,""),"")</f>
        <v/>
      </c>
      <c r="FE216" s="32">
        <f>Eu_tabel_a[[#This Row],[x base]]*SQRT(Eu_a_h0_x*(1-Eu_a_h0_x)/Eu_a_n_x)+Eu_a_h0_x</f>
        <v>0</v>
      </c>
      <c r="FJ216" s="74" t="e">
        <f t="shared" si="338"/>
        <v>#N/A</v>
      </c>
      <c r="FK216" s="82" t="e">
        <f t="shared" si="322"/>
        <v>#DIV/0!</v>
      </c>
      <c r="FL216" s="7" t="e">
        <f t="shared" si="332"/>
        <v>#DIV/0!</v>
      </c>
      <c r="FM216" t="e">
        <f t="shared" si="323"/>
        <v>#DIV/0!</v>
      </c>
      <c r="FN216" s="8" t="e">
        <f t="shared" si="324"/>
        <v>#DIV/0!</v>
      </c>
      <c r="FO216" s="8" t="e">
        <f t="shared" si="325"/>
        <v>#DIV/0!</v>
      </c>
      <c r="FP216" s="81" t="e">
        <f t="shared" si="326"/>
        <v>#DIV/0!</v>
      </c>
      <c r="FQ216" s="74" t="e">
        <f t="shared" ca="1" si="333"/>
        <v>#N/A</v>
      </c>
      <c r="FR216" s="82" t="e" vm="3">
        <f t="shared" ca="1" si="339"/>
        <v>#VALUE!</v>
      </c>
      <c r="FS216" s="7" t="e" vm="3">
        <f t="shared" ca="1" si="334"/>
        <v>#VALUE!</v>
      </c>
      <c r="FT216" t="e" vm="3">
        <f t="shared" ca="1" si="328"/>
        <v>#VALUE!</v>
      </c>
      <c r="FU216" s="8" t="e" vm="3">
        <f t="shared" ca="1" si="329"/>
        <v>#VALUE!</v>
      </c>
      <c r="FV216" s="8" t="e" vm="3">
        <f t="shared" ca="1" si="330"/>
        <v>#VALUE!</v>
      </c>
      <c r="FW216" s="81" t="e" vm="3">
        <f t="shared" ca="1" si="331"/>
        <v>#VALUE!</v>
      </c>
      <c r="FX216" s="74" t="e">
        <f t="shared" si="335"/>
        <v>#N/A</v>
      </c>
      <c r="FY216" s="82" t="e">
        <f t="shared" si="340"/>
        <v>#N/A</v>
      </c>
      <c r="FZ216" s="7" t="e">
        <f t="shared" si="336"/>
        <v>#N/A</v>
      </c>
      <c r="GA216" t="e">
        <f t="shared" si="341"/>
        <v>#N/A</v>
      </c>
      <c r="GB216" s="8" t="e">
        <f t="shared" si="342"/>
        <v>#N/A</v>
      </c>
      <c r="GC216" s="8" t="e">
        <f t="shared" si="343"/>
        <v>#N/A</v>
      </c>
      <c r="GD216" s="81" t="e">
        <f t="shared" si="344"/>
        <v>#N/A</v>
      </c>
      <c r="GE216" s="74" t="e">
        <f t="shared" si="345"/>
        <v>#N/A</v>
      </c>
      <c r="GF216" s="82" t="e">
        <f t="shared" si="346"/>
        <v>#N/A</v>
      </c>
      <c r="GG216" s="7" t="e">
        <f t="shared" si="337"/>
        <v>#N/A</v>
      </c>
      <c r="GH216" t="e">
        <f t="shared" si="347"/>
        <v>#N/A</v>
      </c>
      <c r="GI216" s="8" t="e">
        <f t="shared" si="348"/>
        <v>#N/A</v>
      </c>
      <c r="GJ216" s="8" t="e">
        <f t="shared" si="349"/>
        <v>#N/A</v>
      </c>
      <c r="GK216" s="81" t="e">
        <f t="shared" si="350"/>
        <v>#N/A</v>
      </c>
      <c r="GL216" s="81"/>
      <c r="GM216" s="81"/>
      <c r="GP216" s="32">
        <f t="shared" si="395"/>
        <v>206</v>
      </c>
      <c r="GQ216" s="32">
        <f t="shared" si="396"/>
        <v>207</v>
      </c>
      <c r="GR216" s="32">
        <f t="shared" si="397"/>
        <v>1.8445572680226485</v>
      </c>
      <c r="GS216" s="32">
        <f t="shared" si="398"/>
        <v>7.2793086735565712E-2</v>
      </c>
      <c r="GT216" s="32" t="e">
        <f t="shared" si="399"/>
        <v>#N/A</v>
      </c>
      <c r="GU216" s="32" t="e">
        <f t="shared" si="400"/>
        <v>#N/A</v>
      </c>
      <c r="GV216" s="32" t="e">
        <f t="shared" si="401"/>
        <v>#N/A</v>
      </c>
      <c r="GW216" s="32" t="b">
        <f t="shared" si="402"/>
        <v>0</v>
      </c>
      <c r="GX216" s="32" t="b">
        <f t="shared" si="403"/>
        <v>1</v>
      </c>
      <c r="GY216" s="32" t="b">
        <f t="shared" si="404"/>
        <v>0</v>
      </c>
      <c r="GZ216" s="32" t="b">
        <f t="shared" si="405"/>
        <v>1</v>
      </c>
      <c r="HA216" s="32">
        <f t="shared" si="406"/>
        <v>7.2793086735565712E-2</v>
      </c>
      <c r="HB216" s="32" t="e">
        <f t="shared" si="407"/>
        <v>#N/A</v>
      </c>
      <c r="HC216" s="32">
        <f t="shared" si="408"/>
        <v>7.2793086735565712E-2</v>
      </c>
      <c r="HD216" s="45" t="str">
        <f t="shared" si="409"/>
        <v/>
      </c>
      <c r="HJ216" s="32">
        <f t="shared" si="410"/>
        <v>206</v>
      </c>
      <c r="HK216" s="32">
        <f t="shared" si="411"/>
        <v>207</v>
      </c>
      <c r="HL216" s="32">
        <f t="shared" si="412"/>
        <v>2.8563356698073772</v>
      </c>
      <c r="HM216" s="32" t="e">
        <f t="shared" si="413"/>
        <v>#N/A</v>
      </c>
      <c r="HN216" s="32">
        <f t="shared" si="414"/>
        <v>1.750655719349652E-2</v>
      </c>
      <c r="HO216" s="32" t="e">
        <f t="shared" si="415"/>
        <v>#N/A</v>
      </c>
      <c r="HP216" s="32" t="e">
        <f t="shared" si="416"/>
        <v>#N/A</v>
      </c>
      <c r="HQ216" s="32" t="b">
        <f t="shared" si="417"/>
        <v>0</v>
      </c>
      <c r="HR216" s="32" t="b">
        <f t="shared" si="418"/>
        <v>1</v>
      </c>
      <c r="HS216" s="32" t="b">
        <f t="shared" si="419"/>
        <v>1</v>
      </c>
      <c r="HT216" s="32" t="b">
        <f t="shared" si="420"/>
        <v>0</v>
      </c>
      <c r="HU216" s="32">
        <f t="shared" si="421"/>
        <v>1.750655719349652E-2</v>
      </c>
      <c r="HV216" s="32" t="e">
        <f t="shared" si="422"/>
        <v>#N/A</v>
      </c>
      <c r="HW216" s="32">
        <f t="shared" si="423"/>
        <v>1.750655719349652E-2</v>
      </c>
      <c r="HX216" s="45" t="str">
        <f t="shared" si="424"/>
        <v/>
      </c>
    </row>
    <row r="217" spans="78:232" x14ac:dyDescent="0.2">
      <c r="BZ217" s="32">
        <f t="shared" si="351"/>
        <v>207</v>
      </c>
      <c r="CA217" s="32">
        <f>Eu_tabel_g[[#This Row],[Indeks]]+1</f>
        <v>208</v>
      </c>
      <c r="CB217" s="32">
        <f t="shared" si="352"/>
        <v>1.8685125572177474</v>
      </c>
      <c r="CC217" s="32">
        <f t="shared" si="353"/>
        <v>6.962663337221206E-2</v>
      </c>
      <c r="CD217" s="32" t="e">
        <f t="shared" si="354"/>
        <v>#N/A</v>
      </c>
      <c r="CE217" s="32" t="e">
        <f t="shared" si="355"/>
        <v>#N/A</v>
      </c>
      <c r="CF217" s="32" t="e">
        <f t="shared" si="356"/>
        <v>#N/A</v>
      </c>
      <c r="CG217" s="32" t="b">
        <f t="shared" si="357"/>
        <v>0</v>
      </c>
      <c r="CH217" s="32" t="b">
        <f t="shared" si="358"/>
        <v>1</v>
      </c>
      <c r="CI217" s="32" t="b">
        <f t="shared" si="359"/>
        <v>0</v>
      </c>
      <c r="CJ217" s="32" t="b">
        <f t="shared" si="360"/>
        <v>1</v>
      </c>
      <c r="CK217" s="32">
        <f t="shared" si="327"/>
        <v>6.962663337221206E-2</v>
      </c>
      <c r="CL217" s="32" t="e">
        <f t="shared" si="361"/>
        <v>#N/A</v>
      </c>
      <c r="CM217" s="32">
        <f t="shared" si="362"/>
        <v>6.962663337221206E-2</v>
      </c>
      <c r="CN217" s="45" t="str">
        <f t="shared" si="363"/>
        <v/>
      </c>
      <c r="CO217" s="32">
        <f>_xlfn.NORM.DIST(_xlfn.NORM.INV(1-Eu_g_konfidensniveau,0,1)-Eu_tabel_g[[#This Row],[x base]],0,1,TRUE)</f>
        <v>2.2123361219902565E-4</v>
      </c>
      <c r="CP217" s="32">
        <f>1-_xlfn.NORM.DIST(_xlfn.NORM.INV(Eu_g_konfidensniveau,0,1)-Eu_tabel_g[[#This Row],[x base]],0,1,TRUE)</f>
        <v>0.58848864736652096</v>
      </c>
      <c r="CQ217" s="32">
        <f>_xlfn.NORM.DIST(_xlfn.NORM.INV((1-Eu_g_konfidensniveau)/2,0,1)-Eu_tabel_g[[#This Row],[x base]],0,1,TRUE)+1-_xlfn.NORM.DIST(_xlfn.NORM.INV(1-(1-Eu_g_konfidensniveau)/2,0,1)-Eu_tabel_g[[#This Row],[x base]],0,1,TRUE)</f>
        <v>0.46363141936747909</v>
      </c>
      <c r="CR217" s="32" t="e" cm="1">
        <f t="array" ref="CR217">IF($CR$3,INDEX(Eu_tabel_g[[#This Row],[Styrke venstre]:[Styrke tosidet]],CR$7),NA())</f>
        <v>#N/A</v>
      </c>
      <c r="CS217" s="52" t="e">
        <f>Eu_tabel_g[[#This Row],[Falsk positiv
Nulhypotese accepteres
Fejltype 1]]</f>
        <v>#N/A</v>
      </c>
      <c r="CT217" s="52" t="e">
        <f>IF(CHOOSE(CR$7,Eu_tabel_g[[#This Row],[x base]]&gt;0,Eu_tabel_g[[#This Row],[x base]]&lt;0,Eu_tabel_g[[#This Row],[x base]]=0),Eu_tabel_g[[#This Row],[Styrke, aktiv]],NA())</f>
        <v>#N/A</v>
      </c>
      <c r="CU217" s="52" t="e">
        <f>IFERROR(IF($CR$3,Eu_tabel_g[[#This Row],[Styrke, aktiv]],NA()),NA())</f>
        <v>#N/A</v>
      </c>
      <c r="CV217" s="52" t="e">
        <f>IF(ISNA(Eu_tabel_g[[#This Row],[Sand negativ
Nulhypotese afvises
Korrekt]]),NA(),IF($CR$3,1,NA()))</f>
        <v>#N/A</v>
      </c>
      <c r="CW217" s="34" t="str" cm="1">
        <f t="array" ref="CW217">_xlfn.SWITCH(BZ217,_xlfn.IFNA(CU$2,-99),CU$5,_xlfn.IFNA(CU$3,-99),CU$6,_xlfn.IFNA(CU$4,-99),CU$7,"")</f>
        <v/>
      </c>
      <c r="DA217" s="7">
        <f t="shared" si="364"/>
        <v>0.8</v>
      </c>
      <c r="DB217">
        <f>IF(ROW(Styrkeberegning_G[[#This Row],[X base venstre]])=ROW(Styrkeberegning_G[[#Headers],[X base venstre]])+1,DB$7/(DA$7/$B$67),DB216/(DA216/$B$67))</f>
        <v>-2.8015817870135784</v>
      </c>
      <c r="DC217">
        <f>Styrkeberegning_G[[#This Row],[X base venstre]]*-1</f>
        <v>2.8015817870135784</v>
      </c>
      <c r="DN217" s="32">
        <f t="shared" si="365"/>
        <v>207</v>
      </c>
      <c r="DO217" s="32">
        <f t="shared" si="366"/>
        <v>208</v>
      </c>
      <c r="DP217" s="32">
        <f t="shared" si="367"/>
        <v>25.446519942972898</v>
      </c>
      <c r="DQ217" s="32" t="e">
        <f t="shared" si="368"/>
        <v>#N/A</v>
      </c>
      <c r="DR217" s="32" t="e">
        <f t="shared" si="369"/>
        <v>#N/A</v>
      </c>
      <c r="DS217" s="32">
        <f t="shared" si="370"/>
        <v>2.6617327326080762E-3</v>
      </c>
      <c r="DT217" s="32" t="e">
        <f t="shared" si="371"/>
        <v>#N/A</v>
      </c>
      <c r="DU217" s="32" t="b">
        <f t="shared" si="372"/>
        <v>0</v>
      </c>
      <c r="DV217" s="32" t="b">
        <f t="shared" si="373"/>
        <v>1</v>
      </c>
      <c r="DW217" s="32" t="b">
        <f t="shared" si="374"/>
        <v>1</v>
      </c>
      <c r="DX217" s="32" t="b">
        <f t="shared" si="375"/>
        <v>0</v>
      </c>
      <c r="DY217" s="32">
        <f t="shared" si="376"/>
        <v>2.6617327326080762E-3</v>
      </c>
      <c r="DZ217" s="32">
        <f t="shared" si="377"/>
        <v>2.6617327326080762E-3</v>
      </c>
      <c r="EA217" s="32" t="e">
        <f t="shared" si="378"/>
        <v>#N/A</v>
      </c>
      <c r="EB217" s="45" t="str">
        <f t="shared" si="379"/>
        <v/>
      </c>
      <c r="EG217" s="32">
        <f t="shared" si="380"/>
        <v>207</v>
      </c>
      <c r="EH217" s="32">
        <f t="shared" si="381"/>
        <v>208</v>
      </c>
      <c r="EI217" s="32">
        <f t="shared" si="382"/>
        <v>1.8685125572177474</v>
      </c>
      <c r="EJ217" s="32">
        <f t="shared" si="383"/>
        <v>6.962663337221206E-2</v>
      </c>
      <c r="EK217" s="32" t="e">
        <f t="shared" si="384"/>
        <v>#N/A</v>
      </c>
      <c r="EL217" s="32" t="e">
        <f t="shared" si="385"/>
        <v>#N/A</v>
      </c>
      <c r="EM217" s="32" t="e">
        <f t="shared" si="386"/>
        <v>#N/A</v>
      </c>
      <c r="EN217" s="32" t="b">
        <f t="shared" si="387"/>
        <v>0</v>
      </c>
      <c r="EO217" s="32" t="b">
        <f t="shared" si="388"/>
        <v>1</v>
      </c>
      <c r="EP217" s="32" t="b">
        <f t="shared" si="389"/>
        <v>0</v>
      </c>
      <c r="EQ217" s="32" t="b">
        <f t="shared" si="390"/>
        <v>1</v>
      </c>
      <c r="ER217" s="32">
        <f t="shared" si="391"/>
        <v>6.962663337221206E-2</v>
      </c>
      <c r="ES217" s="32" t="e">
        <f t="shared" si="392"/>
        <v>#N/A</v>
      </c>
      <c r="ET217" s="32">
        <f t="shared" si="393"/>
        <v>6.962663337221206E-2</v>
      </c>
      <c r="EU217" s="45" t="str">
        <f t="shared" si="394"/>
        <v/>
      </c>
      <c r="EV21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7" s="32" t="e" cm="1">
        <f t="array" ref="EY217">IF($CR$3,INDEX(Eu_tabel_a[[#This Row],[Styrke venstre]:[Styrke tosidet]],EY$7),NA())</f>
        <v>#N/A</v>
      </c>
      <c r="EZ217" s="32" t="e">
        <f>IF(EY$3,IF(CHOOSE(EY$7,Eu_tabel_a[[#This Row],[x base]]&gt;0,Eu_tabel_a[[#This Row],[x base]]&lt;0,Eu_tabel_a[[#This Row],[x base]]=0),1,NA()),NA())</f>
        <v>#N/A</v>
      </c>
      <c r="FA217" s="32" t="e">
        <f>IF(CHOOSE(EY$7,Eu_tabel_a[[#This Row],[x base]]&gt;0,Eu_tabel_a[[#This Row],[x base]]&lt;0,Eu_tabel_a[[#This Row],[x base]]=0),Eu_tabel_a[[#This Row],[Styrke, aktiv]],NA())</f>
        <v>#N/A</v>
      </c>
      <c r="FB217" s="32" t="e">
        <f>IFERROR(IF($EY$3,Eu_tabel_a[[#This Row],[Styrke, aktiv]],NA()),NA())</f>
        <v>#N/A</v>
      </c>
      <c r="FC217" s="32" t="e">
        <f>IF(ISNA(Eu_tabel_a[[#This Row],[Sand negativ
Nulhypotese afvises
Korrekt]]),NA(),IF(EY$3,1,NA()))</f>
        <v>#N/A</v>
      </c>
      <c r="FD217" s="33" t="str" cm="1">
        <f t="array" ref="FD217">IFERROR(_xlfn.SWITCH(Eu_tabel_a[[#This Row],[Indeks]],_xlfn.IFNA(FB$2,-99),FB$5,_xlfn.IFNA(FB$3,-99),FB$6,_xlfn.IFNA(FB$4,-99),FB$7,""),"")</f>
        <v/>
      </c>
      <c r="FE217" s="32">
        <f>Eu_tabel_a[[#This Row],[x base]]*SQRT(Eu_a_h0_x*(1-Eu_a_h0_x)/Eu_a_n_x)+Eu_a_h0_x</f>
        <v>0</v>
      </c>
      <c r="FJ217" s="74" t="e">
        <f t="shared" si="338"/>
        <v>#N/A</v>
      </c>
      <c r="FK217" s="82" t="e">
        <f t="shared" si="322"/>
        <v>#DIV/0!</v>
      </c>
      <c r="FL217" s="7" t="e">
        <f t="shared" si="332"/>
        <v>#DIV/0!</v>
      </c>
      <c r="FM217" t="e">
        <f t="shared" si="323"/>
        <v>#DIV/0!</v>
      </c>
      <c r="FN217" s="8" t="e">
        <f t="shared" si="324"/>
        <v>#DIV/0!</v>
      </c>
      <c r="FO217" s="8" t="e">
        <f t="shared" si="325"/>
        <v>#DIV/0!</v>
      </c>
      <c r="FP217" s="81" t="e">
        <f t="shared" si="326"/>
        <v>#DIV/0!</v>
      </c>
      <c r="FQ217" s="74" t="e">
        <f t="shared" ca="1" si="333"/>
        <v>#N/A</v>
      </c>
      <c r="FR217" s="82" t="e" vm="3">
        <f t="shared" ca="1" si="339"/>
        <v>#VALUE!</v>
      </c>
      <c r="FS217" s="7" t="e" vm="3">
        <f t="shared" ca="1" si="334"/>
        <v>#VALUE!</v>
      </c>
      <c r="FT217" t="e" vm="3">
        <f t="shared" ca="1" si="328"/>
        <v>#VALUE!</v>
      </c>
      <c r="FU217" s="8" t="e" vm="3">
        <f t="shared" ca="1" si="329"/>
        <v>#VALUE!</v>
      </c>
      <c r="FV217" s="8" t="e" vm="3">
        <f t="shared" ca="1" si="330"/>
        <v>#VALUE!</v>
      </c>
      <c r="FW217" s="81" t="e" vm="3">
        <f t="shared" ca="1" si="331"/>
        <v>#VALUE!</v>
      </c>
      <c r="FX217" s="74" t="e">
        <f t="shared" si="335"/>
        <v>#N/A</v>
      </c>
      <c r="FY217" s="82" t="e">
        <f t="shared" si="340"/>
        <v>#N/A</v>
      </c>
      <c r="FZ217" s="7" t="e">
        <f t="shared" si="336"/>
        <v>#N/A</v>
      </c>
      <c r="GA217" t="e">
        <f t="shared" si="341"/>
        <v>#N/A</v>
      </c>
      <c r="GB217" s="8" t="e">
        <f t="shared" si="342"/>
        <v>#N/A</v>
      </c>
      <c r="GC217" s="8" t="e">
        <f t="shared" si="343"/>
        <v>#N/A</v>
      </c>
      <c r="GD217" s="81" t="e">
        <f t="shared" si="344"/>
        <v>#N/A</v>
      </c>
      <c r="GE217" s="74" t="e">
        <f t="shared" si="345"/>
        <v>#N/A</v>
      </c>
      <c r="GF217" s="82" t="e">
        <f t="shared" si="346"/>
        <v>#N/A</v>
      </c>
      <c r="GG217" s="7" t="e">
        <f t="shared" si="337"/>
        <v>#N/A</v>
      </c>
      <c r="GH217" t="e">
        <f t="shared" si="347"/>
        <v>#N/A</v>
      </c>
      <c r="GI217" s="8" t="e">
        <f t="shared" si="348"/>
        <v>#N/A</v>
      </c>
      <c r="GJ217" s="8" t="e">
        <f t="shared" si="349"/>
        <v>#N/A</v>
      </c>
      <c r="GK217" s="81" t="e">
        <f t="shared" si="350"/>
        <v>#N/A</v>
      </c>
      <c r="GL217" s="81"/>
      <c r="GM217" s="81"/>
      <c r="GP217" s="32">
        <f t="shared" si="395"/>
        <v>207</v>
      </c>
      <c r="GQ217" s="32">
        <f t="shared" si="396"/>
        <v>208</v>
      </c>
      <c r="GR217" s="32">
        <f t="shared" si="397"/>
        <v>1.8685125572177474</v>
      </c>
      <c r="GS217" s="32">
        <f t="shared" si="398"/>
        <v>6.962663337221206E-2</v>
      </c>
      <c r="GT217" s="32" t="e">
        <f t="shared" si="399"/>
        <v>#N/A</v>
      </c>
      <c r="GU217" s="32" t="e">
        <f t="shared" si="400"/>
        <v>#N/A</v>
      </c>
      <c r="GV217" s="32" t="e">
        <f t="shared" si="401"/>
        <v>#N/A</v>
      </c>
      <c r="GW217" s="32" t="b">
        <f t="shared" si="402"/>
        <v>0</v>
      </c>
      <c r="GX217" s="32" t="b">
        <f t="shared" si="403"/>
        <v>1</v>
      </c>
      <c r="GY217" s="32" t="b">
        <f t="shared" si="404"/>
        <v>0</v>
      </c>
      <c r="GZ217" s="32" t="b">
        <f t="shared" si="405"/>
        <v>1</v>
      </c>
      <c r="HA217" s="32">
        <f t="shared" si="406"/>
        <v>6.962663337221206E-2</v>
      </c>
      <c r="HB217" s="32" t="e">
        <f t="shared" si="407"/>
        <v>#N/A</v>
      </c>
      <c r="HC217" s="32">
        <f t="shared" si="408"/>
        <v>6.962663337221206E-2</v>
      </c>
      <c r="HD217" s="45" t="str">
        <f t="shared" si="409"/>
        <v/>
      </c>
      <c r="HJ217" s="32">
        <f t="shared" si="410"/>
        <v>207</v>
      </c>
      <c r="HK217" s="32">
        <f t="shared" si="411"/>
        <v>208</v>
      </c>
      <c r="HL217" s="32">
        <f t="shared" si="412"/>
        <v>2.8934309382464347</v>
      </c>
      <c r="HM217" s="32" t="e">
        <f t="shared" si="413"/>
        <v>#N/A</v>
      </c>
      <c r="HN217" s="32">
        <f t="shared" si="414"/>
        <v>1.6554963588224707E-2</v>
      </c>
      <c r="HO217" s="32" t="e">
        <f t="shared" si="415"/>
        <v>#N/A</v>
      </c>
      <c r="HP217" s="32" t="e">
        <f t="shared" si="416"/>
        <v>#N/A</v>
      </c>
      <c r="HQ217" s="32" t="b">
        <f t="shared" si="417"/>
        <v>0</v>
      </c>
      <c r="HR217" s="32" t="b">
        <f t="shared" si="418"/>
        <v>1</v>
      </c>
      <c r="HS217" s="32" t="b">
        <f t="shared" si="419"/>
        <v>1</v>
      </c>
      <c r="HT217" s="32" t="b">
        <f t="shared" si="420"/>
        <v>0</v>
      </c>
      <c r="HU217" s="32">
        <f t="shared" si="421"/>
        <v>1.6554963588224707E-2</v>
      </c>
      <c r="HV217" s="32" t="e">
        <f t="shared" si="422"/>
        <v>#N/A</v>
      </c>
      <c r="HW217" s="32">
        <f t="shared" si="423"/>
        <v>1.6554963588224707E-2</v>
      </c>
      <c r="HX217" s="45" t="str">
        <f t="shared" si="424"/>
        <v/>
      </c>
    </row>
    <row r="218" spans="78:232" x14ac:dyDescent="0.2">
      <c r="BZ218" s="32">
        <f t="shared" si="351"/>
        <v>208</v>
      </c>
      <c r="CA218" s="32">
        <f>Eu_tabel_g[[#This Row],[Indeks]]+1</f>
        <v>209</v>
      </c>
      <c r="CB218" s="32">
        <f t="shared" si="352"/>
        <v>1.8924678464128464</v>
      </c>
      <c r="CC218" s="32">
        <f t="shared" si="353"/>
        <v>6.655971208943702E-2</v>
      </c>
      <c r="CD218" s="32" t="e">
        <f t="shared" si="354"/>
        <v>#N/A</v>
      </c>
      <c r="CE218" s="32" t="e">
        <f t="shared" si="355"/>
        <v>#N/A</v>
      </c>
      <c r="CF218" s="32" t="e">
        <f t="shared" si="356"/>
        <v>#N/A</v>
      </c>
      <c r="CG218" s="32" t="b">
        <f t="shared" si="357"/>
        <v>0</v>
      </c>
      <c r="CH218" s="32" t="b">
        <f t="shared" si="358"/>
        <v>1</v>
      </c>
      <c r="CI218" s="32" t="b">
        <f t="shared" si="359"/>
        <v>0</v>
      </c>
      <c r="CJ218" s="32" t="b">
        <f t="shared" si="360"/>
        <v>1</v>
      </c>
      <c r="CK218" s="32">
        <f t="shared" si="327"/>
        <v>6.655971208943702E-2</v>
      </c>
      <c r="CL218" s="32" t="e">
        <f t="shared" si="361"/>
        <v>#N/A</v>
      </c>
      <c r="CM218" s="32">
        <f t="shared" si="362"/>
        <v>6.655971208943702E-2</v>
      </c>
      <c r="CN218" s="45" t="str">
        <f t="shared" si="363"/>
        <v/>
      </c>
      <c r="CO218" s="32">
        <f>_xlfn.NORM.DIST(_xlfn.NORM.INV(1-Eu_g_konfidensniveau,0,1)-Eu_tabel_g[[#This Row],[x base]],0,1,TRUE)</f>
        <v>2.021036738241286E-4</v>
      </c>
      <c r="CP218" s="32">
        <f>1-_xlfn.NORM.DIST(_xlfn.NORM.INV(Eu_g_konfidensniveau,0,1)-Eu_tabel_g[[#This Row],[x base]],0,1,TRUE)</f>
        <v>0.59778354612388762</v>
      </c>
      <c r="CQ218" s="32">
        <f>_xlfn.NORM.DIST(_xlfn.NORM.INV((1-Eu_g_konfidensniveau)/2,0,1)-Eu_tabel_g[[#This Row],[x base]],0,1,TRUE)+1-_xlfn.NORM.DIST(_xlfn.NORM.INV(1-(1-Eu_g_konfidensniveau)/2,0,1)-Eu_tabel_g[[#This Row],[x base]],0,1,TRUE)</f>
        <v>0.47315184344261074</v>
      </c>
      <c r="CR218" s="32" t="e" cm="1">
        <f t="array" ref="CR218">IF($CR$3,INDEX(Eu_tabel_g[[#This Row],[Styrke venstre]:[Styrke tosidet]],CR$7),NA())</f>
        <v>#N/A</v>
      </c>
      <c r="CS218" s="52" t="e">
        <f>Eu_tabel_g[[#This Row],[Falsk positiv
Nulhypotese accepteres
Fejltype 1]]</f>
        <v>#N/A</v>
      </c>
      <c r="CT218" s="52" t="e">
        <f>IF(CHOOSE(CR$7,Eu_tabel_g[[#This Row],[x base]]&gt;0,Eu_tabel_g[[#This Row],[x base]]&lt;0,Eu_tabel_g[[#This Row],[x base]]=0),Eu_tabel_g[[#This Row],[Styrke, aktiv]],NA())</f>
        <v>#N/A</v>
      </c>
      <c r="CU218" s="52" t="e">
        <f>IFERROR(IF($CR$3,Eu_tabel_g[[#This Row],[Styrke, aktiv]],NA()),NA())</f>
        <v>#N/A</v>
      </c>
      <c r="CV218" s="52" t="e">
        <f>IF(ISNA(Eu_tabel_g[[#This Row],[Sand negativ
Nulhypotese afvises
Korrekt]]),NA(),IF($CR$3,1,NA()))</f>
        <v>#N/A</v>
      </c>
      <c r="CW218" s="34" t="str" cm="1">
        <f t="array" ref="CW218">_xlfn.SWITCH(BZ218,_xlfn.IFNA(CU$2,-99),CU$5,_xlfn.IFNA(CU$3,-99),CU$6,_xlfn.IFNA(CU$4,-99),CU$7,"")</f>
        <v/>
      </c>
      <c r="DA218" s="7">
        <f t="shared" si="364"/>
        <v>0.8</v>
      </c>
      <c r="DB218">
        <f>IF(ROW(Styrkeberegning_G[[#This Row],[X base venstre]])=ROW(Styrkeberegning_G[[#Headers],[X base venstre]])+1,DB$7/(DA$7/$B$67),DB217/(DA217/$B$67))</f>
        <v>-2.8015817870135784</v>
      </c>
      <c r="DC218">
        <f>Styrkeberegning_G[[#This Row],[X base venstre]]*-1</f>
        <v>2.8015817870135784</v>
      </c>
      <c r="DN218" s="32">
        <f t="shared" si="365"/>
        <v>208</v>
      </c>
      <c r="DO218" s="32">
        <f t="shared" si="366"/>
        <v>209</v>
      </c>
      <c r="DP218" s="32">
        <f t="shared" si="367"/>
        <v>25.5605907993899</v>
      </c>
      <c r="DQ218" s="32" t="e">
        <f t="shared" si="368"/>
        <v>#N/A</v>
      </c>
      <c r="DR218" s="32" t="e">
        <f t="shared" si="369"/>
        <v>#N/A</v>
      </c>
      <c r="DS218" s="32">
        <f t="shared" si="370"/>
        <v>2.5652841806335465E-3</v>
      </c>
      <c r="DT218" s="32" t="e">
        <f t="shared" si="371"/>
        <v>#N/A</v>
      </c>
      <c r="DU218" s="32" t="b">
        <f t="shared" si="372"/>
        <v>0</v>
      </c>
      <c r="DV218" s="32" t="b">
        <f t="shared" si="373"/>
        <v>1</v>
      </c>
      <c r="DW218" s="32" t="b">
        <f t="shared" si="374"/>
        <v>1</v>
      </c>
      <c r="DX218" s="32" t="b">
        <f t="shared" si="375"/>
        <v>0</v>
      </c>
      <c r="DY218" s="32">
        <f t="shared" si="376"/>
        <v>2.5652841806335465E-3</v>
      </c>
      <c r="DZ218" s="32">
        <f t="shared" si="377"/>
        <v>2.5652841806335465E-3</v>
      </c>
      <c r="EA218" s="32" t="e">
        <f t="shared" si="378"/>
        <v>#N/A</v>
      </c>
      <c r="EB218" s="45" t="str">
        <f t="shared" si="379"/>
        <v/>
      </c>
      <c r="EG218" s="32">
        <f t="shared" si="380"/>
        <v>208</v>
      </c>
      <c r="EH218" s="32">
        <f t="shared" si="381"/>
        <v>209</v>
      </c>
      <c r="EI218" s="32">
        <f t="shared" si="382"/>
        <v>1.8924678464128464</v>
      </c>
      <c r="EJ218" s="32">
        <f t="shared" si="383"/>
        <v>6.655971208943702E-2</v>
      </c>
      <c r="EK218" s="32" t="e">
        <f t="shared" si="384"/>
        <v>#N/A</v>
      </c>
      <c r="EL218" s="32" t="e">
        <f t="shared" si="385"/>
        <v>#N/A</v>
      </c>
      <c r="EM218" s="32" t="e">
        <f t="shared" si="386"/>
        <v>#N/A</v>
      </c>
      <c r="EN218" s="32" t="b">
        <f t="shared" si="387"/>
        <v>0</v>
      </c>
      <c r="EO218" s="32" t="b">
        <f t="shared" si="388"/>
        <v>1</v>
      </c>
      <c r="EP218" s="32" t="b">
        <f t="shared" si="389"/>
        <v>0</v>
      </c>
      <c r="EQ218" s="32" t="b">
        <f t="shared" si="390"/>
        <v>1</v>
      </c>
      <c r="ER218" s="32">
        <f t="shared" si="391"/>
        <v>6.655971208943702E-2</v>
      </c>
      <c r="ES218" s="32" t="e">
        <f t="shared" si="392"/>
        <v>#N/A</v>
      </c>
      <c r="ET218" s="32">
        <f t="shared" si="393"/>
        <v>6.655971208943702E-2</v>
      </c>
      <c r="EU218" s="45" t="str">
        <f t="shared" si="394"/>
        <v/>
      </c>
      <c r="EV21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8" s="32" t="e" cm="1">
        <f t="array" ref="EY218">IF($CR$3,INDEX(Eu_tabel_a[[#This Row],[Styrke venstre]:[Styrke tosidet]],EY$7),NA())</f>
        <v>#N/A</v>
      </c>
      <c r="EZ218" s="32" t="e">
        <f>IF(EY$3,IF(CHOOSE(EY$7,Eu_tabel_a[[#This Row],[x base]]&gt;0,Eu_tabel_a[[#This Row],[x base]]&lt;0,Eu_tabel_a[[#This Row],[x base]]=0),1,NA()),NA())</f>
        <v>#N/A</v>
      </c>
      <c r="FA218" s="32" t="e">
        <f>IF(CHOOSE(EY$7,Eu_tabel_a[[#This Row],[x base]]&gt;0,Eu_tabel_a[[#This Row],[x base]]&lt;0,Eu_tabel_a[[#This Row],[x base]]=0),Eu_tabel_a[[#This Row],[Styrke, aktiv]],NA())</f>
        <v>#N/A</v>
      </c>
      <c r="FB218" s="32" t="e">
        <f>IFERROR(IF($EY$3,Eu_tabel_a[[#This Row],[Styrke, aktiv]],NA()),NA())</f>
        <v>#N/A</v>
      </c>
      <c r="FC218" s="32" t="e">
        <f>IF(ISNA(Eu_tabel_a[[#This Row],[Sand negativ
Nulhypotese afvises
Korrekt]]),NA(),IF(EY$3,1,NA()))</f>
        <v>#N/A</v>
      </c>
      <c r="FD218" s="33" t="str" cm="1">
        <f t="array" ref="FD218">IFERROR(_xlfn.SWITCH(Eu_tabel_a[[#This Row],[Indeks]],_xlfn.IFNA(FB$2,-99),FB$5,_xlfn.IFNA(FB$3,-99),FB$6,_xlfn.IFNA(FB$4,-99),FB$7,""),"")</f>
        <v/>
      </c>
      <c r="FE218" s="32">
        <f>Eu_tabel_a[[#This Row],[x base]]*SQRT(Eu_a_h0_x*(1-Eu_a_h0_x)/Eu_a_n_x)+Eu_a_h0_x</f>
        <v>0</v>
      </c>
      <c r="FJ218" s="74" t="e">
        <f t="shared" si="338"/>
        <v>#N/A</v>
      </c>
      <c r="FK218" s="82" t="e">
        <f t="shared" si="322"/>
        <v>#DIV/0!</v>
      </c>
      <c r="FL218" s="7" t="e">
        <f t="shared" si="332"/>
        <v>#DIV/0!</v>
      </c>
      <c r="FM218" t="e">
        <f t="shared" si="323"/>
        <v>#DIV/0!</v>
      </c>
      <c r="FN218" s="8" t="e">
        <f t="shared" si="324"/>
        <v>#DIV/0!</v>
      </c>
      <c r="FO218" s="8" t="e">
        <f t="shared" si="325"/>
        <v>#DIV/0!</v>
      </c>
      <c r="FP218" s="81" t="e">
        <f t="shared" si="326"/>
        <v>#DIV/0!</v>
      </c>
      <c r="FQ218" s="74" t="e">
        <f t="shared" ca="1" si="333"/>
        <v>#N/A</v>
      </c>
      <c r="FR218" s="82" t="e" vm="3">
        <f t="shared" ca="1" si="339"/>
        <v>#VALUE!</v>
      </c>
      <c r="FS218" s="7" t="e" vm="3">
        <f t="shared" ca="1" si="334"/>
        <v>#VALUE!</v>
      </c>
      <c r="FT218" t="e" vm="3">
        <f t="shared" ca="1" si="328"/>
        <v>#VALUE!</v>
      </c>
      <c r="FU218" s="8" t="e" vm="3">
        <f t="shared" ca="1" si="329"/>
        <v>#VALUE!</v>
      </c>
      <c r="FV218" s="8" t="e" vm="3">
        <f t="shared" ca="1" si="330"/>
        <v>#VALUE!</v>
      </c>
      <c r="FW218" s="81" t="e" vm="3">
        <f t="shared" ca="1" si="331"/>
        <v>#VALUE!</v>
      </c>
      <c r="FX218" s="74" t="e">
        <f t="shared" si="335"/>
        <v>#N/A</v>
      </c>
      <c r="FY218" s="82" t="e">
        <f t="shared" si="340"/>
        <v>#N/A</v>
      </c>
      <c r="FZ218" s="7" t="e">
        <f t="shared" si="336"/>
        <v>#N/A</v>
      </c>
      <c r="GA218" t="e">
        <f t="shared" si="341"/>
        <v>#N/A</v>
      </c>
      <c r="GB218" s="8" t="e">
        <f t="shared" si="342"/>
        <v>#N/A</v>
      </c>
      <c r="GC218" s="8" t="e">
        <f t="shared" si="343"/>
        <v>#N/A</v>
      </c>
      <c r="GD218" s="81" t="e">
        <f t="shared" si="344"/>
        <v>#N/A</v>
      </c>
      <c r="GE218" s="74" t="e">
        <f t="shared" si="345"/>
        <v>#N/A</v>
      </c>
      <c r="GF218" s="82" t="e">
        <f t="shared" si="346"/>
        <v>#N/A</v>
      </c>
      <c r="GG218" s="7" t="e">
        <f t="shared" si="337"/>
        <v>#N/A</v>
      </c>
      <c r="GH218" t="e">
        <f t="shared" si="347"/>
        <v>#N/A</v>
      </c>
      <c r="GI218" s="8" t="e">
        <f t="shared" si="348"/>
        <v>#N/A</v>
      </c>
      <c r="GJ218" s="8" t="e">
        <f t="shared" si="349"/>
        <v>#N/A</v>
      </c>
      <c r="GK218" s="81" t="e">
        <f t="shared" si="350"/>
        <v>#N/A</v>
      </c>
      <c r="GL218" s="81"/>
      <c r="GM218" s="81"/>
      <c r="GP218" s="32">
        <f t="shared" si="395"/>
        <v>208</v>
      </c>
      <c r="GQ218" s="32">
        <f t="shared" si="396"/>
        <v>209</v>
      </c>
      <c r="GR218" s="32">
        <f t="shared" si="397"/>
        <v>1.8924678464128464</v>
      </c>
      <c r="GS218" s="32">
        <f t="shared" si="398"/>
        <v>6.655971208943702E-2</v>
      </c>
      <c r="GT218" s="32" t="e">
        <f t="shared" si="399"/>
        <v>#N/A</v>
      </c>
      <c r="GU218" s="32" t="e">
        <f t="shared" si="400"/>
        <v>#N/A</v>
      </c>
      <c r="GV218" s="32" t="e">
        <f t="shared" si="401"/>
        <v>#N/A</v>
      </c>
      <c r="GW218" s="32" t="b">
        <f t="shared" si="402"/>
        <v>0</v>
      </c>
      <c r="GX218" s="32" t="b">
        <f t="shared" si="403"/>
        <v>1</v>
      </c>
      <c r="GY218" s="32" t="b">
        <f t="shared" si="404"/>
        <v>0</v>
      </c>
      <c r="GZ218" s="32" t="b">
        <f t="shared" si="405"/>
        <v>1</v>
      </c>
      <c r="HA218" s="32">
        <f t="shared" si="406"/>
        <v>6.655971208943702E-2</v>
      </c>
      <c r="HB218" s="32" t="e">
        <f t="shared" si="407"/>
        <v>#N/A</v>
      </c>
      <c r="HC218" s="32">
        <f t="shared" si="408"/>
        <v>6.655971208943702E-2</v>
      </c>
      <c r="HD218" s="45" t="str">
        <f t="shared" si="409"/>
        <v/>
      </c>
      <c r="HJ218" s="32">
        <f t="shared" si="410"/>
        <v>208</v>
      </c>
      <c r="HK218" s="32">
        <f t="shared" si="411"/>
        <v>209</v>
      </c>
      <c r="HL218" s="32">
        <f t="shared" si="412"/>
        <v>2.9305262066854914</v>
      </c>
      <c r="HM218" s="32" t="e">
        <f t="shared" si="413"/>
        <v>#N/A</v>
      </c>
      <c r="HN218" s="32">
        <f t="shared" si="414"/>
        <v>1.5656095335046905E-2</v>
      </c>
      <c r="HO218" s="32" t="e">
        <f t="shared" si="415"/>
        <v>#N/A</v>
      </c>
      <c r="HP218" s="32" t="e">
        <f t="shared" si="416"/>
        <v>#N/A</v>
      </c>
      <c r="HQ218" s="32" t="b">
        <f t="shared" si="417"/>
        <v>0</v>
      </c>
      <c r="HR218" s="32" t="b">
        <f t="shared" si="418"/>
        <v>1</v>
      </c>
      <c r="HS218" s="32" t="b">
        <f t="shared" si="419"/>
        <v>1</v>
      </c>
      <c r="HT218" s="32" t="b">
        <f t="shared" si="420"/>
        <v>0</v>
      </c>
      <c r="HU218" s="32">
        <f t="shared" si="421"/>
        <v>1.5656095335046905E-2</v>
      </c>
      <c r="HV218" s="32" t="e">
        <f t="shared" si="422"/>
        <v>#N/A</v>
      </c>
      <c r="HW218" s="32">
        <f t="shared" si="423"/>
        <v>1.5656095335046905E-2</v>
      </c>
      <c r="HX218" s="45" t="str">
        <f t="shared" si="424"/>
        <v/>
      </c>
    </row>
    <row r="219" spans="78:232" x14ac:dyDescent="0.2">
      <c r="BZ219" s="32">
        <f t="shared" si="351"/>
        <v>209</v>
      </c>
      <c r="CA219" s="32">
        <f>Eu_tabel_g[[#This Row],[Indeks]]+1</f>
        <v>210</v>
      </c>
      <c r="CB219" s="32">
        <f t="shared" si="352"/>
        <v>1.9164231356079462</v>
      </c>
      <c r="CC219" s="32">
        <f t="shared" si="353"/>
        <v>6.3591380118377214E-2</v>
      </c>
      <c r="CD219" s="32" t="e">
        <f t="shared" si="354"/>
        <v>#N/A</v>
      </c>
      <c r="CE219" s="32" t="e">
        <f t="shared" si="355"/>
        <v>#N/A</v>
      </c>
      <c r="CF219" s="32" t="e">
        <f t="shared" si="356"/>
        <v>#N/A</v>
      </c>
      <c r="CG219" s="32" t="b">
        <f t="shared" si="357"/>
        <v>0</v>
      </c>
      <c r="CH219" s="32" t="b">
        <f t="shared" si="358"/>
        <v>1</v>
      </c>
      <c r="CI219" s="32" t="b">
        <f t="shared" si="359"/>
        <v>0</v>
      </c>
      <c r="CJ219" s="32" t="b">
        <f t="shared" si="360"/>
        <v>1</v>
      </c>
      <c r="CK219" s="32">
        <f t="shared" si="327"/>
        <v>6.3591380118377214E-2</v>
      </c>
      <c r="CL219" s="32" t="e">
        <f t="shared" si="361"/>
        <v>#N/A</v>
      </c>
      <c r="CM219" s="32">
        <f t="shared" si="362"/>
        <v>6.3591380118377214E-2</v>
      </c>
      <c r="CN219" s="45" t="str">
        <f t="shared" si="363"/>
        <v/>
      </c>
      <c r="CO219" s="32">
        <f>_xlfn.NORM.DIST(_xlfn.NORM.INV(1-Eu_g_konfidensniveau,0,1)-Eu_tabel_g[[#This Row],[x base]],0,1,TRUE)</f>
        <v>1.8452790723522174E-4</v>
      </c>
      <c r="CP219" s="32">
        <f>1-_xlfn.NORM.DIST(_xlfn.NORM.INV(Eu_g_konfidensniveau,0,1)-Eu_tabel_g[[#This Row],[x base]],0,1,TRUE)</f>
        <v>0.60702347642423038</v>
      </c>
      <c r="CQ219" s="32">
        <f>_xlfn.NORM.DIST(_xlfn.NORM.INV((1-Eu_g_konfidensniveau)/2,0,1)-Eu_tabel_g[[#This Row],[x base]],0,1,TRUE)+1-_xlfn.NORM.DIST(_xlfn.NORM.INV(1-(1-Eu_g_konfidensniveau)/2,0,1)-Eu_tabel_g[[#This Row],[x base]],0,1,TRUE)</f>
        <v>0.48268821080330215</v>
      </c>
      <c r="CR219" s="32" t="e" cm="1">
        <f t="array" ref="CR219">IF($CR$3,INDEX(Eu_tabel_g[[#This Row],[Styrke venstre]:[Styrke tosidet]],CR$7),NA())</f>
        <v>#N/A</v>
      </c>
      <c r="CS219" s="52" t="e">
        <f>Eu_tabel_g[[#This Row],[Falsk positiv
Nulhypotese accepteres
Fejltype 1]]</f>
        <v>#N/A</v>
      </c>
      <c r="CT219" s="52" t="e">
        <f>IF(CHOOSE(CR$7,Eu_tabel_g[[#This Row],[x base]]&gt;0,Eu_tabel_g[[#This Row],[x base]]&lt;0,Eu_tabel_g[[#This Row],[x base]]=0),Eu_tabel_g[[#This Row],[Styrke, aktiv]],NA())</f>
        <v>#N/A</v>
      </c>
      <c r="CU219" s="52" t="e">
        <f>IFERROR(IF($CR$3,Eu_tabel_g[[#This Row],[Styrke, aktiv]],NA()),NA())</f>
        <v>#N/A</v>
      </c>
      <c r="CV219" s="52" t="e">
        <f>IF(ISNA(Eu_tabel_g[[#This Row],[Sand negativ
Nulhypotese afvises
Korrekt]]),NA(),IF($CR$3,1,NA()))</f>
        <v>#N/A</v>
      </c>
      <c r="CW219" s="34" t="str" cm="1">
        <f t="array" ref="CW219">_xlfn.SWITCH(BZ219,_xlfn.IFNA(CU$2,-99),CU$5,_xlfn.IFNA(CU$3,-99),CU$6,_xlfn.IFNA(CU$4,-99),CU$7,"")</f>
        <v/>
      </c>
      <c r="DA219" s="7">
        <f t="shared" si="364"/>
        <v>0.8</v>
      </c>
      <c r="DB219">
        <f>IF(ROW(Styrkeberegning_G[[#This Row],[X base venstre]])=ROW(Styrkeberegning_G[[#Headers],[X base venstre]])+1,DB$7/(DA$7/$B$67),DB218/(DA218/$B$67))</f>
        <v>-2.8015817870135784</v>
      </c>
      <c r="DC219">
        <f>Styrkeberegning_G[[#This Row],[X base venstre]]*-1</f>
        <v>2.8015817870135784</v>
      </c>
      <c r="DN219" s="32">
        <f t="shared" si="365"/>
        <v>209</v>
      </c>
      <c r="DO219" s="32">
        <f t="shared" si="366"/>
        <v>210</v>
      </c>
      <c r="DP219" s="32">
        <f t="shared" si="367"/>
        <v>25.674661655806901</v>
      </c>
      <c r="DQ219" s="32" t="e">
        <f t="shared" si="368"/>
        <v>#N/A</v>
      </c>
      <c r="DR219" s="32" t="e">
        <f t="shared" si="369"/>
        <v>#N/A</v>
      </c>
      <c r="DS219" s="32">
        <f t="shared" si="370"/>
        <v>2.4721088957970891E-3</v>
      </c>
      <c r="DT219" s="32" t="e">
        <f t="shared" si="371"/>
        <v>#N/A</v>
      </c>
      <c r="DU219" s="32" t="b">
        <f t="shared" si="372"/>
        <v>0</v>
      </c>
      <c r="DV219" s="32" t="b">
        <f t="shared" si="373"/>
        <v>1</v>
      </c>
      <c r="DW219" s="32" t="b">
        <f t="shared" si="374"/>
        <v>1</v>
      </c>
      <c r="DX219" s="32" t="b">
        <f t="shared" si="375"/>
        <v>0</v>
      </c>
      <c r="DY219" s="32">
        <f t="shared" si="376"/>
        <v>2.4721088957970891E-3</v>
      </c>
      <c r="DZ219" s="32">
        <f t="shared" si="377"/>
        <v>2.4721088957970891E-3</v>
      </c>
      <c r="EA219" s="32" t="e">
        <f t="shared" si="378"/>
        <v>#N/A</v>
      </c>
      <c r="EB219" s="45" t="str">
        <f t="shared" si="379"/>
        <v/>
      </c>
      <c r="EG219" s="32">
        <f t="shared" si="380"/>
        <v>209</v>
      </c>
      <c r="EH219" s="32">
        <f t="shared" si="381"/>
        <v>210</v>
      </c>
      <c r="EI219" s="32">
        <f t="shared" si="382"/>
        <v>1.9164231356079462</v>
      </c>
      <c r="EJ219" s="32">
        <f t="shared" si="383"/>
        <v>6.3591380118377214E-2</v>
      </c>
      <c r="EK219" s="32" t="e">
        <f t="shared" si="384"/>
        <v>#N/A</v>
      </c>
      <c r="EL219" s="32" t="e">
        <f t="shared" si="385"/>
        <v>#N/A</v>
      </c>
      <c r="EM219" s="32" t="e">
        <f t="shared" si="386"/>
        <v>#N/A</v>
      </c>
      <c r="EN219" s="32" t="b">
        <f t="shared" si="387"/>
        <v>0</v>
      </c>
      <c r="EO219" s="32" t="b">
        <f t="shared" si="388"/>
        <v>1</v>
      </c>
      <c r="EP219" s="32" t="b">
        <f t="shared" si="389"/>
        <v>0</v>
      </c>
      <c r="EQ219" s="32" t="b">
        <f t="shared" si="390"/>
        <v>1</v>
      </c>
      <c r="ER219" s="32">
        <f t="shared" si="391"/>
        <v>6.3591380118377214E-2</v>
      </c>
      <c r="ES219" s="32" t="e">
        <f t="shared" si="392"/>
        <v>#N/A</v>
      </c>
      <c r="ET219" s="32">
        <f t="shared" si="393"/>
        <v>6.3591380118377214E-2</v>
      </c>
      <c r="EU219" s="45" t="str">
        <f t="shared" si="394"/>
        <v/>
      </c>
      <c r="EV21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9" s="32" t="e" cm="1">
        <f t="array" ref="EY219">IF($CR$3,INDEX(Eu_tabel_a[[#This Row],[Styrke venstre]:[Styrke tosidet]],EY$7),NA())</f>
        <v>#N/A</v>
      </c>
      <c r="EZ219" s="32" t="e">
        <f>IF(EY$3,IF(CHOOSE(EY$7,Eu_tabel_a[[#This Row],[x base]]&gt;0,Eu_tabel_a[[#This Row],[x base]]&lt;0,Eu_tabel_a[[#This Row],[x base]]=0),1,NA()),NA())</f>
        <v>#N/A</v>
      </c>
      <c r="FA219" s="32" t="e">
        <f>IF(CHOOSE(EY$7,Eu_tabel_a[[#This Row],[x base]]&gt;0,Eu_tabel_a[[#This Row],[x base]]&lt;0,Eu_tabel_a[[#This Row],[x base]]=0),Eu_tabel_a[[#This Row],[Styrke, aktiv]],NA())</f>
        <v>#N/A</v>
      </c>
      <c r="FB219" s="32" t="e">
        <f>IFERROR(IF($EY$3,Eu_tabel_a[[#This Row],[Styrke, aktiv]],NA()),NA())</f>
        <v>#N/A</v>
      </c>
      <c r="FC219" s="32" t="e">
        <f>IF(ISNA(Eu_tabel_a[[#This Row],[Sand negativ
Nulhypotese afvises
Korrekt]]),NA(),IF(EY$3,1,NA()))</f>
        <v>#N/A</v>
      </c>
      <c r="FD219" s="33" t="str" cm="1">
        <f t="array" ref="FD219">IFERROR(_xlfn.SWITCH(Eu_tabel_a[[#This Row],[Indeks]],_xlfn.IFNA(FB$2,-99),FB$5,_xlfn.IFNA(FB$3,-99),FB$6,_xlfn.IFNA(FB$4,-99),FB$7,""),"")</f>
        <v/>
      </c>
      <c r="FE219" s="32">
        <f>Eu_tabel_a[[#This Row],[x base]]*SQRT(Eu_a_h0_x*(1-Eu_a_h0_x)/Eu_a_n_x)+Eu_a_h0_x</f>
        <v>0</v>
      </c>
      <c r="FJ219" s="74" t="e">
        <f t="shared" si="338"/>
        <v>#N/A</v>
      </c>
      <c r="FK219" s="82" t="e">
        <f t="shared" si="322"/>
        <v>#DIV/0!</v>
      </c>
      <c r="FL219" s="7" t="e">
        <f t="shared" si="332"/>
        <v>#DIV/0!</v>
      </c>
      <c r="FM219" t="e">
        <f t="shared" si="323"/>
        <v>#DIV/0!</v>
      </c>
      <c r="FN219" s="8" t="e">
        <f t="shared" si="324"/>
        <v>#DIV/0!</v>
      </c>
      <c r="FO219" s="8" t="e">
        <f t="shared" si="325"/>
        <v>#DIV/0!</v>
      </c>
      <c r="FP219" s="81" t="e">
        <f t="shared" si="326"/>
        <v>#DIV/0!</v>
      </c>
      <c r="FQ219" s="74" t="e">
        <f t="shared" ca="1" si="333"/>
        <v>#N/A</v>
      </c>
      <c r="FR219" s="82" t="e" vm="3">
        <f t="shared" ca="1" si="339"/>
        <v>#VALUE!</v>
      </c>
      <c r="FS219" s="7" t="e" vm="3">
        <f t="shared" ca="1" si="334"/>
        <v>#VALUE!</v>
      </c>
      <c r="FT219" t="e" vm="3">
        <f t="shared" ca="1" si="328"/>
        <v>#VALUE!</v>
      </c>
      <c r="FU219" s="8" t="e" vm="3">
        <f t="shared" ca="1" si="329"/>
        <v>#VALUE!</v>
      </c>
      <c r="FV219" s="8" t="e" vm="3">
        <f t="shared" ca="1" si="330"/>
        <v>#VALUE!</v>
      </c>
      <c r="FW219" s="81" t="e" vm="3">
        <f t="shared" ca="1" si="331"/>
        <v>#VALUE!</v>
      </c>
      <c r="FX219" s="74" t="e">
        <f t="shared" si="335"/>
        <v>#N/A</v>
      </c>
      <c r="FY219" s="82" t="e">
        <f t="shared" si="340"/>
        <v>#N/A</v>
      </c>
      <c r="FZ219" s="7" t="e">
        <f t="shared" si="336"/>
        <v>#N/A</v>
      </c>
      <c r="GA219" t="e">
        <f t="shared" si="341"/>
        <v>#N/A</v>
      </c>
      <c r="GB219" s="8" t="e">
        <f t="shared" si="342"/>
        <v>#N/A</v>
      </c>
      <c r="GC219" s="8" t="e">
        <f t="shared" si="343"/>
        <v>#N/A</v>
      </c>
      <c r="GD219" s="81" t="e">
        <f t="shared" si="344"/>
        <v>#N/A</v>
      </c>
      <c r="GE219" s="74" t="e">
        <f t="shared" si="345"/>
        <v>#N/A</v>
      </c>
      <c r="GF219" s="82" t="e">
        <f t="shared" si="346"/>
        <v>#N/A</v>
      </c>
      <c r="GG219" s="7" t="e">
        <f t="shared" si="337"/>
        <v>#N/A</v>
      </c>
      <c r="GH219" t="e">
        <f t="shared" si="347"/>
        <v>#N/A</v>
      </c>
      <c r="GI219" s="8" t="e">
        <f t="shared" si="348"/>
        <v>#N/A</v>
      </c>
      <c r="GJ219" s="8" t="e">
        <f t="shared" si="349"/>
        <v>#N/A</v>
      </c>
      <c r="GK219" s="81" t="e">
        <f t="shared" si="350"/>
        <v>#N/A</v>
      </c>
      <c r="GL219" s="81"/>
      <c r="GM219" s="81"/>
      <c r="GP219" s="32">
        <f t="shared" si="395"/>
        <v>209</v>
      </c>
      <c r="GQ219" s="32">
        <f t="shared" si="396"/>
        <v>210</v>
      </c>
      <c r="GR219" s="32">
        <f t="shared" si="397"/>
        <v>1.9164231356079462</v>
      </c>
      <c r="GS219" s="32">
        <f t="shared" si="398"/>
        <v>6.3591380118377214E-2</v>
      </c>
      <c r="GT219" s="32" t="e">
        <f t="shared" si="399"/>
        <v>#N/A</v>
      </c>
      <c r="GU219" s="32" t="e">
        <f t="shared" si="400"/>
        <v>#N/A</v>
      </c>
      <c r="GV219" s="32" t="e">
        <f t="shared" si="401"/>
        <v>#N/A</v>
      </c>
      <c r="GW219" s="32" t="b">
        <f t="shared" si="402"/>
        <v>0</v>
      </c>
      <c r="GX219" s="32" t="b">
        <f t="shared" si="403"/>
        <v>1</v>
      </c>
      <c r="GY219" s="32" t="b">
        <f t="shared" si="404"/>
        <v>0</v>
      </c>
      <c r="GZ219" s="32" t="b">
        <f t="shared" si="405"/>
        <v>1</v>
      </c>
      <c r="HA219" s="32">
        <f t="shared" si="406"/>
        <v>6.3591380118377214E-2</v>
      </c>
      <c r="HB219" s="32" t="e">
        <f t="shared" si="407"/>
        <v>#N/A</v>
      </c>
      <c r="HC219" s="32">
        <f t="shared" si="408"/>
        <v>6.3591380118377214E-2</v>
      </c>
      <c r="HD219" s="45" t="str">
        <f t="shared" si="409"/>
        <v/>
      </c>
      <c r="HJ219" s="32">
        <f t="shared" si="410"/>
        <v>209</v>
      </c>
      <c r="HK219" s="32">
        <f t="shared" si="411"/>
        <v>210</v>
      </c>
      <c r="HL219" s="32">
        <f t="shared" si="412"/>
        <v>2.967621475124548</v>
      </c>
      <c r="HM219" s="32" t="e">
        <f t="shared" si="413"/>
        <v>#N/A</v>
      </c>
      <c r="HN219" s="32">
        <f t="shared" si="414"/>
        <v>1.4807096817980541E-2</v>
      </c>
      <c r="HO219" s="32" t="e">
        <f t="shared" si="415"/>
        <v>#N/A</v>
      </c>
      <c r="HP219" s="32" t="e">
        <f t="shared" si="416"/>
        <v>#N/A</v>
      </c>
      <c r="HQ219" s="32" t="b">
        <f t="shared" si="417"/>
        <v>0</v>
      </c>
      <c r="HR219" s="32" t="b">
        <f t="shared" si="418"/>
        <v>1</v>
      </c>
      <c r="HS219" s="32" t="b">
        <f t="shared" si="419"/>
        <v>1</v>
      </c>
      <c r="HT219" s="32" t="b">
        <f t="shared" si="420"/>
        <v>0</v>
      </c>
      <c r="HU219" s="32">
        <f t="shared" si="421"/>
        <v>1.4807096817980541E-2</v>
      </c>
      <c r="HV219" s="32" t="e">
        <f t="shared" si="422"/>
        <v>#N/A</v>
      </c>
      <c r="HW219" s="32">
        <f t="shared" si="423"/>
        <v>1.4807096817980541E-2</v>
      </c>
      <c r="HX219" s="45" t="str">
        <f t="shared" si="424"/>
        <v/>
      </c>
    </row>
    <row r="220" spans="78:232" x14ac:dyDescent="0.2">
      <c r="BZ220" s="32">
        <f t="shared" si="351"/>
        <v>210</v>
      </c>
      <c r="CA220" s="32">
        <f>Eu_tabel_g[[#This Row],[Indeks]]+1</f>
        <v>211</v>
      </c>
      <c r="CB220" s="32">
        <f t="shared" si="352"/>
        <v>1.9403784248030451</v>
      </c>
      <c r="CC220" s="32">
        <f t="shared" si="353"/>
        <v>6.0720570586669929E-2</v>
      </c>
      <c r="CD220" s="32" t="e">
        <f t="shared" si="354"/>
        <v>#N/A</v>
      </c>
      <c r="CE220" s="32" t="e">
        <f t="shared" si="355"/>
        <v>#N/A</v>
      </c>
      <c r="CF220" s="32" t="e">
        <f t="shared" si="356"/>
        <v>#N/A</v>
      </c>
      <c r="CG220" s="32" t="b">
        <f t="shared" si="357"/>
        <v>0</v>
      </c>
      <c r="CH220" s="32" t="b">
        <f t="shared" si="358"/>
        <v>1</v>
      </c>
      <c r="CI220" s="32" t="b">
        <f t="shared" si="359"/>
        <v>0</v>
      </c>
      <c r="CJ220" s="32" t="b">
        <f t="shared" si="360"/>
        <v>1</v>
      </c>
      <c r="CK220" s="32">
        <f t="shared" si="327"/>
        <v>6.0720570586669929E-2</v>
      </c>
      <c r="CL220" s="32" t="e">
        <f t="shared" si="361"/>
        <v>#N/A</v>
      </c>
      <c r="CM220" s="32">
        <f t="shared" si="362"/>
        <v>6.0720570586669929E-2</v>
      </c>
      <c r="CN220" s="45" t="str">
        <f t="shared" si="363"/>
        <v/>
      </c>
      <c r="CO220" s="32">
        <f>_xlfn.NORM.DIST(_xlfn.NORM.INV(1-Eu_g_konfidensniveau,0,1)-Eu_tabel_g[[#This Row],[x base]],0,1,TRUE)</f>
        <v>1.6838931044343806E-4</v>
      </c>
      <c r="CP220" s="32">
        <f>1-_xlfn.NORM.DIST(_xlfn.NORM.INV(Eu_g_konfidensniveau,0,1)-Eu_tabel_g[[#This Row],[x base]],0,1,TRUE)</f>
        <v>0.61620349407481689</v>
      </c>
      <c r="CQ220" s="32">
        <f>_xlfn.NORM.DIST(_xlfn.NORM.INV((1-Eu_g_konfidensniveau)/2,0,1)-Eu_tabel_g[[#This Row],[x base]],0,1,TRUE)+1-_xlfn.NORM.DIST(_xlfn.NORM.INV(1-(1-Eu_g_konfidensniveau)/2,0,1)-Eu_tabel_g[[#This Row],[x base]],0,1,TRUE)</f>
        <v>0.49223502001074992</v>
      </c>
      <c r="CR220" s="32" t="e" cm="1">
        <f t="array" ref="CR220">IF($CR$3,INDEX(Eu_tabel_g[[#This Row],[Styrke venstre]:[Styrke tosidet]],CR$7),NA())</f>
        <v>#N/A</v>
      </c>
      <c r="CS220" s="52" t="e">
        <f>Eu_tabel_g[[#This Row],[Falsk positiv
Nulhypotese accepteres
Fejltype 1]]</f>
        <v>#N/A</v>
      </c>
      <c r="CT220" s="52" t="e">
        <f>IF(CHOOSE(CR$7,Eu_tabel_g[[#This Row],[x base]]&gt;0,Eu_tabel_g[[#This Row],[x base]]&lt;0,Eu_tabel_g[[#This Row],[x base]]=0),Eu_tabel_g[[#This Row],[Styrke, aktiv]],NA())</f>
        <v>#N/A</v>
      </c>
      <c r="CU220" s="52" t="e">
        <f>IFERROR(IF($CR$3,Eu_tabel_g[[#This Row],[Styrke, aktiv]],NA()),NA())</f>
        <v>#N/A</v>
      </c>
      <c r="CV220" s="52" t="e">
        <f>IF(ISNA(Eu_tabel_g[[#This Row],[Sand negativ
Nulhypotese afvises
Korrekt]]),NA(),IF($CR$3,1,NA()))</f>
        <v>#N/A</v>
      </c>
      <c r="CW220" s="34" t="str" cm="1">
        <f t="array" ref="CW220">_xlfn.SWITCH(BZ220,_xlfn.IFNA(CU$2,-99),CU$5,_xlfn.IFNA(CU$3,-99),CU$6,_xlfn.IFNA(CU$4,-99),CU$7,"")</f>
        <v/>
      </c>
      <c r="DA220" s="7">
        <f t="shared" si="364"/>
        <v>0.8</v>
      </c>
      <c r="DB220">
        <f>IF(ROW(Styrkeberegning_G[[#This Row],[X base venstre]])=ROW(Styrkeberegning_G[[#Headers],[X base venstre]])+1,DB$7/(DA$7/$B$67),DB219/(DA219/$B$67))</f>
        <v>-2.8015817870135784</v>
      </c>
      <c r="DC220">
        <f>Styrkeberegning_G[[#This Row],[X base venstre]]*-1</f>
        <v>2.8015817870135784</v>
      </c>
      <c r="DN220" s="32">
        <f t="shared" si="365"/>
        <v>210</v>
      </c>
      <c r="DO220" s="32">
        <f t="shared" si="366"/>
        <v>211</v>
      </c>
      <c r="DP220" s="32">
        <f t="shared" si="367"/>
        <v>25.788732512223902</v>
      </c>
      <c r="DQ220" s="32" t="e">
        <f t="shared" si="368"/>
        <v>#N/A</v>
      </c>
      <c r="DR220" s="32" t="e">
        <f t="shared" si="369"/>
        <v>#N/A</v>
      </c>
      <c r="DS220" s="32">
        <f t="shared" si="370"/>
        <v>2.3821062780487148E-3</v>
      </c>
      <c r="DT220" s="32" t="e">
        <f t="shared" si="371"/>
        <v>#N/A</v>
      </c>
      <c r="DU220" s="32" t="b">
        <f t="shared" si="372"/>
        <v>0</v>
      </c>
      <c r="DV220" s="32" t="b">
        <f t="shared" si="373"/>
        <v>1</v>
      </c>
      <c r="DW220" s="32" t="b">
        <f t="shared" si="374"/>
        <v>1</v>
      </c>
      <c r="DX220" s="32" t="b">
        <f t="shared" si="375"/>
        <v>0</v>
      </c>
      <c r="DY220" s="32">
        <f t="shared" si="376"/>
        <v>2.3821062780487148E-3</v>
      </c>
      <c r="DZ220" s="32">
        <f t="shared" si="377"/>
        <v>2.3821062780487148E-3</v>
      </c>
      <c r="EA220" s="32" t="e">
        <f t="shared" si="378"/>
        <v>#N/A</v>
      </c>
      <c r="EB220" s="45" t="str">
        <f t="shared" si="379"/>
        <v/>
      </c>
      <c r="EG220" s="32">
        <f t="shared" si="380"/>
        <v>210</v>
      </c>
      <c r="EH220" s="32">
        <f t="shared" si="381"/>
        <v>211</v>
      </c>
      <c r="EI220" s="32">
        <f t="shared" si="382"/>
        <v>1.9403784248030451</v>
      </c>
      <c r="EJ220" s="32">
        <f t="shared" si="383"/>
        <v>6.0720570586669929E-2</v>
      </c>
      <c r="EK220" s="32" t="e">
        <f t="shared" si="384"/>
        <v>#N/A</v>
      </c>
      <c r="EL220" s="32" t="e">
        <f t="shared" si="385"/>
        <v>#N/A</v>
      </c>
      <c r="EM220" s="32" t="e">
        <f t="shared" si="386"/>
        <v>#N/A</v>
      </c>
      <c r="EN220" s="32" t="b">
        <f t="shared" si="387"/>
        <v>0</v>
      </c>
      <c r="EO220" s="32" t="b">
        <f t="shared" si="388"/>
        <v>1</v>
      </c>
      <c r="EP220" s="32" t="b">
        <f t="shared" si="389"/>
        <v>0</v>
      </c>
      <c r="EQ220" s="32" t="b">
        <f t="shared" si="390"/>
        <v>1</v>
      </c>
      <c r="ER220" s="32">
        <f t="shared" si="391"/>
        <v>6.0720570586669929E-2</v>
      </c>
      <c r="ES220" s="32" t="e">
        <f t="shared" si="392"/>
        <v>#N/A</v>
      </c>
      <c r="ET220" s="32">
        <f t="shared" si="393"/>
        <v>6.0720570586669929E-2</v>
      </c>
      <c r="EU220" s="45" t="str">
        <f t="shared" si="394"/>
        <v/>
      </c>
      <c r="EV22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0" s="32" t="e" cm="1">
        <f t="array" ref="EY220">IF($CR$3,INDEX(Eu_tabel_a[[#This Row],[Styrke venstre]:[Styrke tosidet]],EY$7),NA())</f>
        <v>#N/A</v>
      </c>
      <c r="EZ220" s="32" t="e">
        <f>IF(EY$3,IF(CHOOSE(EY$7,Eu_tabel_a[[#This Row],[x base]]&gt;0,Eu_tabel_a[[#This Row],[x base]]&lt;0,Eu_tabel_a[[#This Row],[x base]]=0),1,NA()),NA())</f>
        <v>#N/A</v>
      </c>
      <c r="FA220" s="32" t="e">
        <f>IF(CHOOSE(EY$7,Eu_tabel_a[[#This Row],[x base]]&gt;0,Eu_tabel_a[[#This Row],[x base]]&lt;0,Eu_tabel_a[[#This Row],[x base]]=0),Eu_tabel_a[[#This Row],[Styrke, aktiv]],NA())</f>
        <v>#N/A</v>
      </c>
      <c r="FB220" s="32" t="e">
        <f>IFERROR(IF($EY$3,Eu_tabel_a[[#This Row],[Styrke, aktiv]],NA()),NA())</f>
        <v>#N/A</v>
      </c>
      <c r="FC220" s="32" t="e">
        <f>IF(ISNA(Eu_tabel_a[[#This Row],[Sand negativ
Nulhypotese afvises
Korrekt]]),NA(),IF(EY$3,1,NA()))</f>
        <v>#N/A</v>
      </c>
      <c r="FD220" s="33" t="str" cm="1">
        <f t="array" ref="FD220">IFERROR(_xlfn.SWITCH(Eu_tabel_a[[#This Row],[Indeks]],_xlfn.IFNA(FB$2,-99),FB$5,_xlfn.IFNA(FB$3,-99),FB$6,_xlfn.IFNA(FB$4,-99),FB$7,""),"")</f>
        <v/>
      </c>
      <c r="FE220" s="32">
        <f>Eu_tabel_a[[#This Row],[x base]]*SQRT(Eu_a_h0_x*(1-Eu_a_h0_x)/Eu_a_n_x)+Eu_a_h0_x</f>
        <v>0</v>
      </c>
      <c r="FJ220" s="74" t="e">
        <f t="shared" si="338"/>
        <v>#N/A</v>
      </c>
      <c r="FK220" s="82" t="e">
        <f t="shared" si="322"/>
        <v>#DIV/0!</v>
      </c>
      <c r="FL220" s="7" t="e">
        <f t="shared" si="332"/>
        <v>#DIV/0!</v>
      </c>
      <c r="FM220" t="e">
        <f t="shared" si="323"/>
        <v>#DIV/0!</v>
      </c>
      <c r="FN220" s="8" t="e">
        <f t="shared" si="324"/>
        <v>#DIV/0!</v>
      </c>
      <c r="FO220" s="8" t="e">
        <f t="shared" si="325"/>
        <v>#DIV/0!</v>
      </c>
      <c r="FP220" s="81" t="e">
        <f t="shared" si="326"/>
        <v>#DIV/0!</v>
      </c>
      <c r="FQ220" s="74" t="e">
        <f t="shared" ca="1" si="333"/>
        <v>#N/A</v>
      </c>
      <c r="FR220" s="82" t="e" vm="3">
        <f t="shared" ca="1" si="339"/>
        <v>#VALUE!</v>
      </c>
      <c r="FS220" s="7" t="e" vm="3">
        <f t="shared" ca="1" si="334"/>
        <v>#VALUE!</v>
      </c>
      <c r="FT220" t="e" vm="3">
        <f t="shared" ca="1" si="328"/>
        <v>#VALUE!</v>
      </c>
      <c r="FU220" s="8" t="e" vm="3">
        <f t="shared" ca="1" si="329"/>
        <v>#VALUE!</v>
      </c>
      <c r="FV220" s="8" t="e" vm="3">
        <f t="shared" ca="1" si="330"/>
        <v>#VALUE!</v>
      </c>
      <c r="FW220" s="81" t="e" vm="3">
        <f t="shared" ca="1" si="331"/>
        <v>#VALUE!</v>
      </c>
      <c r="FX220" s="74" t="e">
        <f t="shared" si="335"/>
        <v>#N/A</v>
      </c>
      <c r="FY220" s="82" t="e">
        <f t="shared" si="340"/>
        <v>#N/A</v>
      </c>
      <c r="FZ220" s="7" t="e">
        <f t="shared" si="336"/>
        <v>#N/A</v>
      </c>
      <c r="GA220" t="e">
        <f t="shared" si="341"/>
        <v>#N/A</v>
      </c>
      <c r="GB220" s="8" t="e">
        <f t="shared" si="342"/>
        <v>#N/A</v>
      </c>
      <c r="GC220" s="8" t="e">
        <f t="shared" si="343"/>
        <v>#N/A</v>
      </c>
      <c r="GD220" s="81" t="e">
        <f t="shared" si="344"/>
        <v>#N/A</v>
      </c>
      <c r="GE220" s="74" t="e">
        <f t="shared" si="345"/>
        <v>#N/A</v>
      </c>
      <c r="GF220" s="82" t="e">
        <f t="shared" si="346"/>
        <v>#N/A</v>
      </c>
      <c r="GG220" s="7" t="e">
        <f t="shared" si="337"/>
        <v>#N/A</v>
      </c>
      <c r="GH220" t="e">
        <f t="shared" si="347"/>
        <v>#N/A</v>
      </c>
      <c r="GI220" s="8" t="e">
        <f t="shared" si="348"/>
        <v>#N/A</v>
      </c>
      <c r="GJ220" s="8" t="e">
        <f t="shared" si="349"/>
        <v>#N/A</v>
      </c>
      <c r="GK220" s="81" t="e">
        <f t="shared" si="350"/>
        <v>#N/A</v>
      </c>
      <c r="GL220" s="81"/>
      <c r="GM220" s="81"/>
      <c r="GP220" s="32">
        <f t="shared" si="395"/>
        <v>210</v>
      </c>
      <c r="GQ220" s="32">
        <f t="shared" si="396"/>
        <v>211</v>
      </c>
      <c r="GR220" s="32">
        <f t="shared" si="397"/>
        <v>1.9403784248030451</v>
      </c>
      <c r="GS220" s="32">
        <f t="shared" si="398"/>
        <v>6.0720570586669929E-2</v>
      </c>
      <c r="GT220" s="32" t="e">
        <f t="shared" si="399"/>
        <v>#N/A</v>
      </c>
      <c r="GU220" s="32" t="e">
        <f t="shared" si="400"/>
        <v>#N/A</v>
      </c>
      <c r="GV220" s="32" t="e">
        <f t="shared" si="401"/>
        <v>#N/A</v>
      </c>
      <c r="GW220" s="32" t="b">
        <f t="shared" si="402"/>
        <v>0</v>
      </c>
      <c r="GX220" s="32" t="b">
        <f t="shared" si="403"/>
        <v>1</v>
      </c>
      <c r="GY220" s="32" t="b">
        <f t="shared" si="404"/>
        <v>0</v>
      </c>
      <c r="GZ220" s="32" t="b">
        <f t="shared" si="405"/>
        <v>1</v>
      </c>
      <c r="HA220" s="32">
        <f t="shared" si="406"/>
        <v>6.0720570586669929E-2</v>
      </c>
      <c r="HB220" s="32" t="e">
        <f t="shared" si="407"/>
        <v>#N/A</v>
      </c>
      <c r="HC220" s="32">
        <f t="shared" si="408"/>
        <v>6.0720570586669929E-2</v>
      </c>
      <c r="HD220" s="45" t="str">
        <f t="shared" si="409"/>
        <v/>
      </c>
      <c r="HJ220" s="32">
        <f t="shared" si="410"/>
        <v>210</v>
      </c>
      <c r="HK220" s="32">
        <f t="shared" si="411"/>
        <v>211</v>
      </c>
      <c r="HL220" s="32">
        <f t="shared" si="412"/>
        <v>3.0047167435636046</v>
      </c>
      <c r="HM220" s="32" t="e">
        <f t="shared" si="413"/>
        <v>#N/A</v>
      </c>
      <c r="HN220" s="32">
        <f t="shared" si="414"/>
        <v>1.4005252222668935E-2</v>
      </c>
      <c r="HO220" s="32" t="e">
        <f t="shared" si="415"/>
        <v>#N/A</v>
      </c>
      <c r="HP220" s="32" t="e">
        <f t="shared" si="416"/>
        <v>#N/A</v>
      </c>
      <c r="HQ220" s="32" t="b">
        <f t="shared" si="417"/>
        <v>0</v>
      </c>
      <c r="HR220" s="32" t="b">
        <f t="shared" si="418"/>
        <v>1</v>
      </c>
      <c r="HS220" s="32" t="b">
        <f t="shared" si="419"/>
        <v>1</v>
      </c>
      <c r="HT220" s="32" t="b">
        <f t="shared" si="420"/>
        <v>0</v>
      </c>
      <c r="HU220" s="32">
        <f t="shared" si="421"/>
        <v>1.4005252222668935E-2</v>
      </c>
      <c r="HV220" s="32" t="e">
        <f t="shared" si="422"/>
        <v>#N/A</v>
      </c>
      <c r="HW220" s="32">
        <f t="shared" si="423"/>
        <v>1.4005252222668935E-2</v>
      </c>
      <c r="HX220" s="45" t="str">
        <f t="shared" si="424"/>
        <v/>
      </c>
    </row>
    <row r="221" spans="78:232" x14ac:dyDescent="0.2">
      <c r="BZ221" s="32">
        <f t="shared" si="351"/>
        <v>211</v>
      </c>
      <c r="CA221" s="32">
        <f>Eu_tabel_g[[#This Row],[Indeks]]+1</f>
        <v>212</v>
      </c>
      <c r="CB221" s="32">
        <f t="shared" si="352"/>
        <v>1.9643337139981449</v>
      </c>
      <c r="CC221" s="32">
        <f t="shared" si="353"/>
        <v>5.7946100444885101E-2</v>
      </c>
      <c r="CD221" s="32" t="e">
        <f t="shared" si="354"/>
        <v>#N/A</v>
      </c>
      <c r="CE221" s="32" t="e">
        <f t="shared" si="355"/>
        <v>#N/A</v>
      </c>
      <c r="CF221" s="32" t="e">
        <f t="shared" si="356"/>
        <v>#N/A</v>
      </c>
      <c r="CG221" s="32" t="b">
        <f t="shared" si="357"/>
        <v>0</v>
      </c>
      <c r="CH221" s="32" t="b">
        <f t="shared" si="358"/>
        <v>1</v>
      </c>
      <c r="CI221" s="32" t="b">
        <f t="shared" si="359"/>
        <v>1</v>
      </c>
      <c r="CJ221" s="32" t="b">
        <f t="shared" si="360"/>
        <v>0</v>
      </c>
      <c r="CK221" s="32">
        <f t="shared" si="327"/>
        <v>5.7946100444885101E-2</v>
      </c>
      <c r="CL221" s="32">
        <f t="shared" si="361"/>
        <v>5.7946100444885101E-2</v>
      </c>
      <c r="CM221" s="32" t="e">
        <f t="shared" si="362"/>
        <v>#N/A</v>
      </c>
      <c r="CN221" s="45">
        <f t="shared" si="363"/>
        <v>4.2910000000000004</v>
      </c>
      <c r="CO221" s="32">
        <f>_xlfn.NORM.DIST(_xlfn.NORM.INV(1-Eu_g_konfidensniveau,0,1)-Eu_tabel_g[[#This Row],[x base]],0,1,TRUE)</f>
        <v>1.5357886721904771E-4</v>
      </c>
      <c r="CP221" s="32">
        <f>1-_xlfn.NORM.DIST(_xlfn.NORM.INV(Eu_g_konfidensniveau,0,1)-Eu_tabel_g[[#This Row],[x base]],0,1,TRUE)</f>
        <v>0.62531875545814997</v>
      </c>
      <c r="CQ221" s="32">
        <f>_xlfn.NORM.DIST(_xlfn.NORM.INV((1-Eu_g_konfidensniveau)/2,0,1)-Eu_tabel_g[[#This Row],[x base]],0,1,TRUE)+1-_xlfn.NORM.DIST(_xlfn.NORM.INV(1-(1-Eu_g_konfidensniveau)/2,0,1)-Eu_tabel_g[[#This Row],[x base]],0,1,TRUE)</f>
        <v>0.50178675584621901</v>
      </c>
      <c r="CR221" s="32" t="e" cm="1">
        <f t="array" ref="CR221">IF($CR$3,INDEX(Eu_tabel_g[[#This Row],[Styrke venstre]:[Styrke tosidet]],CR$7),NA())</f>
        <v>#N/A</v>
      </c>
      <c r="CS221" s="52" t="e">
        <f>Eu_tabel_g[[#This Row],[Falsk positiv
Nulhypotese accepteres
Fejltype 1]]</f>
        <v>#N/A</v>
      </c>
      <c r="CT221" s="52" t="e">
        <f>IF(CHOOSE(CR$7,Eu_tabel_g[[#This Row],[x base]]&gt;0,Eu_tabel_g[[#This Row],[x base]]&lt;0,Eu_tabel_g[[#This Row],[x base]]=0),Eu_tabel_g[[#This Row],[Styrke, aktiv]],NA())</f>
        <v>#N/A</v>
      </c>
      <c r="CU221" s="52" t="e">
        <f>IFERROR(IF($CR$3,Eu_tabel_g[[#This Row],[Styrke, aktiv]],NA()),NA())</f>
        <v>#N/A</v>
      </c>
      <c r="CV221" s="52" t="e">
        <f>IF(ISNA(Eu_tabel_g[[#This Row],[Sand negativ
Nulhypotese afvises
Korrekt]]),NA(),IF($CR$3,1,NA()))</f>
        <v>#N/A</v>
      </c>
      <c r="CW221" s="34" t="str" cm="1">
        <f t="array" ref="CW221">_xlfn.SWITCH(BZ221,_xlfn.IFNA(CU$2,-99),CU$5,_xlfn.IFNA(CU$3,-99),CU$6,_xlfn.IFNA(CU$4,-99),CU$7,"")</f>
        <v/>
      </c>
      <c r="DA221" s="7">
        <f t="shared" si="364"/>
        <v>0.8</v>
      </c>
      <c r="DB221">
        <f>IF(ROW(Styrkeberegning_G[[#This Row],[X base venstre]])=ROW(Styrkeberegning_G[[#Headers],[X base venstre]])+1,DB$7/(DA$7/$B$67),DB220/(DA220/$B$67))</f>
        <v>-2.8015817870135784</v>
      </c>
      <c r="DC221">
        <f>Styrkeberegning_G[[#This Row],[X base venstre]]*-1</f>
        <v>2.8015817870135784</v>
      </c>
      <c r="DN221" s="32">
        <f t="shared" si="365"/>
        <v>211</v>
      </c>
      <c r="DO221" s="32">
        <f t="shared" si="366"/>
        <v>212</v>
      </c>
      <c r="DP221" s="32">
        <f t="shared" si="367"/>
        <v>25.902803368640903</v>
      </c>
      <c r="DQ221" s="32" t="e">
        <f t="shared" si="368"/>
        <v>#N/A</v>
      </c>
      <c r="DR221" s="32" t="e">
        <f t="shared" si="369"/>
        <v>#N/A</v>
      </c>
      <c r="DS221" s="32">
        <f t="shared" si="370"/>
        <v>2.2951783170417853E-3</v>
      </c>
      <c r="DT221" s="32" t="e">
        <f t="shared" si="371"/>
        <v>#N/A</v>
      </c>
      <c r="DU221" s="32" t="b">
        <f t="shared" si="372"/>
        <v>0</v>
      </c>
      <c r="DV221" s="32" t="b">
        <f t="shared" si="373"/>
        <v>1</v>
      </c>
      <c r="DW221" s="32" t="b">
        <f t="shared" si="374"/>
        <v>1</v>
      </c>
      <c r="DX221" s="32" t="b">
        <f t="shared" si="375"/>
        <v>0</v>
      </c>
      <c r="DY221" s="32">
        <f t="shared" si="376"/>
        <v>2.2951783170417853E-3</v>
      </c>
      <c r="DZ221" s="32">
        <f t="shared" si="377"/>
        <v>2.2951783170417853E-3</v>
      </c>
      <c r="EA221" s="32" t="e">
        <f t="shared" si="378"/>
        <v>#N/A</v>
      </c>
      <c r="EB221" s="45" t="str">
        <f t="shared" si="379"/>
        <v/>
      </c>
      <c r="EG221" s="32">
        <f t="shared" si="380"/>
        <v>211</v>
      </c>
      <c r="EH221" s="32">
        <f t="shared" si="381"/>
        <v>212</v>
      </c>
      <c r="EI221" s="32">
        <f t="shared" si="382"/>
        <v>1.9643337139981449</v>
      </c>
      <c r="EJ221" s="32">
        <f t="shared" si="383"/>
        <v>5.7946100444885101E-2</v>
      </c>
      <c r="EK221" s="32" t="e">
        <f t="shared" si="384"/>
        <v>#N/A</v>
      </c>
      <c r="EL221" s="32" t="e">
        <f t="shared" si="385"/>
        <v>#N/A</v>
      </c>
      <c r="EM221" s="32" t="e">
        <f t="shared" si="386"/>
        <v>#N/A</v>
      </c>
      <c r="EN221" s="32" t="b">
        <f t="shared" si="387"/>
        <v>0</v>
      </c>
      <c r="EO221" s="32" t="b">
        <f t="shared" si="388"/>
        <v>1</v>
      </c>
      <c r="EP221" s="32" t="b">
        <f t="shared" si="389"/>
        <v>1</v>
      </c>
      <c r="EQ221" s="32" t="b">
        <f t="shared" si="390"/>
        <v>0</v>
      </c>
      <c r="ER221" s="32">
        <f t="shared" si="391"/>
        <v>5.7946100444885101E-2</v>
      </c>
      <c r="ES221" s="32">
        <f t="shared" si="392"/>
        <v>5.7946100444885101E-2</v>
      </c>
      <c r="ET221" s="32" t="e">
        <f t="shared" si="393"/>
        <v>#N/A</v>
      </c>
      <c r="EU221" s="45" t="str">
        <f t="shared" si="394"/>
        <v>63.273%</v>
      </c>
      <c r="EV22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1" s="32" t="e" cm="1">
        <f t="array" ref="EY221">IF($CR$3,INDEX(Eu_tabel_a[[#This Row],[Styrke venstre]:[Styrke tosidet]],EY$7),NA())</f>
        <v>#N/A</v>
      </c>
      <c r="EZ221" s="32" t="e">
        <f>IF(EY$3,IF(CHOOSE(EY$7,Eu_tabel_a[[#This Row],[x base]]&gt;0,Eu_tabel_a[[#This Row],[x base]]&lt;0,Eu_tabel_a[[#This Row],[x base]]=0),1,NA()),NA())</f>
        <v>#N/A</v>
      </c>
      <c r="FA221" s="32" t="e">
        <f>IF(CHOOSE(EY$7,Eu_tabel_a[[#This Row],[x base]]&gt;0,Eu_tabel_a[[#This Row],[x base]]&lt;0,Eu_tabel_a[[#This Row],[x base]]=0),Eu_tabel_a[[#This Row],[Styrke, aktiv]],NA())</f>
        <v>#N/A</v>
      </c>
      <c r="FB221" s="32" t="e">
        <f>IFERROR(IF($EY$3,Eu_tabel_a[[#This Row],[Styrke, aktiv]],NA()),NA())</f>
        <v>#N/A</v>
      </c>
      <c r="FC221" s="32" t="e">
        <f>IF(ISNA(Eu_tabel_a[[#This Row],[Sand negativ
Nulhypotese afvises
Korrekt]]),NA(),IF(EY$3,1,NA()))</f>
        <v>#N/A</v>
      </c>
      <c r="FD221" s="33" t="str" cm="1">
        <f t="array" ref="FD221">IFERROR(_xlfn.SWITCH(Eu_tabel_a[[#This Row],[Indeks]],_xlfn.IFNA(FB$2,-99),FB$5,_xlfn.IFNA(FB$3,-99),FB$6,_xlfn.IFNA(FB$4,-99),FB$7,""),"")</f>
        <v/>
      </c>
      <c r="FE221" s="32">
        <f>Eu_tabel_a[[#This Row],[x base]]*SQRT(Eu_a_h0_x*(1-Eu_a_h0_x)/Eu_a_n_x)+Eu_a_h0_x</f>
        <v>0</v>
      </c>
      <c r="FJ221" s="74" t="e">
        <f t="shared" si="338"/>
        <v>#N/A</v>
      </c>
      <c r="FK221" s="82" t="e">
        <f t="shared" si="322"/>
        <v>#DIV/0!</v>
      </c>
      <c r="FL221" s="7" t="e">
        <f t="shared" si="332"/>
        <v>#DIV/0!</v>
      </c>
      <c r="FM221" t="e">
        <f t="shared" si="323"/>
        <v>#DIV/0!</v>
      </c>
      <c r="FN221" s="8" t="e">
        <f t="shared" si="324"/>
        <v>#DIV/0!</v>
      </c>
      <c r="FO221" s="8" t="e">
        <f t="shared" si="325"/>
        <v>#DIV/0!</v>
      </c>
      <c r="FP221" s="81" t="e">
        <f t="shared" si="326"/>
        <v>#DIV/0!</v>
      </c>
      <c r="FQ221" s="74" t="e">
        <f t="shared" ca="1" si="333"/>
        <v>#N/A</v>
      </c>
      <c r="FR221" s="82" t="e" vm="3">
        <f t="shared" ca="1" si="339"/>
        <v>#VALUE!</v>
      </c>
      <c r="FS221" s="7" t="e" vm="3">
        <f t="shared" ca="1" si="334"/>
        <v>#VALUE!</v>
      </c>
      <c r="FT221" t="e" vm="3">
        <f t="shared" ca="1" si="328"/>
        <v>#VALUE!</v>
      </c>
      <c r="FU221" s="8" t="e" vm="3">
        <f t="shared" ca="1" si="329"/>
        <v>#VALUE!</v>
      </c>
      <c r="FV221" s="8" t="e" vm="3">
        <f t="shared" ca="1" si="330"/>
        <v>#VALUE!</v>
      </c>
      <c r="FW221" s="81" t="e" vm="3">
        <f t="shared" ca="1" si="331"/>
        <v>#VALUE!</v>
      </c>
      <c r="FX221" s="74" t="e">
        <f t="shared" si="335"/>
        <v>#N/A</v>
      </c>
      <c r="FY221" s="82" t="e">
        <f t="shared" si="340"/>
        <v>#N/A</v>
      </c>
      <c r="FZ221" s="7" t="e">
        <f t="shared" si="336"/>
        <v>#N/A</v>
      </c>
      <c r="GA221" t="e">
        <f t="shared" si="341"/>
        <v>#N/A</v>
      </c>
      <c r="GB221" s="8" t="e">
        <f t="shared" si="342"/>
        <v>#N/A</v>
      </c>
      <c r="GC221" s="8" t="e">
        <f t="shared" si="343"/>
        <v>#N/A</v>
      </c>
      <c r="GD221" s="81" t="e">
        <f t="shared" si="344"/>
        <v>#N/A</v>
      </c>
      <c r="GE221" s="74" t="e">
        <f t="shared" si="345"/>
        <v>#N/A</v>
      </c>
      <c r="GF221" s="82" t="e">
        <f t="shared" si="346"/>
        <v>#N/A</v>
      </c>
      <c r="GG221" s="7" t="e">
        <f t="shared" si="337"/>
        <v>#N/A</v>
      </c>
      <c r="GH221" t="e">
        <f t="shared" si="347"/>
        <v>#N/A</v>
      </c>
      <c r="GI221" s="8" t="e">
        <f t="shared" si="348"/>
        <v>#N/A</v>
      </c>
      <c r="GJ221" s="8" t="e">
        <f t="shared" si="349"/>
        <v>#N/A</v>
      </c>
      <c r="GK221" s="81" t="e">
        <f t="shared" si="350"/>
        <v>#N/A</v>
      </c>
      <c r="GL221" s="81"/>
      <c r="GM221" s="81"/>
      <c r="GP221" s="32">
        <f t="shared" si="395"/>
        <v>211</v>
      </c>
      <c r="GQ221" s="32">
        <f t="shared" si="396"/>
        <v>212</v>
      </c>
      <c r="GR221" s="32">
        <f t="shared" si="397"/>
        <v>1.9643337139981449</v>
      </c>
      <c r="GS221" s="32">
        <f t="shared" si="398"/>
        <v>5.7946100444885101E-2</v>
      </c>
      <c r="GT221" s="32" t="e">
        <f t="shared" si="399"/>
        <v>#N/A</v>
      </c>
      <c r="GU221" s="32" t="e">
        <f t="shared" si="400"/>
        <v>#N/A</v>
      </c>
      <c r="GV221" s="32" t="e">
        <f t="shared" si="401"/>
        <v>#N/A</v>
      </c>
      <c r="GW221" s="32" t="b">
        <f t="shared" si="402"/>
        <v>0</v>
      </c>
      <c r="GX221" s="32" t="b">
        <f t="shared" si="403"/>
        <v>1</v>
      </c>
      <c r="GY221" s="32" t="b">
        <f t="shared" si="404"/>
        <v>1</v>
      </c>
      <c r="GZ221" s="32" t="b">
        <f t="shared" si="405"/>
        <v>0</v>
      </c>
      <c r="HA221" s="32">
        <f t="shared" si="406"/>
        <v>5.7946100444885101E-2</v>
      </c>
      <c r="HB221" s="32">
        <f t="shared" si="407"/>
        <v>5.7946100444885101E-2</v>
      </c>
      <c r="HC221" s="32" t="e">
        <f t="shared" si="408"/>
        <v>#N/A</v>
      </c>
      <c r="HD221" s="45">
        <f t="shared" si="409"/>
        <v>2.6240000000000001</v>
      </c>
      <c r="HJ221" s="32">
        <f t="shared" si="410"/>
        <v>211</v>
      </c>
      <c r="HK221" s="32">
        <f t="shared" si="411"/>
        <v>212</v>
      </c>
      <c r="HL221" s="32">
        <f t="shared" si="412"/>
        <v>3.0418120120026613</v>
      </c>
      <c r="HM221" s="32" t="e">
        <f t="shared" si="413"/>
        <v>#N/A</v>
      </c>
      <c r="HN221" s="32">
        <f t="shared" si="414"/>
        <v>1.3247980696787178E-2</v>
      </c>
      <c r="HO221" s="32" t="e">
        <f t="shared" si="415"/>
        <v>#N/A</v>
      </c>
      <c r="HP221" s="32" t="e">
        <f t="shared" si="416"/>
        <v>#N/A</v>
      </c>
      <c r="HQ221" s="32" t="b">
        <f t="shared" si="417"/>
        <v>0</v>
      </c>
      <c r="HR221" s="32" t="b">
        <f t="shared" si="418"/>
        <v>1</v>
      </c>
      <c r="HS221" s="32" t="b">
        <f t="shared" si="419"/>
        <v>1</v>
      </c>
      <c r="HT221" s="32" t="b">
        <f t="shared" si="420"/>
        <v>0</v>
      </c>
      <c r="HU221" s="32">
        <f t="shared" si="421"/>
        <v>1.3247980696787178E-2</v>
      </c>
      <c r="HV221" s="32" t="e">
        <f t="shared" si="422"/>
        <v>#N/A</v>
      </c>
      <c r="HW221" s="32">
        <f t="shared" si="423"/>
        <v>1.3247980696787178E-2</v>
      </c>
      <c r="HX221" s="45" t="str">
        <f t="shared" si="424"/>
        <v/>
      </c>
    </row>
    <row r="222" spans="78:232" x14ac:dyDescent="0.2">
      <c r="BZ222" s="32">
        <f t="shared" si="351"/>
        <v>212</v>
      </c>
      <c r="CA222" s="32">
        <f>Eu_tabel_g[[#This Row],[Indeks]]+1</f>
        <v>213</v>
      </c>
      <c r="CB222" s="32">
        <f t="shared" si="352"/>
        <v>1.9882890031932439</v>
      </c>
      <c r="CC222" s="32">
        <f t="shared" si="353"/>
        <v>5.5266678363017178E-2</v>
      </c>
      <c r="CD222" s="32" t="e">
        <f t="shared" si="354"/>
        <v>#N/A</v>
      </c>
      <c r="CE222" s="32" t="e">
        <f t="shared" si="355"/>
        <v>#N/A</v>
      </c>
      <c r="CF222" s="32" t="e">
        <f t="shared" si="356"/>
        <v>#N/A</v>
      </c>
      <c r="CG222" s="32" t="b">
        <f t="shared" si="357"/>
        <v>0</v>
      </c>
      <c r="CH222" s="32" t="b">
        <f t="shared" si="358"/>
        <v>1</v>
      </c>
      <c r="CI222" s="32" t="b">
        <f t="shared" si="359"/>
        <v>1</v>
      </c>
      <c r="CJ222" s="32" t="b">
        <f t="shared" si="360"/>
        <v>0</v>
      </c>
      <c r="CK222" s="32">
        <f t="shared" ref="CK222:CK253" si="425">_xlfn.AGGREGATE(9,6,CC222:CF222)</f>
        <v>5.5266678363017178E-2</v>
      </c>
      <c r="CL222" s="32">
        <f t="shared" si="361"/>
        <v>5.5266678363017178E-2</v>
      </c>
      <c r="CM222" s="32" t="e">
        <f t="shared" si="362"/>
        <v>#N/A</v>
      </c>
      <c r="CN222" s="45" t="str">
        <f t="shared" si="363"/>
        <v/>
      </c>
      <c r="CO222" s="32">
        <f>_xlfn.NORM.DIST(_xlfn.NORM.INV(1-Eu_g_konfidensniveau,0,1)-Eu_tabel_g[[#This Row],[x base]],0,1,TRUE)</f>
        <v>1.3999507188600937E-4</v>
      </c>
      <c r="CP222" s="32">
        <f>1-_xlfn.NORM.DIST(_xlfn.NORM.INV(Eu_g_konfidensniveau,0,1)-Eu_tabel_g[[#This Row],[x base]],0,1,TRUE)</f>
        <v>0.63436452515844188</v>
      </c>
      <c r="CQ222" s="32">
        <f>_xlfn.NORM.DIST(_xlfn.NORM.INV((1-Eu_g_konfidensniveau)/2,0,1)-Eu_tabel_g[[#This Row],[x base]],0,1,TRUE)+1-_xlfn.NORM.DIST(_xlfn.NORM.INV(1-(1-Eu_g_konfidensniveau)/2,0,1)-Eu_tabel_g[[#This Row],[x base]],0,1,TRUE)</f>
        <v>0.51133789849221656</v>
      </c>
      <c r="CR222" s="32" t="e" cm="1">
        <f t="array" ref="CR222">IF($CR$3,INDEX(Eu_tabel_g[[#This Row],[Styrke venstre]:[Styrke tosidet]],CR$7),NA())</f>
        <v>#N/A</v>
      </c>
      <c r="CS222" s="52" t="e">
        <f>Eu_tabel_g[[#This Row],[Falsk positiv
Nulhypotese accepteres
Fejltype 1]]</f>
        <v>#N/A</v>
      </c>
      <c r="CT222" s="52" t="e">
        <f>IF(CHOOSE(CR$7,Eu_tabel_g[[#This Row],[x base]]&gt;0,Eu_tabel_g[[#This Row],[x base]]&lt;0,Eu_tabel_g[[#This Row],[x base]]=0),Eu_tabel_g[[#This Row],[Styrke, aktiv]],NA())</f>
        <v>#N/A</v>
      </c>
      <c r="CU222" s="52" t="e">
        <f>IFERROR(IF($CR$3,Eu_tabel_g[[#This Row],[Styrke, aktiv]],NA()),NA())</f>
        <v>#N/A</v>
      </c>
      <c r="CV222" s="52" t="e">
        <f>IF(ISNA(Eu_tabel_g[[#This Row],[Sand negativ
Nulhypotese afvises
Korrekt]]),NA(),IF($CR$3,1,NA()))</f>
        <v>#N/A</v>
      </c>
      <c r="CW222" s="34" t="str" cm="1">
        <f t="array" ref="CW222">_xlfn.SWITCH(BZ222,_xlfn.IFNA(CU$2,-99),CU$5,_xlfn.IFNA(CU$3,-99),CU$6,_xlfn.IFNA(CU$4,-99),CU$7,"")</f>
        <v/>
      </c>
      <c r="DA222" s="7">
        <f t="shared" si="364"/>
        <v>0.8</v>
      </c>
      <c r="DB222">
        <f>IF(ROW(Styrkeberegning_G[[#This Row],[X base venstre]])=ROW(Styrkeberegning_G[[#Headers],[X base venstre]])+1,DB$7/(DA$7/$B$67),DB221/(DA221/$B$67))</f>
        <v>-2.8015817870135784</v>
      </c>
      <c r="DC222">
        <f>Styrkeberegning_G[[#This Row],[X base venstre]]*-1</f>
        <v>2.8015817870135784</v>
      </c>
      <c r="DN222" s="32">
        <f t="shared" si="365"/>
        <v>212</v>
      </c>
      <c r="DO222" s="32">
        <f t="shared" si="366"/>
        <v>213</v>
      </c>
      <c r="DP222" s="32">
        <f t="shared" si="367"/>
        <v>26.016874225057904</v>
      </c>
      <c r="DQ222" s="32" t="e">
        <f t="shared" si="368"/>
        <v>#N/A</v>
      </c>
      <c r="DR222" s="32" t="e">
        <f t="shared" si="369"/>
        <v>#N/A</v>
      </c>
      <c r="DS222" s="32">
        <f t="shared" si="370"/>
        <v>2.2112295504418127E-3</v>
      </c>
      <c r="DT222" s="32" t="e">
        <f t="shared" si="371"/>
        <v>#N/A</v>
      </c>
      <c r="DU222" s="32" t="b">
        <f t="shared" si="372"/>
        <v>0</v>
      </c>
      <c r="DV222" s="32" t="b">
        <f t="shared" si="373"/>
        <v>1</v>
      </c>
      <c r="DW222" s="32" t="b">
        <f t="shared" si="374"/>
        <v>1</v>
      </c>
      <c r="DX222" s="32" t="b">
        <f t="shared" si="375"/>
        <v>0</v>
      </c>
      <c r="DY222" s="32">
        <f t="shared" si="376"/>
        <v>2.2112295504418127E-3</v>
      </c>
      <c r="DZ222" s="32">
        <f t="shared" si="377"/>
        <v>2.2112295504418127E-3</v>
      </c>
      <c r="EA222" s="32" t="e">
        <f t="shared" si="378"/>
        <v>#N/A</v>
      </c>
      <c r="EB222" s="45" t="str">
        <f t="shared" si="379"/>
        <v/>
      </c>
      <c r="EG222" s="32">
        <f t="shared" si="380"/>
        <v>212</v>
      </c>
      <c r="EH222" s="32">
        <f t="shared" si="381"/>
        <v>213</v>
      </c>
      <c r="EI222" s="32">
        <f t="shared" si="382"/>
        <v>1.9882890031932439</v>
      </c>
      <c r="EJ222" s="32">
        <f t="shared" si="383"/>
        <v>5.5266678363017178E-2</v>
      </c>
      <c r="EK222" s="32" t="e">
        <f t="shared" si="384"/>
        <v>#N/A</v>
      </c>
      <c r="EL222" s="32" t="e">
        <f t="shared" si="385"/>
        <v>#N/A</v>
      </c>
      <c r="EM222" s="32" t="e">
        <f t="shared" si="386"/>
        <v>#N/A</v>
      </c>
      <c r="EN222" s="32" t="b">
        <f t="shared" si="387"/>
        <v>0</v>
      </c>
      <c r="EO222" s="32" t="b">
        <f t="shared" si="388"/>
        <v>1</v>
      </c>
      <c r="EP222" s="32" t="b">
        <f t="shared" si="389"/>
        <v>1</v>
      </c>
      <c r="EQ222" s="32" t="b">
        <f t="shared" si="390"/>
        <v>0</v>
      </c>
      <c r="ER222" s="32">
        <f t="shared" si="391"/>
        <v>5.5266678363017178E-2</v>
      </c>
      <c r="ES222" s="32">
        <f t="shared" si="392"/>
        <v>5.5266678363017178E-2</v>
      </c>
      <c r="ET222" s="32" t="e">
        <f t="shared" si="393"/>
        <v>#N/A</v>
      </c>
      <c r="EU222" s="45" t="str">
        <f t="shared" si="394"/>
        <v/>
      </c>
      <c r="EV22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2" s="32" t="e" cm="1">
        <f t="array" ref="EY222">IF($CR$3,INDEX(Eu_tabel_a[[#This Row],[Styrke venstre]:[Styrke tosidet]],EY$7),NA())</f>
        <v>#N/A</v>
      </c>
      <c r="EZ222" s="32" t="e">
        <f>IF(EY$3,IF(CHOOSE(EY$7,Eu_tabel_a[[#This Row],[x base]]&gt;0,Eu_tabel_a[[#This Row],[x base]]&lt;0,Eu_tabel_a[[#This Row],[x base]]=0),1,NA()),NA())</f>
        <v>#N/A</v>
      </c>
      <c r="FA222" s="32" t="e">
        <f>IF(CHOOSE(EY$7,Eu_tabel_a[[#This Row],[x base]]&gt;0,Eu_tabel_a[[#This Row],[x base]]&lt;0,Eu_tabel_a[[#This Row],[x base]]=0),Eu_tabel_a[[#This Row],[Styrke, aktiv]],NA())</f>
        <v>#N/A</v>
      </c>
      <c r="FB222" s="32" t="e">
        <f>IFERROR(IF($EY$3,Eu_tabel_a[[#This Row],[Styrke, aktiv]],NA()),NA())</f>
        <v>#N/A</v>
      </c>
      <c r="FC222" s="32" t="e">
        <f>IF(ISNA(Eu_tabel_a[[#This Row],[Sand negativ
Nulhypotese afvises
Korrekt]]),NA(),IF(EY$3,1,NA()))</f>
        <v>#N/A</v>
      </c>
      <c r="FD222" s="33" t="str" cm="1">
        <f t="array" ref="FD222">IFERROR(_xlfn.SWITCH(Eu_tabel_a[[#This Row],[Indeks]],_xlfn.IFNA(FB$2,-99),FB$5,_xlfn.IFNA(FB$3,-99),FB$6,_xlfn.IFNA(FB$4,-99),FB$7,""),"")</f>
        <v/>
      </c>
      <c r="FE222" s="32">
        <f>Eu_tabel_a[[#This Row],[x base]]*SQRT(Eu_a_h0_x*(1-Eu_a_h0_x)/Eu_a_n_x)+Eu_a_h0_x</f>
        <v>0</v>
      </c>
      <c r="FJ222" s="74" t="e">
        <f t="shared" si="338"/>
        <v>#N/A</v>
      </c>
      <c r="FK222" s="82" t="e">
        <f t="shared" si="322"/>
        <v>#DIV/0!</v>
      </c>
      <c r="FL222" s="7" t="e">
        <f t="shared" si="332"/>
        <v>#DIV/0!</v>
      </c>
      <c r="FM222" t="e">
        <f t="shared" si="323"/>
        <v>#DIV/0!</v>
      </c>
      <c r="FN222" s="8" t="e">
        <f t="shared" si="324"/>
        <v>#DIV/0!</v>
      </c>
      <c r="FO222" s="8" t="e">
        <f t="shared" si="325"/>
        <v>#DIV/0!</v>
      </c>
      <c r="FP222" s="81" t="e">
        <f t="shared" si="326"/>
        <v>#DIV/0!</v>
      </c>
      <c r="FQ222" s="74" t="e">
        <f t="shared" ca="1" si="333"/>
        <v>#N/A</v>
      </c>
      <c r="FR222" s="82" t="e" vm="3">
        <f t="shared" ca="1" si="339"/>
        <v>#VALUE!</v>
      </c>
      <c r="FS222" s="7" t="e" vm="3">
        <f t="shared" ca="1" si="334"/>
        <v>#VALUE!</v>
      </c>
      <c r="FT222" t="e" vm="3">
        <f t="shared" ca="1" si="328"/>
        <v>#VALUE!</v>
      </c>
      <c r="FU222" s="8" t="e" vm="3">
        <f t="shared" ca="1" si="329"/>
        <v>#VALUE!</v>
      </c>
      <c r="FV222" s="8" t="e" vm="3">
        <f t="shared" ca="1" si="330"/>
        <v>#VALUE!</v>
      </c>
      <c r="FW222" s="81" t="e" vm="3">
        <f t="shared" ca="1" si="331"/>
        <v>#VALUE!</v>
      </c>
      <c r="FX222" s="74" t="e">
        <f t="shared" si="335"/>
        <v>#N/A</v>
      </c>
      <c r="FY222" s="82" t="e">
        <f t="shared" si="340"/>
        <v>#N/A</v>
      </c>
      <c r="FZ222" s="7" t="e">
        <f t="shared" si="336"/>
        <v>#N/A</v>
      </c>
      <c r="GA222" t="e">
        <f t="shared" si="341"/>
        <v>#N/A</v>
      </c>
      <c r="GB222" s="8" t="e">
        <f t="shared" si="342"/>
        <v>#N/A</v>
      </c>
      <c r="GC222" s="8" t="e">
        <f t="shared" si="343"/>
        <v>#N/A</v>
      </c>
      <c r="GD222" s="81" t="e">
        <f t="shared" si="344"/>
        <v>#N/A</v>
      </c>
      <c r="GE222" s="74" t="e">
        <f t="shared" si="345"/>
        <v>#N/A</v>
      </c>
      <c r="GF222" s="82" t="e">
        <f t="shared" si="346"/>
        <v>#N/A</v>
      </c>
      <c r="GG222" s="7" t="e">
        <f t="shared" si="337"/>
        <v>#N/A</v>
      </c>
      <c r="GH222" t="e">
        <f t="shared" si="347"/>
        <v>#N/A</v>
      </c>
      <c r="GI222" s="8" t="e">
        <f t="shared" si="348"/>
        <v>#N/A</v>
      </c>
      <c r="GJ222" s="8" t="e">
        <f t="shared" si="349"/>
        <v>#N/A</v>
      </c>
      <c r="GK222" s="81" t="e">
        <f t="shared" si="350"/>
        <v>#N/A</v>
      </c>
      <c r="GL222" s="81"/>
      <c r="GM222" s="81"/>
      <c r="GP222" s="32">
        <f t="shared" si="395"/>
        <v>212</v>
      </c>
      <c r="GQ222" s="32">
        <f t="shared" si="396"/>
        <v>213</v>
      </c>
      <c r="GR222" s="32">
        <f t="shared" si="397"/>
        <v>1.9882890031932439</v>
      </c>
      <c r="GS222" s="32">
        <f t="shared" si="398"/>
        <v>5.5266678363017178E-2</v>
      </c>
      <c r="GT222" s="32" t="e">
        <f t="shared" si="399"/>
        <v>#N/A</v>
      </c>
      <c r="GU222" s="32" t="e">
        <f t="shared" si="400"/>
        <v>#N/A</v>
      </c>
      <c r="GV222" s="32" t="e">
        <f t="shared" si="401"/>
        <v>#N/A</v>
      </c>
      <c r="GW222" s="32" t="b">
        <f t="shared" si="402"/>
        <v>0</v>
      </c>
      <c r="GX222" s="32" t="b">
        <f t="shared" si="403"/>
        <v>1</v>
      </c>
      <c r="GY222" s="32" t="b">
        <f t="shared" si="404"/>
        <v>1</v>
      </c>
      <c r="GZ222" s="32" t="b">
        <f t="shared" si="405"/>
        <v>0</v>
      </c>
      <c r="HA222" s="32">
        <f t="shared" si="406"/>
        <v>5.5266678363017178E-2</v>
      </c>
      <c r="HB222" s="32">
        <f t="shared" si="407"/>
        <v>5.5266678363017178E-2</v>
      </c>
      <c r="HC222" s="32" t="e">
        <f t="shared" si="408"/>
        <v>#N/A</v>
      </c>
      <c r="HD222" s="45" t="str">
        <f t="shared" si="409"/>
        <v/>
      </c>
      <c r="HJ222" s="32">
        <f t="shared" si="410"/>
        <v>212</v>
      </c>
      <c r="HK222" s="32">
        <f t="shared" si="411"/>
        <v>213</v>
      </c>
      <c r="HL222" s="32">
        <f t="shared" si="412"/>
        <v>3.0789072804417188</v>
      </c>
      <c r="HM222" s="32" t="e">
        <f t="shared" si="413"/>
        <v>#N/A</v>
      </c>
      <c r="HN222" s="32">
        <f t="shared" si="414"/>
        <v>1.2532831418244361E-2</v>
      </c>
      <c r="HO222" s="32" t="e">
        <f t="shared" si="415"/>
        <v>#N/A</v>
      </c>
      <c r="HP222" s="32" t="e">
        <f t="shared" si="416"/>
        <v>#N/A</v>
      </c>
      <c r="HQ222" s="32" t="b">
        <f t="shared" si="417"/>
        <v>0</v>
      </c>
      <c r="HR222" s="32" t="b">
        <f t="shared" si="418"/>
        <v>1</v>
      </c>
      <c r="HS222" s="32" t="b">
        <f t="shared" si="419"/>
        <v>1</v>
      </c>
      <c r="HT222" s="32" t="b">
        <f t="shared" si="420"/>
        <v>0</v>
      </c>
      <c r="HU222" s="32">
        <f t="shared" si="421"/>
        <v>1.2532831418244361E-2</v>
      </c>
      <c r="HV222" s="32" t="e">
        <f t="shared" si="422"/>
        <v>#N/A</v>
      </c>
      <c r="HW222" s="32">
        <f t="shared" si="423"/>
        <v>1.2532831418244361E-2</v>
      </c>
      <c r="HX222" s="45" t="str">
        <f t="shared" si="424"/>
        <v/>
      </c>
    </row>
    <row r="223" spans="78:232" x14ac:dyDescent="0.2">
      <c r="BZ223" s="32">
        <f t="shared" si="351"/>
        <v>213</v>
      </c>
      <c r="CA223" s="32">
        <f>Eu_tabel_g[[#This Row],[Indeks]]+1</f>
        <v>214</v>
      </c>
      <c r="CB223" s="32">
        <f t="shared" si="352"/>
        <v>2.0122442923883437</v>
      </c>
      <c r="CC223" s="32">
        <f t="shared" si="353"/>
        <v>5.2680912571830774E-2</v>
      </c>
      <c r="CD223" s="32" t="e">
        <f t="shared" si="354"/>
        <v>#N/A</v>
      </c>
      <c r="CE223" s="32" t="e">
        <f t="shared" si="355"/>
        <v>#N/A</v>
      </c>
      <c r="CF223" s="32" t="e">
        <f t="shared" si="356"/>
        <v>#N/A</v>
      </c>
      <c r="CG223" s="32" t="b">
        <f t="shared" si="357"/>
        <v>0</v>
      </c>
      <c r="CH223" s="32" t="b">
        <f t="shared" si="358"/>
        <v>1</v>
      </c>
      <c r="CI223" s="32" t="b">
        <f t="shared" si="359"/>
        <v>1</v>
      </c>
      <c r="CJ223" s="32" t="b">
        <f t="shared" si="360"/>
        <v>0</v>
      </c>
      <c r="CK223" s="32">
        <f t="shared" si="425"/>
        <v>5.2680912571830774E-2</v>
      </c>
      <c r="CL223" s="32">
        <f t="shared" si="361"/>
        <v>5.2680912571830774E-2</v>
      </c>
      <c r="CM223" s="32" t="e">
        <f t="shared" si="362"/>
        <v>#N/A</v>
      </c>
      <c r="CN223" s="45" t="str">
        <f t="shared" si="363"/>
        <v/>
      </c>
      <c r="CO223" s="32">
        <f>_xlfn.NORM.DIST(_xlfn.NORM.INV(1-Eu_g_konfidensniveau,0,1)-Eu_tabel_g[[#This Row],[x base]],0,1,TRUE)</f>
        <v>1.2754347670460044E-4</v>
      </c>
      <c r="CP223" s="32">
        <f>1-_xlfn.NORM.DIST(_xlfn.NORM.INV(Eu_g_konfidensniveau,0,1)-Eu_tabel_g[[#This Row],[x base]],0,1,TRUE)</f>
        <v>0.64333618328693531</v>
      </c>
      <c r="CQ223" s="32">
        <f>_xlfn.NORM.DIST(_xlfn.NORM.INV((1-Eu_g_konfidensniveau)/2,0,1)-Eu_tabel_g[[#This Row],[x base]],0,1,TRUE)+1-_xlfn.NORM.DIST(_xlfn.NORM.INV(1-(1-Eu_g_konfidensniveau)/2,0,1)-Eu_tabel_g[[#This Row],[x base]],0,1,TRUE)</f>
        <v>0.5208829327495752</v>
      </c>
      <c r="CR223" s="32" t="e" cm="1">
        <f t="array" ref="CR223">IF($CR$3,INDEX(Eu_tabel_g[[#This Row],[Styrke venstre]:[Styrke tosidet]],CR$7),NA())</f>
        <v>#N/A</v>
      </c>
      <c r="CS223" s="52" t="e">
        <f>Eu_tabel_g[[#This Row],[Falsk positiv
Nulhypotese accepteres
Fejltype 1]]</f>
        <v>#N/A</v>
      </c>
      <c r="CT223" s="52" t="e">
        <f>IF(CHOOSE(CR$7,Eu_tabel_g[[#This Row],[x base]]&gt;0,Eu_tabel_g[[#This Row],[x base]]&lt;0,Eu_tabel_g[[#This Row],[x base]]=0),Eu_tabel_g[[#This Row],[Styrke, aktiv]],NA())</f>
        <v>#N/A</v>
      </c>
      <c r="CU223" s="52" t="e">
        <f>IFERROR(IF($CR$3,Eu_tabel_g[[#This Row],[Styrke, aktiv]],NA()),NA())</f>
        <v>#N/A</v>
      </c>
      <c r="CV223" s="52" t="e">
        <f>IF(ISNA(Eu_tabel_g[[#This Row],[Sand negativ
Nulhypotese afvises
Korrekt]]),NA(),IF($CR$3,1,NA()))</f>
        <v>#N/A</v>
      </c>
      <c r="CW223" s="34" t="str" cm="1">
        <f t="array" ref="CW223">_xlfn.SWITCH(BZ223,_xlfn.IFNA(CU$2,-99),CU$5,_xlfn.IFNA(CU$3,-99),CU$6,_xlfn.IFNA(CU$4,-99),CU$7,"")</f>
        <v/>
      </c>
      <c r="DA223" s="7">
        <f t="shared" si="364"/>
        <v>0.8</v>
      </c>
      <c r="DB223">
        <f>IF(ROW(Styrkeberegning_G[[#This Row],[X base venstre]])=ROW(Styrkeberegning_G[[#Headers],[X base venstre]])+1,DB$7/(DA$7/$B$67),DB222/(DA222/$B$67))</f>
        <v>-2.8015817870135784</v>
      </c>
      <c r="DC223">
        <f>Styrkeberegning_G[[#This Row],[X base venstre]]*-1</f>
        <v>2.8015817870135784</v>
      </c>
      <c r="DN223" s="32">
        <f t="shared" si="365"/>
        <v>213</v>
      </c>
      <c r="DO223" s="32">
        <f t="shared" si="366"/>
        <v>214</v>
      </c>
      <c r="DP223" s="32">
        <f t="shared" si="367"/>
        <v>26.130945081474906</v>
      </c>
      <c r="DQ223" s="32" t="e">
        <f t="shared" si="368"/>
        <v>#N/A</v>
      </c>
      <c r="DR223" s="32" t="e">
        <f t="shared" si="369"/>
        <v>#N/A</v>
      </c>
      <c r="DS223" s="32">
        <f t="shared" si="370"/>
        <v>2.13016702151311E-3</v>
      </c>
      <c r="DT223" s="32" t="e">
        <f t="shared" si="371"/>
        <v>#N/A</v>
      </c>
      <c r="DU223" s="32" t="b">
        <f t="shared" si="372"/>
        <v>0</v>
      </c>
      <c r="DV223" s="32" t="b">
        <f t="shared" si="373"/>
        <v>1</v>
      </c>
      <c r="DW223" s="32" t="b">
        <f t="shared" si="374"/>
        <v>1</v>
      </c>
      <c r="DX223" s="32" t="b">
        <f t="shared" si="375"/>
        <v>0</v>
      </c>
      <c r="DY223" s="32">
        <f t="shared" si="376"/>
        <v>2.13016702151311E-3</v>
      </c>
      <c r="DZ223" s="32">
        <f t="shared" si="377"/>
        <v>2.13016702151311E-3</v>
      </c>
      <c r="EA223" s="32" t="e">
        <f t="shared" si="378"/>
        <v>#N/A</v>
      </c>
      <c r="EB223" s="45" t="str">
        <f t="shared" si="379"/>
        <v/>
      </c>
      <c r="EG223" s="32">
        <f t="shared" si="380"/>
        <v>213</v>
      </c>
      <c r="EH223" s="32">
        <f t="shared" si="381"/>
        <v>214</v>
      </c>
      <c r="EI223" s="32">
        <f t="shared" si="382"/>
        <v>2.0122442923883437</v>
      </c>
      <c r="EJ223" s="32">
        <f t="shared" si="383"/>
        <v>5.2680912571830774E-2</v>
      </c>
      <c r="EK223" s="32" t="e">
        <f t="shared" si="384"/>
        <v>#N/A</v>
      </c>
      <c r="EL223" s="32" t="e">
        <f t="shared" si="385"/>
        <v>#N/A</v>
      </c>
      <c r="EM223" s="32" t="e">
        <f t="shared" si="386"/>
        <v>#N/A</v>
      </c>
      <c r="EN223" s="32" t="b">
        <f t="shared" si="387"/>
        <v>0</v>
      </c>
      <c r="EO223" s="32" t="b">
        <f t="shared" si="388"/>
        <v>1</v>
      </c>
      <c r="EP223" s="32" t="b">
        <f t="shared" si="389"/>
        <v>1</v>
      </c>
      <c r="EQ223" s="32" t="b">
        <f t="shared" si="390"/>
        <v>0</v>
      </c>
      <c r="ER223" s="32">
        <f t="shared" si="391"/>
        <v>5.2680912571830774E-2</v>
      </c>
      <c r="ES223" s="32">
        <f t="shared" si="392"/>
        <v>5.2680912571830774E-2</v>
      </c>
      <c r="ET223" s="32" t="e">
        <f t="shared" si="393"/>
        <v>#N/A</v>
      </c>
      <c r="EU223" s="45" t="str">
        <f t="shared" si="394"/>
        <v/>
      </c>
      <c r="EV22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3" s="32" t="e" cm="1">
        <f t="array" ref="EY223">IF($CR$3,INDEX(Eu_tabel_a[[#This Row],[Styrke venstre]:[Styrke tosidet]],EY$7),NA())</f>
        <v>#N/A</v>
      </c>
      <c r="EZ223" s="32" t="e">
        <f>IF(EY$3,IF(CHOOSE(EY$7,Eu_tabel_a[[#This Row],[x base]]&gt;0,Eu_tabel_a[[#This Row],[x base]]&lt;0,Eu_tabel_a[[#This Row],[x base]]=0),1,NA()),NA())</f>
        <v>#N/A</v>
      </c>
      <c r="FA223" s="32" t="e">
        <f>IF(CHOOSE(EY$7,Eu_tabel_a[[#This Row],[x base]]&gt;0,Eu_tabel_a[[#This Row],[x base]]&lt;0,Eu_tabel_a[[#This Row],[x base]]=0),Eu_tabel_a[[#This Row],[Styrke, aktiv]],NA())</f>
        <v>#N/A</v>
      </c>
      <c r="FB223" s="32" t="e">
        <f>IFERROR(IF($EY$3,Eu_tabel_a[[#This Row],[Styrke, aktiv]],NA()),NA())</f>
        <v>#N/A</v>
      </c>
      <c r="FC223" s="32" t="e">
        <f>IF(ISNA(Eu_tabel_a[[#This Row],[Sand negativ
Nulhypotese afvises
Korrekt]]),NA(),IF(EY$3,1,NA()))</f>
        <v>#N/A</v>
      </c>
      <c r="FD223" s="33" t="str" cm="1">
        <f t="array" ref="FD223">IFERROR(_xlfn.SWITCH(Eu_tabel_a[[#This Row],[Indeks]],_xlfn.IFNA(FB$2,-99),FB$5,_xlfn.IFNA(FB$3,-99),FB$6,_xlfn.IFNA(FB$4,-99),FB$7,""),"")</f>
        <v/>
      </c>
      <c r="FE223" s="32">
        <f>Eu_tabel_a[[#This Row],[x base]]*SQRT(Eu_a_h0_x*(1-Eu_a_h0_x)/Eu_a_n_x)+Eu_a_h0_x</f>
        <v>0</v>
      </c>
      <c r="FJ223" s="74" t="e">
        <f t="shared" si="338"/>
        <v>#N/A</v>
      </c>
      <c r="FK223" s="82" t="e">
        <f t="shared" ref="FK223:FK268" si="426">FK221+FP222</f>
        <v>#DIV/0!</v>
      </c>
      <c r="FL223" s="7" t="e">
        <f t="shared" si="332"/>
        <v>#DIV/0!</v>
      </c>
      <c r="FM223" t="e">
        <f t="shared" ref="FM223:FM268" si="427">FK223-FK222</f>
        <v>#DIV/0!</v>
      </c>
      <c r="FN223" s="8" t="e">
        <f t="shared" ref="FN223:FN268" si="428">FL223-FL222</f>
        <v>#DIV/0!</v>
      </c>
      <c r="FO223" s="8" t="e">
        <f t="shared" ref="FO223:FO268" si="429">$P$67-FL222</f>
        <v>#DIV/0!</v>
      </c>
      <c r="FP223" s="81" t="e">
        <f t="shared" ref="FP223:FP268" si="430">FM223/(FN223/FO223)</f>
        <v>#DIV/0!</v>
      </c>
      <c r="FQ223" s="74" t="e">
        <f t="shared" ca="1" si="333"/>
        <v>#N/A</v>
      </c>
      <c r="FR223" s="82" t="e" vm="3">
        <f t="shared" ca="1" si="339"/>
        <v>#VALUE!</v>
      </c>
      <c r="FS223" s="7" t="e" vm="3">
        <f t="shared" ca="1" si="334"/>
        <v>#VALUE!</v>
      </c>
      <c r="FT223" t="e" vm="3">
        <f t="shared" ca="1" si="328"/>
        <v>#VALUE!</v>
      </c>
      <c r="FU223" s="8" t="e" vm="3">
        <f t="shared" ca="1" si="329"/>
        <v>#VALUE!</v>
      </c>
      <c r="FV223" s="8" t="e" vm="3">
        <f t="shared" ca="1" si="330"/>
        <v>#VALUE!</v>
      </c>
      <c r="FW223" s="81" t="e" vm="3">
        <f t="shared" ca="1" si="331"/>
        <v>#VALUE!</v>
      </c>
      <c r="FX223" s="74" t="e">
        <f t="shared" si="335"/>
        <v>#N/A</v>
      </c>
      <c r="FY223" s="82" t="e">
        <f t="shared" si="340"/>
        <v>#N/A</v>
      </c>
      <c r="FZ223" s="7" t="e">
        <f t="shared" si="336"/>
        <v>#N/A</v>
      </c>
      <c r="GA223" t="e">
        <f t="shared" si="341"/>
        <v>#N/A</v>
      </c>
      <c r="GB223" s="8" t="e">
        <f t="shared" si="342"/>
        <v>#N/A</v>
      </c>
      <c r="GC223" s="8" t="e">
        <f t="shared" si="343"/>
        <v>#N/A</v>
      </c>
      <c r="GD223" s="81" t="e">
        <f t="shared" si="344"/>
        <v>#N/A</v>
      </c>
      <c r="GE223" s="74" t="e">
        <f t="shared" si="345"/>
        <v>#N/A</v>
      </c>
      <c r="GF223" s="82" t="e">
        <f t="shared" si="346"/>
        <v>#N/A</v>
      </c>
      <c r="GG223" s="7" t="e">
        <f t="shared" si="337"/>
        <v>#N/A</v>
      </c>
      <c r="GH223" t="e">
        <f t="shared" si="347"/>
        <v>#N/A</v>
      </c>
      <c r="GI223" s="8" t="e">
        <f t="shared" si="348"/>
        <v>#N/A</v>
      </c>
      <c r="GJ223" s="8" t="e">
        <f t="shared" si="349"/>
        <v>#N/A</v>
      </c>
      <c r="GK223" s="81" t="e">
        <f t="shared" si="350"/>
        <v>#N/A</v>
      </c>
      <c r="GL223" s="81"/>
      <c r="GM223" s="81"/>
      <c r="GP223" s="32">
        <f t="shared" si="395"/>
        <v>213</v>
      </c>
      <c r="GQ223" s="32">
        <f t="shared" si="396"/>
        <v>214</v>
      </c>
      <c r="GR223" s="32">
        <f t="shared" si="397"/>
        <v>2.0122442923883437</v>
      </c>
      <c r="GS223" s="32">
        <f t="shared" si="398"/>
        <v>5.2680912571830774E-2</v>
      </c>
      <c r="GT223" s="32" t="e">
        <f t="shared" si="399"/>
        <v>#N/A</v>
      </c>
      <c r="GU223" s="32" t="e">
        <f t="shared" si="400"/>
        <v>#N/A</v>
      </c>
      <c r="GV223" s="32" t="e">
        <f t="shared" si="401"/>
        <v>#N/A</v>
      </c>
      <c r="GW223" s="32" t="b">
        <f t="shared" si="402"/>
        <v>0</v>
      </c>
      <c r="GX223" s="32" t="b">
        <f t="shared" si="403"/>
        <v>1</v>
      </c>
      <c r="GY223" s="32" t="b">
        <f t="shared" si="404"/>
        <v>1</v>
      </c>
      <c r="GZ223" s="32" t="b">
        <f t="shared" si="405"/>
        <v>0</v>
      </c>
      <c r="HA223" s="32">
        <f t="shared" si="406"/>
        <v>5.2680912571830774E-2</v>
      </c>
      <c r="HB223" s="32">
        <f t="shared" si="407"/>
        <v>5.2680912571830774E-2</v>
      </c>
      <c r="HC223" s="32" t="e">
        <f t="shared" si="408"/>
        <v>#N/A</v>
      </c>
      <c r="HD223" s="45" t="str">
        <f t="shared" si="409"/>
        <v/>
      </c>
      <c r="HJ223" s="32">
        <f t="shared" si="410"/>
        <v>213</v>
      </c>
      <c r="HK223" s="32">
        <f t="shared" si="411"/>
        <v>214</v>
      </c>
      <c r="HL223" s="32">
        <f t="shared" si="412"/>
        <v>3.1160025488807754</v>
      </c>
      <c r="HM223" s="32" t="e">
        <f t="shared" si="413"/>
        <v>#N/A</v>
      </c>
      <c r="HN223" s="32">
        <f t="shared" si="414"/>
        <v>1.1857478614188162E-2</v>
      </c>
      <c r="HO223" s="32" t="e">
        <f t="shared" si="415"/>
        <v>#N/A</v>
      </c>
      <c r="HP223" s="32" t="e">
        <f t="shared" si="416"/>
        <v>#N/A</v>
      </c>
      <c r="HQ223" s="32" t="b">
        <f t="shared" si="417"/>
        <v>0</v>
      </c>
      <c r="HR223" s="32" t="b">
        <f t="shared" si="418"/>
        <v>1</v>
      </c>
      <c r="HS223" s="32" t="b">
        <f t="shared" si="419"/>
        <v>1</v>
      </c>
      <c r="HT223" s="32" t="b">
        <f t="shared" si="420"/>
        <v>0</v>
      </c>
      <c r="HU223" s="32">
        <f t="shared" si="421"/>
        <v>1.1857478614188162E-2</v>
      </c>
      <c r="HV223" s="32" t="e">
        <f t="shared" si="422"/>
        <v>#N/A</v>
      </c>
      <c r="HW223" s="32">
        <f t="shared" si="423"/>
        <v>1.1857478614188162E-2</v>
      </c>
      <c r="HX223" s="45" t="str">
        <f t="shared" si="424"/>
        <v/>
      </c>
    </row>
    <row r="224" spans="78:232" x14ac:dyDescent="0.2">
      <c r="BZ224" s="32">
        <f t="shared" si="351"/>
        <v>214</v>
      </c>
      <c r="CA224" s="32">
        <f>Eu_tabel_g[[#This Row],[Indeks]]+1</f>
        <v>215</v>
      </c>
      <c r="CB224" s="32">
        <f t="shared" si="352"/>
        <v>2.0361995815834426</v>
      </c>
      <c r="CC224" s="32">
        <f t="shared" si="353"/>
        <v>5.0187318625221689E-2</v>
      </c>
      <c r="CD224" s="32" t="e">
        <f t="shared" si="354"/>
        <v>#N/A</v>
      </c>
      <c r="CE224" s="32" t="e">
        <f t="shared" si="355"/>
        <v>#N/A</v>
      </c>
      <c r="CF224" s="32" t="e">
        <f t="shared" si="356"/>
        <v>#N/A</v>
      </c>
      <c r="CG224" s="32" t="b">
        <f t="shared" si="357"/>
        <v>0</v>
      </c>
      <c r="CH224" s="32" t="b">
        <f t="shared" si="358"/>
        <v>1</v>
      </c>
      <c r="CI224" s="32" t="b">
        <f t="shared" si="359"/>
        <v>1</v>
      </c>
      <c r="CJ224" s="32" t="b">
        <f t="shared" si="360"/>
        <v>0</v>
      </c>
      <c r="CK224" s="32">
        <f t="shared" si="425"/>
        <v>5.0187318625221689E-2</v>
      </c>
      <c r="CL224" s="32">
        <f t="shared" si="361"/>
        <v>5.0187318625221689E-2</v>
      </c>
      <c r="CM224" s="32" t="e">
        <f t="shared" si="362"/>
        <v>#N/A</v>
      </c>
      <c r="CN224" s="45" t="str">
        <f t="shared" si="363"/>
        <v/>
      </c>
      <c r="CO224" s="32">
        <f>_xlfn.NORM.DIST(_xlfn.NORM.INV(1-Eu_g_konfidensniveau,0,1)-Eu_tabel_g[[#This Row],[x base]],0,1,TRUE)</f>
        <v>1.1613626122131735E-4</v>
      </c>
      <c r="CP224" s="32">
        <f>1-_xlfn.NORM.DIST(_xlfn.NORM.INV(Eu_g_konfidensniveau,0,1)-Eu_tabel_g[[#This Row],[x base]],0,1,TRUE)</f>
        <v>0.65222923248733788</v>
      </c>
      <c r="CQ224" s="32">
        <f>_xlfn.NORM.DIST(_xlfn.NORM.INV((1-Eu_g_konfidensniveau)/2,0,1)-Eu_tabel_g[[#This Row],[x base]],0,1,TRUE)+1-_xlfn.NORM.DIST(_xlfn.NORM.INV(1-(1-Eu_g_konfidensniveau)/2,0,1)-Eu_tabel_g[[#This Row],[x base]],0,1,TRUE)</f>
        <v>0.53041635726275116</v>
      </c>
      <c r="CR224" s="32" t="e" cm="1">
        <f t="array" ref="CR224">IF($CR$3,INDEX(Eu_tabel_g[[#This Row],[Styrke venstre]:[Styrke tosidet]],CR$7),NA())</f>
        <v>#N/A</v>
      </c>
      <c r="CS224" s="52" t="e">
        <f>Eu_tabel_g[[#This Row],[Falsk positiv
Nulhypotese accepteres
Fejltype 1]]</f>
        <v>#N/A</v>
      </c>
      <c r="CT224" s="52" t="e">
        <f>IF(CHOOSE(CR$7,Eu_tabel_g[[#This Row],[x base]]&gt;0,Eu_tabel_g[[#This Row],[x base]]&lt;0,Eu_tabel_g[[#This Row],[x base]]=0),Eu_tabel_g[[#This Row],[Styrke, aktiv]],NA())</f>
        <v>#N/A</v>
      </c>
      <c r="CU224" s="52" t="e">
        <f>IFERROR(IF($CR$3,Eu_tabel_g[[#This Row],[Styrke, aktiv]],NA()),NA())</f>
        <v>#N/A</v>
      </c>
      <c r="CV224" s="52" t="e">
        <f>IF(ISNA(Eu_tabel_g[[#This Row],[Sand negativ
Nulhypotese afvises
Korrekt]]),NA(),IF($CR$3,1,NA()))</f>
        <v>#N/A</v>
      </c>
      <c r="CW224" s="34" t="str" cm="1">
        <f t="array" ref="CW224">_xlfn.SWITCH(BZ224,_xlfn.IFNA(CU$2,-99),CU$5,_xlfn.IFNA(CU$3,-99),CU$6,_xlfn.IFNA(CU$4,-99),CU$7,"")</f>
        <v/>
      </c>
      <c r="DA224" s="7">
        <f t="shared" si="364"/>
        <v>0.8</v>
      </c>
      <c r="DB224">
        <f>IF(ROW(Styrkeberegning_G[[#This Row],[X base venstre]])=ROW(Styrkeberegning_G[[#Headers],[X base venstre]])+1,DB$7/(DA$7/$B$67),DB223/(DA223/$B$67))</f>
        <v>-2.8015817870135784</v>
      </c>
      <c r="DC224">
        <f>Styrkeberegning_G[[#This Row],[X base venstre]]*-1</f>
        <v>2.8015817870135784</v>
      </c>
      <c r="DN224" s="32">
        <f t="shared" si="365"/>
        <v>214</v>
      </c>
      <c r="DO224" s="32">
        <f t="shared" si="366"/>
        <v>215</v>
      </c>
      <c r="DP224" s="32">
        <f t="shared" si="367"/>
        <v>26.245015937891903</v>
      </c>
      <c r="DQ224" s="32" t="e">
        <f t="shared" si="368"/>
        <v>#N/A</v>
      </c>
      <c r="DR224" s="32" t="e">
        <f t="shared" si="369"/>
        <v>#N/A</v>
      </c>
      <c r="DS224" s="32">
        <f t="shared" si="370"/>
        <v>2.0519002360898223E-3</v>
      </c>
      <c r="DT224" s="32" t="e">
        <f t="shared" si="371"/>
        <v>#N/A</v>
      </c>
      <c r="DU224" s="32" t="b">
        <f t="shared" si="372"/>
        <v>0</v>
      </c>
      <c r="DV224" s="32" t="b">
        <f t="shared" si="373"/>
        <v>1</v>
      </c>
      <c r="DW224" s="32" t="b">
        <f t="shared" si="374"/>
        <v>1</v>
      </c>
      <c r="DX224" s="32" t="b">
        <f t="shared" si="375"/>
        <v>0</v>
      </c>
      <c r="DY224" s="32">
        <f t="shared" si="376"/>
        <v>2.0519002360898223E-3</v>
      </c>
      <c r="DZ224" s="32">
        <f t="shared" si="377"/>
        <v>2.0519002360898223E-3</v>
      </c>
      <c r="EA224" s="32" t="e">
        <f t="shared" si="378"/>
        <v>#N/A</v>
      </c>
      <c r="EB224" s="45" t="str">
        <f t="shared" si="379"/>
        <v/>
      </c>
      <c r="EG224" s="32">
        <f t="shared" si="380"/>
        <v>214</v>
      </c>
      <c r="EH224" s="32">
        <f t="shared" si="381"/>
        <v>215</v>
      </c>
      <c r="EI224" s="32">
        <f t="shared" si="382"/>
        <v>2.0361995815834426</v>
      </c>
      <c r="EJ224" s="32">
        <f t="shared" si="383"/>
        <v>5.0187318625221689E-2</v>
      </c>
      <c r="EK224" s="32" t="e">
        <f t="shared" si="384"/>
        <v>#N/A</v>
      </c>
      <c r="EL224" s="32" t="e">
        <f t="shared" si="385"/>
        <v>#N/A</v>
      </c>
      <c r="EM224" s="32" t="e">
        <f t="shared" si="386"/>
        <v>#N/A</v>
      </c>
      <c r="EN224" s="32" t="b">
        <f t="shared" si="387"/>
        <v>0</v>
      </c>
      <c r="EO224" s="32" t="b">
        <f t="shared" si="388"/>
        <v>1</v>
      </c>
      <c r="EP224" s="32" t="b">
        <f t="shared" si="389"/>
        <v>1</v>
      </c>
      <c r="EQ224" s="32" t="b">
        <f t="shared" si="390"/>
        <v>0</v>
      </c>
      <c r="ER224" s="32">
        <f t="shared" si="391"/>
        <v>5.0187318625221689E-2</v>
      </c>
      <c r="ES224" s="32">
        <f t="shared" si="392"/>
        <v>5.0187318625221689E-2</v>
      </c>
      <c r="ET224" s="32" t="e">
        <f t="shared" si="393"/>
        <v>#N/A</v>
      </c>
      <c r="EU224" s="45" t="str">
        <f t="shared" si="394"/>
        <v/>
      </c>
      <c r="EV22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4" s="32" t="e" cm="1">
        <f t="array" ref="EY224">IF($CR$3,INDEX(Eu_tabel_a[[#This Row],[Styrke venstre]:[Styrke tosidet]],EY$7),NA())</f>
        <v>#N/A</v>
      </c>
      <c r="EZ224" s="32" t="e">
        <f>IF(EY$3,IF(CHOOSE(EY$7,Eu_tabel_a[[#This Row],[x base]]&gt;0,Eu_tabel_a[[#This Row],[x base]]&lt;0,Eu_tabel_a[[#This Row],[x base]]=0),1,NA()),NA())</f>
        <v>#N/A</v>
      </c>
      <c r="FA224" s="32" t="e">
        <f>IF(CHOOSE(EY$7,Eu_tabel_a[[#This Row],[x base]]&gt;0,Eu_tabel_a[[#This Row],[x base]]&lt;0,Eu_tabel_a[[#This Row],[x base]]=0),Eu_tabel_a[[#This Row],[Styrke, aktiv]],NA())</f>
        <v>#N/A</v>
      </c>
      <c r="FB224" s="32" t="e">
        <f>IFERROR(IF($EY$3,Eu_tabel_a[[#This Row],[Styrke, aktiv]],NA()),NA())</f>
        <v>#N/A</v>
      </c>
      <c r="FC224" s="32" t="e">
        <f>IF(ISNA(Eu_tabel_a[[#This Row],[Sand negativ
Nulhypotese afvises
Korrekt]]),NA(),IF(EY$3,1,NA()))</f>
        <v>#N/A</v>
      </c>
      <c r="FD224" s="33" t="str" cm="1">
        <f t="array" ref="FD224">IFERROR(_xlfn.SWITCH(Eu_tabel_a[[#This Row],[Indeks]],_xlfn.IFNA(FB$2,-99),FB$5,_xlfn.IFNA(FB$3,-99),FB$6,_xlfn.IFNA(FB$4,-99),FB$7,""),"")</f>
        <v/>
      </c>
      <c r="FE224" s="32">
        <f>Eu_tabel_a[[#This Row],[x base]]*SQRT(Eu_a_h0_x*(1-Eu_a_h0_x)/Eu_a_n_x)+Eu_a_h0_x</f>
        <v>0</v>
      </c>
      <c r="FJ224" s="74" t="e">
        <f t="shared" si="338"/>
        <v>#N/A</v>
      </c>
      <c r="FK224" s="82" t="e">
        <f t="shared" si="426"/>
        <v>#DIV/0!</v>
      </c>
      <c r="FL224" s="7" t="e">
        <f t="shared" si="332"/>
        <v>#DIV/0!</v>
      </c>
      <c r="FM224" t="e">
        <f t="shared" si="427"/>
        <v>#DIV/0!</v>
      </c>
      <c r="FN224" s="8" t="e">
        <f t="shared" si="428"/>
        <v>#DIV/0!</v>
      </c>
      <c r="FO224" s="8" t="e">
        <f t="shared" si="429"/>
        <v>#DIV/0!</v>
      </c>
      <c r="FP224" s="81" t="e">
        <f t="shared" si="430"/>
        <v>#DIV/0!</v>
      </c>
      <c r="FQ224" s="74" t="e">
        <f t="shared" ca="1" si="333"/>
        <v>#N/A</v>
      </c>
      <c r="FR224" s="82" t="e" vm="3">
        <f t="shared" ca="1" si="339"/>
        <v>#VALUE!</v>
      </c>
      <c r="FS224" s="7" t="e" vm="3">
        <f t="shared" ca="1" si="334"/>
        <v>#VALUE!</v>
      </c>
      <c r="FT224" t="e" vm="3">
        <f t="shared" ca="1" si="328"/>
        <v>#VALUE!</v>
      </c>
      <c r="FU224" s="8" t="e" vm="3">
        <f t="shared" ca="1" si="329"/>
        <v>#VALUE!</v>
      </c>
      <c r="FV224" s="8" t="e" vm="3">
        <f t="shared" ca="1" si="330"/>
        <v>#VALUE!</v>
      </c>
      <c r="FW224" s="81" t="e" vm="3">
        <f t="shared" ca="1" si="331"/>
        <v>#VALUE!</v>
      </c>
      <c r="FX224" s="74" t="e">
        <f t="shared" si="335"/>
        <v>#N/A</v>
      </c>
      <c r="FY224" s="82" t="e">
        <f t="shared" si="340"/>
        <v>#N/A</v>
      </c>
      <c r="FZ224" s="7" t="e">
        <f t="shared" si="336"/>
        <v>#N/A</v>
      </c>
      <c r="GA224" t="e">
        <f t="shared" si="341"/>
        <v>#N/A</v>
      </c>
      <c r="GB224" s="8" t="e">
        <f t="shared" si="342"/>
        <v>#N/A</v>
      </c>
      <c r="GC224" s="8" t="e">
        <f t="shared" si="343"/>
        <v>#N/A</v>
      </c>
      <c r="GD224" s="81" t="e">
        <f t="shared" si="344"/>
        <v>#N/A</v>
      </c>
      <c r="GE224" s="74" t="e">
        <f t="shared" si="345"/>
        <v>#N/A</v>
      </c>
      <c r="GF224" s="82" t="e">
        <f t="shared" si="346"/>
        <v>#N/A</v>
      </c>
      <c r="GG224" s="7" t="e">
        <f t="shared" si="337"/>
        <v>#N/A</v>
      </c>
      <c r="GH224" t="e">
        <f t="shared" si="347"/>
        <v>#N/A</v>
      </c>
      <c r="GI224" s="8" t="e">
        <f t="shared" si="348"/>
        <v>#N/A</v>
      </c>
      <c r="GJ224" s="8" t="e">
        <f t="shared" si="349"/>
        <v>#N/A</v>
      </c>
      <c r="GK224" s="81" t="e">
        <f t="shared" si="350"/>
        <v>#N/A</v>
      </c>
      <c r="GL224" s="81"/>
      <c r="GM224" s="81"/>
      <c r="GP224" s="32">
        <f t="shared" si="395"/>
        <v>214</v>
      </c>
      <c r="GQ224" s="32">
        <f t="shared" si="396"/>
        <v>215</v>
      </c>
      <c r="GR224" s="32">
        <f t="shared" si="397"/>
        <v>2.0361995815834426</v>
      </c>
      <c r="GS224" s="32">
        <f t="shared" si="398"/>
        <v>5.0187318625221689E-2</v>
      </c>
      <c r="GT224" s="32" t="e">
        <f t="shared" si="399"/>
        <v>#N/A</v>
      </c>
      <c r="GU224" s="32" t="e">
        <f t="shared" si="400"/>
        <v>#N/A</v>
      </c>
      <c r="GV224" s="32" t="e">
        <f t="shared" si="401"/>
        <v>#N/A</v>
      </c>
      <c r="GW224" s="32" t="b">
        <f t="shared" si="402"/>
        <v>0</v>
      </c>
      <c r="GX224" s="32" t="b">
        <f t="shared" si="403"/>
        <v>1</v>
      </c>
      <c r="GY224" s="32" t="b">
        <f t="shared" si="404"/>
        <v>1</v>
      </c>
      <c r="GZ224" s="32" t="b">
        <f t="shared" si="405"/>
        <v>0</v>
      </c>
      <c r="HA224" s="32">
        <f t="shared" si="406"/>
        <v>5.0187318625221689E-2</v>
      </c>
      <c r="HB224" s="32">
        <f t="shared" si="407"/>
        <v>5.0187318625221689E-2</v>
      </c>
      <c r="HC224" s="32" t="e">
        <f t="shared" si="408"/>
        <v>#N/A</v>
      </c>
      <c r="HD224" s="45" t="str">
        <f t="shared" si="409"/>
        <v/>
      </c>
      <c r="HJ224" s="32">
        <f t="shared" si="410"/>
        <v>214</v>
      </c>
      <c r="HK224" s="32">
        <f t="shared" si="411"/>
        <v>215</v>
      </c>
      <c r="HL224" s="32">
        <f t="shared" si="412"/>
        <v>3.1530978173198321</v>
      </c>
      <c r="HM224" s="32" t="e">
        <f t="shared" si="413"/>
        <v>#N/A</v>
      </c>
      <c r="HN224" s="32">
        <f t="shared" si="414"/>
        <v>1.1219716568102925E-2</v>
      </c>
      <c r="HO224" s="32" t="e">
        <f t="shared" si="415"/>
        <v>#N/A</v>
      </c>
      <c r="HP224" s="32" t="e">
        <f t="shared" si="416"/>
        <v>#N/A</v>
      </c>
      <c r="HQ224" s="32" t="b">
        <f t="shared" si="417"/>
        <v>0</v>
      </c>
      <c r="HR224" s="32" t="b">
        <f t="shared" si="418"/>
        <v>1</v>
      </c>
      <c r="HS224" s="32" t="b">
        <f t="shared" si="419"/>
        <v>1</v>
      </c>
      <c r="HT224" s="32" t="b">
        <f t="shared" si="420"/>
        <v>0</v>
      </c>
      <c r="HU224" s="32">
        <f t="shared" si="421"/>
        <v>1.1219716568102925E-2</v>
      </c>
      <c r="HV224" s="32" t="e">
        <f t="shared" si="422"/>
        <v>#N/A</v>
      </c>
      <c r="HW224" s="32">
        <f t="shared" si="423"/>
        <v>1.1219716568102925E-2</v>
      </c>
      <c r="HX224" s="45" t="str">
        <f t="shared" si="424"/>
        <v/>
      </c>
    </row>
    <row r="225" spans="78:232" x14ac:dyDescent="0.2">
      <c r="BZ225" s="32">
        <f t="shared" si="351"/>
        <v>215</v>
      </c>
      <c r="CA225" s="32">
        <f>Eu_tabel_g[[#This Row],[Indeks]]+1</f>
        <v>216</v>
      </c>
      <c r="CB225" s="32">
        <f t="shared" si="352"/>
        <v>2.0601548707785424</v>
      </c>
      <c r="CC225" s="32">
        <f t="shared" si="353"/>
        <v>4.7784327061153015E-2</v>
      </c>
      <c r="CD225" s="32" t="e">
        <f t="shared" si="354"/>
        <v>#N/A</v>
      </c>
      <c r="CE225" s="32" t="e">
        <f t="shared" si="355"/>
        <v>#N/A</v>
      </c>
      <c r="CF225" s="32" t="e">
        <f t="shared" si="356"/>
        <v>#N/A</v>
      </c>
      <c r="CG225" s="32" t="b">
        <f t="shared" si="357"/>
        <v>0</v>
      </c>
      <c r="CH225" s="32" t="b">
        <f t="shared" si="358"/>
        <v>1</v>
      </c>
      <c r="CI225" s="32" t="b">
        <f t="shared" si="359"/>
        <v>1</v>
      </c>
      <c r="CJ225" s="32" t="b">
        <f t="shared" si="360"/>
        <v>0</v>
      </c>
      <c r="CK225" s="32">
        <f t="shared" si="425"/>
        <v>4.7784327061153015E-2</v>
      </c>
      <c r="CL225" s="32">
        <f t="shared" si="361"/>
        <v>4.7784327061153015E-2</v>
      </c>
      <c r="CM225" s="32" t="e">
        <f t="shared" si="362"/>
        <v>#N/A</v>
      </c>
      <c r="CN225" s="45" t="str">
        <f t="shared" si="363"/>
        <v/>
      </c>
      <c r="CO225" s="32">
        <f>_xlfn.NORM.DIST(_xlfn.NORM.INV(1-Eu_g_konfidensniveau,0,1)-Eu_tabel_g[[#This Row],[x base]],0,1,TRUE)</f>
        <v>1.0569182294416857E-4</v>
      </c>
      <c r="CP225" s="32">
        <f>1-_xlfn.NORM.DIST(_xlfn.NORM.INV(Eu_g_konfidensniveau,0,1)-Eu_tabel_g[[#This Row],[x base]],0,1,TRUE)</f>
        <v>0.66103930460390115</v>
      </c>
      <c r="CQ225" s="32">
        <f>_xlfn.NORM.DIST(_xlfn.NORM.INV((1-Eu_g_konfidensniveau)/2,0,1)-Eu_tabel_g[[#This Row],[x base]],0,1,TRUE)+1-_xlfn.NORM.DIST(_xlfn.NORM.INV(1-(1-Eu_g_konfidensniveau)/2,0,1)-Eu_tabel_g[[#This Row],[x base]],0,1,TRUE)</f>
        <v>0.53993269372568653</v>
      </c>
      <c r="CR225" s="32" t="e" cm="1">
        <f t="array" ref="CR225">IF($CR$3,INDEX(Eu_tabel_g[[#This Row],[Styrke venstre]:[Styrke tosidet]],CR$7),NA())</f>
        <v>#N/A</v>
      </c>
      <c r="CS225" s="52" t="e">
        <f>Eu_tabel_g[[#This Row],[Falsk positiv
Nulhypotese accepteres
Fejltype 1]]</f>
        <v>#N/A</v>
      </c>
      <c r="CT225" s="52" t="e">
        <f>IF(CHOOSE(CR$7,Eu_tabel_g[[#This Row],[x base]]&gt;0,Eu_tabel_g[[#This Row],[x base]]&lt;0,Eu_tabel_g[[#This Row],[x base]]=0),Eu_tabel_g[[#This Row],[Styrke, aktiv]],NA())</f>
        <v>#N/A</v>
      </c>
      <c r="CU225" s="52" t="e">
        <f>IFERROR(IF($CR$3,Eu_tabel_g[[#This Row],[Styrke, aktiv]],NA()),NA())</f>
        <v>#N/A</v>
      </c>
      <c r="CV225" s="52" t="e">
        <f>IF(ISNA(Eu_tabel_g[[#This Row],[Sand negativ
Nulhypotese afvises
Korrekt]]),NA(),IF($CR$3,1,NA()))</f>
        <v>#N/A</v>
      </c>
      <c r="CW225" s="34" t="str" cm="1">
        <f t="array" ref="CW225">_xlfn.SWITCH(BZ225,_xlfn.IFNA(CU$2,-99),CU$5,_xlfn.IFNA(CU$3,-99),CU$6,_xlfn.IFNA(CU$4,-99),CU$7,"")</f>
        <v/>
      </c>
      <c r="DA225" s="7">
        <f t="shared" si="364"/>
        <v>0.8</v>
      </c>
      <c r="DB225">
        <f>IF(ROW(Styrkeberegning_G[[#This Row],[X base venstre]])=ROW(Styrkeberegning_G[[#Headers],[X base venstre]])+1,DB$7/(DA$7/$B$67),DB224/(DA224/$B$67))</f>
        <v>-2.8015817870135784</v>
      </c>
      <c r="DC225">
        <f>Styrkeberegning_G[[#This Row],[X base venstre]]*-1</f>
        <v>2.8015817870135784</v>
      </c>
      <c r="DN225" s="32">
        <f t="shared" si="365"/>
        <v>215</v>
      </c>
      <c r="DO225" s="32">
        <f t="shared" si="366"/>
        <v>216</v>
      </c>
      <c r="DP225" s="32">
        <f t="shared" si="367"/>
        <v>26.359086794308904</v>
      </c>
      <c r="DQ225" s="32" t="e">
        <f t="shared" si="368"/>
        <v>#N/A</v>
      </c>
      <c r="DR225" s="32" t="e">
        <f t="shared" si="369"/>
        <v>#N/A</v>
      </c>
      <c r="DS225" s="32">
        <f t="shared" si="370"/>
        <v>1.9763411190320398E-3</v>
      </c>
      <c r="DT225" s="32" t="e">
        <f t="shared" si="371"/>
        <v>#N/A</v>
      </c>
      <c r="DU225" s="32" t="b">
        <f t="shared" si="372"/>
        <v>0</v>
      </c>
      <c r="DV225" s="32" t="b">
        <f t="shared" si="373"/>
        <v>1</v>
      </c>
      <c r="DW225" s="32" t="b">
        <f t="shared" si="374"/>
        <v>1</v>
      </c>
      <c r="DX225" s="32" t="b">
        <f t="shared" si="375"/>
        <v>0</v>
      </c>
      <c r="DY225" s="32">
        <f t="shared" si="376"/>
        <v>1.9763411190320398E-3</v>
      </c>
      <c r="DZ225" s="32">
        <f t="shared" si="377"/>
        <v>1.9763411190320398E-3</v>
      </c>
      <c r="EA225" s="32" t="e">
        <f t="shared" si="378"/>
        <v>#N/A</v>
      </c>
      <c r="EB225" s="45" t="str">
        <f t="shared" si="379"/>
        <v/>
      </c>
      <c r="EG225" s="32">
        <f t="shared" si="380"/>
        <v>215</v>
      </c>
      <c r="EH225" s="32">
        <f t="shared" si="381"/>
        <v>216</v>
      </c>
      <c r="EI225" s="32">
        <f t="shared" si="382"/>
        <v>2.0601548707785424</v>
      </c>
      <c r="EJ225" s="32">
        <f t="shared" si="383"/>
        <v>4.7784327061153015E-2</v>
      </c>
      <c r="EK225" s="32" t="e">
        <f t="shared" si="384"/>
        <v>#N/A</v>
      </c>
      <c r="EL225" s="32" t="e">
        <f t="shared" si="385"/>
        <v>#N/A</v>
      </c>
      <c r="EM225" s="32" t="e">
        <f t="shared" si="386"/>
        <v>#N/A</v>
      </c>
      <c r="EN225" s="32" t="b">
        <f t="shared" si="387"/>
        <v>0</v>
      </c>
      <c r="EO225" s="32" t="b">
        <f t="shared" si="388"/>
        <v>1</v>
      </c>
      <c r="EP225" s="32" t="b">
        <f t="shared" si="389"/>
        <v>1</v>
      </c>
      <c r="EQ225" s="32" t="b">
        <f t="shared" si="390"/>
        <v>0</v>
      </c>
      <c r="ER225" s="32">
        <f t="shared" si="391"/>
        <v>4.7784327061153015E-2</v>
      </c>
      <c r="ES225" s="32">
        <f t="shared" si="392"/>
        <v>4.7784327061153015E-2</v>
      </c>
      <c r="ET225" s="32" t="e">
        <f t="shared" si="393"/>
        <v>#N/A</v>
      </c>
      <c r="EU225" s="45" t="str">
        <f t="shared" si="394"/>
        <v/>
      </c>
      <c r="EV22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5" s="32" t="e" cm="1">
        <f t="array" ref="EY225">IF($CR$3,INDEX(Eu_tabel_a[[#This Row],[Styrke venstre]:[Styrke tosidet]],EY$7),NA())</f>
        <v>#N/A</v>
      </c>
      <c r="EZ225" s="32" t="e">
        <f>IF(EY$3,IF(CHOOSE(EY$7,Eu_tabel_a[[#This Row],[x base]]&gt;0,Eu_tabel_a[[#This Row],[x base]]&lt;0,Eu_tabel_a[[#This Row],[x base]]=0),1,NA()),NA())</f>
        <v>#N/A</v>
      </c>
      <c r="FA225" s="32" t="e">
        <f>IF(CHOOSE(EY$7,Eu_tabel_a[[#This Row],[x base]]&gt;0,Eu_tabel_a[[#This Row],[x base]]&lt;0,Eu_tabel_a[[#This Row],[x base]]=0),Eu_tabel_a[[#This Row],[Styrke, aktiv]],NA())</f>
        <v>#N/A</v>
      </c>
      <c r="FB225" s="32" t="e">
        <f>IFERROR(IF($EY$3,Eu_tabel_a[[#This Row],[Styrke, aktiv]],NA()),NA())</f>
        <v>#N/A</v>
      </c>
      <c r="FC225" s="32" t="e">
        <f>IF(ISNA(Eu_tabel_a[[#This Row],[Sand negativ
Nulhypotese afvises
Korrekt]]),NA(),IF(EY$3,1,NA()))</f>
        <v>#N/A</v>
      </c>
      <c r="FD225" s="33" t="str" cm="1">
        <f t="array" ref="FD225">IFERROR(_xlfn.SWITCH(Eu_tabel_a[[#This Row],[Indeks]],_xlfn.IFNA(FB$2,-99),FB$5,_xlfn.IFNA(FB$3,-99),FB$6,_xlfn.IFNA(FB$4,-99),FB$7,""),"")</f>
        <v/>
      </c>
      <c r="FE225" s="32">
        <f>Eu_tabel_a[[#This Row],[x base]]*SQRT(Eu_a_h0_x*(1-Eu_a_h0_x)/Eu_a_n_x)+Eu_a_h0_x</f>
        <v>0</v>
      </c>
      <c r="FJ225" s="74" t="e">
        <f t="shared" si="338"/>
        <v>#N/A</v>
      </c>
      <c r="FK225" s="82" t="e">
        <f t="shared" si="426"/>
        <v>#DIV/0!</v>
      </c>
      <c r="FL225" s="7" t="e">
        <f t="shared" si="332"/>
        <v>#DIV/0!</v>
      </c>
      <c r="FM225" t="e">
        <f t="shared" si="427"/>
        <v>#DIV/0!</v>
      </c>
      <c r="FN225" s="8" t="e">
        <f t="shared" si="428"/>
        <v>#DIV/0!</v>
      </c>
      <c r="FO225" s="8" t="e">
        <f t="shared" si="429"/>
        <v>#DIV/0!</v>
      </c>
      <c r="FP225" s="81" t="e">
        <f t="shared" si="430"/>
        <v>#DIV/0!</v>
      </c>
      <c r="FQ225" s="74" t="e">
        <f t="shared" ca="1" si="333"/>
        <v>#N/A</v>
      </c>
      <c r="FR225" s="82" t="e" vm="3">
        <f t="shared" ca="1" si="339"/>
        <v>#VALUE!</v>
      </c>
      <c r="FS225" s="7" t="e" vm="3">
        <f t="shared" ca="1" si="334"/>
        <v>#VALUE!</v>
      </c>
      <c r="FT225" t="e" vm="3">
        <f t="shared" ca="1" si="328"/>
        <v>#VALUE!</v>
      </c>
      <c r="FU225" s="8" t="e" vm="3">
        <f t="shared" ca="1" si="329"/>
        <v>#VALUE!</v>
      </c>
      <c r="FV225" s="8" t="e" vm="3">
        <f t="shared" ca="1" si="330"/>
        <v>#VALUE!</v>
      </c>
      <c r="FW225" s="81" t="e" vm="3">
        <f t="shared" ca="1" si="331"/>
        <v>#VALUE!</v>
      </c>
      <c r="FX225" s="74" t="e">
        <f t="shared" si="335"/>
        <v>#N/A</v>
      </c>
      <c r="FY225" s="82" t="e">
        <f t="shared" si="340"/>
        <v>#N/A</v>
      </c>
      <c r="FZ225" s="7" t="e">
        <f t="shared" si="336"/>
        <v>#N/A</v>
      </c>
      <c r="GA225" t="e">
        <f t="shared" si="341"/>
        <v>#N/A</v>
      </c>
      <c r="GB225" s="8" t="e">
        <f t="shared" si="342"/>
        <v>#N/A</v>
      </c>
      <c r="GC225" s="8" t="e">
        <f t="shared" si="343"/>
        <v>#N/A</v>
      </c>
      <c r="GD225" s="81" t="e">
        <f t="shared" si="344"/>
        <v>#N/A</v>
      </c>
      <c r="GE225" s="74" t="e">
        <f t="shared" si="345"/>
        <v>#N/A</v>
      </c>
      <c r="GF225" s="82" t="e">
        <f t="shared" si="346"/>
        <v>#N/A</v>
      </c>
      <c r="GG225" s="7" t="e">
        <f t="shared" si="337"/>
        <v>#N/A</v>
      </c>
      <c r="GH225" t="e">
        <f t="shared" si="347"/>
        <v>#N/A</v>
      </c>
      <c r="GI225" s="8" t="e">
        <f t="shared" si="348"/>
        <v>#N/A</v>
      </c>
      <c r="GJ225" s="8" t="e">
        <f t="shared" si="349"/>
        <v>#N/A</v>
      </c>
      <c r="GK225" s="81" t="e">
        <f t="shared" si="350"/>
        <v>#N/A</v>
      </c>
      <c r="GL225" s="81"/>
      <c r="GM225" s="81"/>
      <c r="GP225" s="32">
        <f t="shared" si="395"/>
        <v>215</v>
      </c>
      <c r="GQ225" s="32">
        <f t="shared" si="396"/>
        <v>216</v>
      </c>
      <c r="GR225" s="32">
        <f t="shared" si="397"/>
        <v>2.0601548707785424</v>
      </c>
      <c r="GS225" s="32">
        <f t="shared" si="398"/>
        <v>4.7784327061153015E-2</v>
      </c>
      <c r="GT225" s="32" t="e">
        <f t="shared" si="399"/>
        <v>#N/A</v>
      </c>
      <c r="GU225" s="32" t="e">
        <f t="shared" si="400"/>
        <v>#N/A</v>
      </c>
      <c r="GV225" s="32" t="e">
        <f t="shared" si="401"/>
        <v>#N/A</v>
      </c>
      <c r="GW225" s="32" t="b">
        <f t="shared" si="402"/>
        <v>0</v>
      </c>
      <c r="GX225" s="32" t="b">
        <f t="shared" si="403"/>
        <v>1</v>
      </c>
      <c r="GY225" s="32" t="b">
        <f t="shared" si="404"/>
        <v>1</v>
      </c>
      <c r="GZ225" s="32" t="b">
        <f t="shared" si="405"/>
        <v>0</v>
      </c>
      <c r="HA225" s="32">
        <f t="shared" si="406"/>
        <v>4.7784327061153015E-2</v>
      </c>
      <c r="HB225" s="32">
        <f t="shared" si="407"/>
        <v>4.7784327061153015E-2</v>
      </c>
      <c r="HC225" s="32" t="e">
        <f t="shared" si="408"/>
        <v>#N/A</v>
      </c>
      <c r="HD225" s="45" t="str">
        <f t="shared" si="409"/>
        <v/>
      </c>
      <c r="HJ225" s="32">
        <f t="shared" si="410"/>
        <v>215</v>
      </c>
      <c r="HK225" s="32">
        <f t="shared" si="411"/>
        <v>216</v>
      </c>
      <c r="HL225" s="32">
        <f t="shared" si="412"/>
        <v>3.1901930857588887</v>
      </c>
      <c r="HM225" s="32" t="e">
        <f t="shared" si="413"/>
        <v>#N/A</v>
      </c>
      <c r="HN225" s="32">
        <f t="shared" si="414"/>
        <v>1.061745464710373E-2</v>
      </c>
      <c r="HO225" s="32" t="e">
        <f t="shared" si="415"/>
        <v>#N/A</v>
      </c>
      <c r="HP225" s="32" t="e">
        <f t="shared" si="416"/>
        <v>#N/A</v>
      </c>
      <c r="HQ225" s="32" t="b">
        <f t="shared" si="417"/>
        <v>0</v>
      </c>
      <c r="HR225" s="32" t="b">
        <f t="shared" si="418"/>
        <v>1</v>
      </c>
      <c r="HS225" s="32" t="b">
        <f t="shared" si="419"/>
        <v>1</v>
      </c>
      <c r="HT225" s="32" t="b">
        <f t="shared" si="420"/>
        <v>0</v>
      </c>
      <c r="HU225" s="32">
        <f t="shared" si="421"/>
        <v>1.061745464710373E-2</v>
      </c>
      <c r="HV225" s="32" t="e">
        <f t="shared" si="422"/>
        <v>#N/A</v>
      </c>
      <c r="HW225" s="32">
        <f t="shared" si="423"/>
        <v>1.061745464710373E-2</v>
      </c>
      <c r="HX225" s="45" t="str">
        <f t="shared" si="424"/>
        <v/>
      </c>
    </row>
    <row r="226" spans="78:232" x14ac:dyDescent="0.2">
      <c r="BZ226" s="32">
        <f t="shared" si="351"/>
        <v>216</v>
      </c>
      <c r="CA226" s="32">
        <f>Eu_tabel_g[[#This Row],[Indeks]]+1</f>
        <v>217</v>
      </c>
      <c r="CB226" s="32">
        <f t="shared" si="352"/>
        <v>2.0841101599736414</v>
      </c>
      <c r="CC226" s="32">
        <f t="shared" si="353"/>
        <v>4.5470290940174081E-2</v>
      </c>
      <c r="CD226" s="32" t="e">
        <f t="shared" si="354"/>
        <v>#N/A</v>
      </c>
      <c r="CE226" s="32" t="e">
        <f t="shared" si="355"/>
        <v>#N/A</v>
      </c>
      <c r="CF226" s="32" t="e">
        <f t="shared" si="356"/>
        <v>#N/A</v>
      </c>
      <c r="CG226" s="32" t="b">
        <f t="shared" si="357"/>
        <v>0</v>
      </c>
      <c r="CH226" s="32" t="b">
        <f t="shared" si="358"/>
        <v>1</v>
      </c>
      <c r="CI226" s="32" t="b">
        <f t="shared" si="359"/>
        <v>1</v>
      </c>
      <c r="CJ226" s="32" t="b">
        <f t="shared" si="360"/>
        <v>0</v>
      </c>
      <c r="CK226" s="32">
        <f t="shared" si="425"/>
        <v>4.5470290940174081E-2</v>
      </c>
      <c r="CL226" s="32">
        <f t="shared" si="361"/>
        <v>4.5470290940174081E-2</v>
      </c>
      <c r="CM226" s="32" t="e">
        <f t="shared" si="362"/>
        <v>#N/A</v>
      </c>
      <c r="CN226" s="45" t="str">
        <f t="shared" si="363"/>
        <v/>
      </c>
      <c r="CO226" s="32">
        <f>_xlfn.NORM.DIST(_xlfn.NORM.INV(1-Eu_g_konfidensniveau,0,1)-Eu_tabel_g[[#This Row],[x base]],0,1,TRUE)</f>
        <v>9.6134388684750602E-5</v>
      </c>
      <c r="CP226" s="32">
        <f>1-_xlfn.NORM.DIST(_xlfn.NORM.INV(Eu_g_konfidensniveau,0,1)-Eu_tabel_g[[#This Row],[x base]],0,1,TRUE)</f>
        <v>0.66976216699595215</v>
      </c>
      <c r="CQ226" s="32">
        <f>_xlfn.NORM.DIST(_xlfn.NORM.INV((1-Eu_g_konfidensniveau)/2,0,1)-Eu_tabel_g[[#This Row],[x base]],0,1,TRUE)+1-_xlfn.NORM.DIST(_xlfn.NORM.INV(1-(1-Eu_g_konfidensniveau)/2,0,1)-Eu_tabel_g[[#This Row],[x base]],0,1,TRUE)</f>
        <v>0.54942649604071103</v>
      </c>
      <c r="CR226" s="32" t="e" cm="1">
        <f t="array" ref="CR226">IF($CR$3,INDEX(Eu_tabel_g[[#This Row],[Styrke venstre]:[Styrke tosidet]],CR$7),NA())</f>
        <v>#N/A</v>
      </c>
      <c r="CS226" s="52" t="e">
        <f>Eu_tabel_g[[#This Row],[Falsk positiv
Nulhypotese accepteres
Fejltype 1]]</f>
        <v>#N/A</v>
      </c>
      <c r="CT226" s="52" t="e">
        <f>IF(CHOOSE(CR$7,Eu_tabel_g[[#This Row],[x base]]&gt;0,Eu_tabel_g[[#This Row],[x base]]&lt;0,Eu_tabel_g[[#This Row],[x base]]=0),Eu_tabel_g[[#This Row],[Styrke, aktiv]],NA())</f>
        <v>#N/A</v>
      </c>
      <c r="CU226" s="52" t="e">
        <f>IFERROR(IF($CR$3,Eu_tabel_g[[#This Row],[Styrke, aktiv]],NA()),NA())</f>
        <v>#N/A</v>
      </c>
      <c r="CV226" s="52" t="e">
        <f>IF(ISNA(Eu_tabel_g[[#This Row],[Sand negativ
Nulhypotese afvises
Korrekt]]),NA(),IF($CR$3,1,NA()))</f>
        <v>#N/A</v>
      </c>
      <c r="CW226" s="34" t="str" cm="1">
        <f t="array" ref="CW226">_xlfn.SWITCH(BZ226,_xlfn.IFNA(CU$2,-99),CU$5,_xlfn.IFNA(CU$3,-99),CU$6,_xlfn.IFNA(CU$4,-99),CU$7,"")</f>
        <v/>
      </c>
      <c r="DA226" s="7">
        <f t="shared" si="364"/>
        <v>0.8</v>
      </c>
      <c r="DB226">
        <f>IF(ROW(Styrkeberegning_G[[#This Row],[X base venstre]])=ROW(Styrkeberegning_G[[#Headers],[X base venstre]])+1,DB$7/(DA$7/$B$67),DB225/(DA225/$B$67))</f>
        <v>-2.8015817870135784</v>
      </c>
      <c r="DC226">
        <f>Styrkeberegning_G[[#This Row],[X base venstre]]*-1</f>
        <v>2.8015817870135784</v>
      </c>
      <c r="DN226" s="32">
        <f t="shared" si="365"/>
        <v>216</v>
      </c>
      <c r="DO226" s="32">
        <f t="shared" si="366"/>
        <v>217</v>
      </c>
      <c r="DP226" s="32">
        <f t="shared" si="367"/>
        <v>26.473157650725906</v>
      </c>
      <c r="DQ226" s="32" t="e">
        <f t="shared" si="368"/>
        <v>#N/A</v>
      </c>
      <c r="DR226" s="32" t="e">
        <f t="shared" si="369"/>
        <v>#N/A</v>
      </c>
      <c r="DS226" s="32">
        <f t="shared" si="370"/>
        <v>1.9034039702618313E-3</v>
      </c>
      <c r="DT226" s="32" t="e">
        <f t="shared" si="371"/>
        <v>#N/A</v>
      </c>
      <c r="DU226" s="32" t="b">
        <f t="shared" si="372"/>
        <v>0</v>
      </c>
      <c r="DV226" s="32" t="b">
        <f t="shared" si="373"/>
        <v>1</v>
      </c>
      <c r="DW226" s="32" t="b">
        <f t="shared" si="374"/>
        <v>1</v>
      </c>
      <c r="DX226" s="32" t="b">
        <f t="shared" si="375"/>
        <v>0</v>
      </c>
      <c r="DY226" s="32">
        <f t="shared" si="376"/>
        <v>1.9034039702618313E-3</v>
      </c>
      <c r="DZ226" s="32">
        <f t="shared" si="377"/>
        <v>1.9034039702618313E-3</v>
      </c>
      <c r="EA226" s="32" t="e">
        <f t="shared" si="378"/>
        <v>#N/A</v>
      </c>
      <c r="EB226" s="45" t="str">
        <f t="shared" si="379"/>
        <v/>
      </c>
      <c r="EG226" s="32">
        <f t="shared" si="380"/>
        <v>216</v>
      </c>
      <c r="EH226" s="32">
        <f t="shared" si="381"/>
        <v>217</v>
      </c>
      <c r="EI226" s="32">
        <f t="shared" si="382"/>
        <v>2.0841101599736414</v>
      </c>
      <c r="EJ226" s="32">
        <f t="shared" si="383"/>
        <v>4.5470290940174081E-2</v>
      </c>
      <c r="EK226" s="32" t="e">
        <f t="shared" si="384"/>
        <v>#N/A</v>
      </c>
      <c r="EL226" s="32" t="e">
        <f t="shared" si="385"/>
        <v>#N/A</v>
      </c>
      <c r="EM226" s="32" t="e">
        <f t="shared" si="386"/>
        <v>#N/A</v>
      </c>
      <c r="EN226" s="32" t="b">
        <f t="shared" si="387"/>
        <v>0</v>
      </c>
      <c r="EO226" s="32" t="b">
        <f t="shared" si="388"/>
        <v>1</v>
      </c>
      <c r="EP226" s="32" t="b">
        <f t="shared" si="389"/>
        <v>1</v>
      </c>
      <c r="EQ226" s="32" t="b">
        <f t="shared" si="390"/>
        <v>0</v>
      </c>
      <c r="ER226" s="32">
        <f t="shared" si="391"/>
        <v>4.5470290940174081E-2</v>
      </c>
      <c r="ES226" s="32">
        <f t="shared" si="392"/>
        <v>4.5470290940174081E-2</v>
      </c>
      <c r="ET226" s="32" t="e">
        <f t="shared" si="393"/>
        <v>#N/A</v>
      </c>
      <c r="EU226" s="45" t="str">
        <f t="shared" si="394"/>
        <v/>
      </c>
      <c r="EV22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6" s="32" t="e" cm="1">
        <f t="array" ref="EY226">IF($CR$3,INDEX(Eu_tabel_a[[#This Row],[Styrke venstre]:[Styrke tosidet]],EY$7),NA())</f>
        <v>#N/A</v>
      </c>
      <c r="EZ226" s="32" t="e">
        <f>IF(EY$3,IF(CHOOSE(EY$7,Eu_tabel_a[[#This Row],[x base]]&gt;0,Eu_tabel_a[[#This Row],[x base]]&lt;0,Eu_tabel_a[[#This Row],[x base]]=0),1,NA()),NA())</f>
        <v>#N/A</v>
      </c>
      <c r="FA226" s="32" t="e">
        <f>IF(CHOOSE(EY$7,Eu_tabel_a[[#This Row],[x base]]&gt;0,Eu_tabel_a[[#This Row],[x base]]&lt;0,Eu_tabel_a[[#This Row],[x base]]=0),Eu_tabel_a[[#This Row],[Styrke, aktiv]],NA())</f>
        <v>#N/A</v>
      </c>
      <c r="FB226" s="32" t="e">
        <f>IFERROR(IF($EY$3,Eu_tabel_a[[#This Row],[Styrke, aktiv]],NA()),NA())</f>
        <v>#N/A</v>
      </c>
      <c r="FC226" s="32" t="e">
        <f>IF(ISNA(Eu_tabel_a[[#This Row],[Sand negativ
Nulhypotese afvises
Korrekt]]),NA(),IF(EY$3,1,NA()))</f>
        <v>#N/A</v>
      </c>
      <c r="FD226" s="33" t="str" cm="1">
        <f t="array" ref="FD226">IFERROR(_xlfn.SWITCH(Eu_tabel_a[[#This Row],[Indeks]],_xlfn.IFNA(FB$2,-99),FB$5,_xlfn.IFNA(FB$3,-99),FB$6,_xlfn.IFNA(FB$4,-99),FB$7,""),"")</f>
        <v/>
      </c>
      <c r="FE226" s="32">
        <f>Eu_tabel_a[[#This Row],[x base]]*SQRT(Eu_a_h0_x*(1-Eu_a_h0_x)/Eu_a_n_x)+Eu_a_h0_x</f>
        <v>0</v>
      </c>
      <c r="FJ226" s="74" t="e">
        <f t="shared" si="338"/>
        <v>#N/A</v>
      </c>
      <c r="FK226" s="82" t="e">
        <f t="shared" si="426"/>
        <v>#DIV/0!</v>
      </c>
      <c r="FL226" s="7" t="e">
        <f t="shared" si="332"/>
        <v>#DIV/0!</v>
      </c>
      <c r="FM226" t="e">
        <f t="shared" si="427"/>
        <v>#DIV/0!</v>
      </c>
      <c r="FN226" s="8" t="e">
        <f t="shared" si="428"/>
        <v>#DIV/0!</v>
      </c>
      <c r="FO226" s="8" t="e">
        <f t="shared" si="429"/>
        <v>#DIV/0!</v>
      </c>
      <c r="FP226" s="81" t="e">
        <f t="shared" si="430"/>
        <v>#DIV/0!</v>
      </c>
      <c r="FQ226" s="74" t="e">
        <f t="shared" ca="1" si="333"/>
        <v>#N/A</v>
      </c>
      <c r="FR226" s="82" t="e" vm="3">
        <f t="shared" ca="1" si="339"/>
        <v>#VALUE!</v>
      </c>
      <c r="FS226" s="7" t="e" vm="3">
        <f t="shared" ca="1" si="334"/>
        <v>#VALUE!</v>
      </c>
      <c r="FT226" t="e" vm="3">
        <f t="shared" ca="1" si="328"/>
        <v>#VALUE!</v>
      </c>
      <c r="FU226" s="8" t="e" vm="3">
        <f t="shared" ca="1" si="329"/>
        <v>#VALUE!</v>
      </c>
      <c r="FV226" s="8" t="e" vm="3">
        <f t="shared" ca="1" si="330"/>
        <v>#VALUE!</v>
      </c>
      <c r="FW226" s="81" t="e" vm="3">
        <f t="shared" ca="1" si="331"/>
        <v>#VALUE!</v>
      </c>
      <c r="FX226" s="74" t="e">
        <f t="shared" si="335"/>
        <v>#N/A</v>
      </c>
      <c r="FY226" s="82" t="e">
        <f t="shared" si="340"/>
        <v>#N/A</v>
      </c>
      <c r="FZ226" s="7" t="e">
        <f t="shared" si="336"/>
        <v>#N/A</v>
      </c>
      <c r="GA226" t="e">
        <f t="shared" si="341"/>
        <v>#N/A</v>
      </c>
      <c r="GB226" s="8" t="e">
        <f t="shared" si="342"/>
        <v>#N/A</v>
      </c>
      <c r="GC226" s="8" t="e">
        <f t="shared" si="343"/>
        <v>#N/A</v>
      </c>
      <c r="GD226" s="81" t="e">
        <f t="shared" si="344"/>
        <v>#N/A</v>
      </c>
      <c r="GE226" s="74" t="e">
        <f t="shared" si="345"/>
        <v>#N/A</v>
      </c>
      <c r="GF226" s="82" t="e">
        <f t="shared" si="346"/>
        <v>#N/A</v>
      </c>
      <c r="GG226" s="7" t="e">
        <f t="shared" si="337"/>
        <v>#N/A</v>
      </c>
      <c r="GH226" t="e">
        <f t="shared" si="347"/>
        <v>#N/A</v>
      </c>
      <c r="GI226" s="8" t="e">
        <f t="shared" si="348"/>
        <v>#N/A</v>
      </c>
      <c r="GJ226" s="8" t="e">
        <f t="shared" si="349"/>
        <v>#N/A</v>
      </c>
      <c r="GK226" s="81" t="e">
        <f t="shared" si="350"/>
        <v>#N/A</v>
      </c>
      <c r="GL226" s="81"/>
      <c r="GM226" s="81"/>
      <c r="GP226" s="32">
        <f t="shared" si="395"/>
        <v>216</v>
      </c>
      <c r="GQ226" s="32">
        <f t="shared" si="396"/>
        <v>217</v>
      </c>
      <c r="GR226" s="32">
        <f t="shared" si="397"/>
        <v>2.0841101599736414</v>
      </c>
      <c r="GS226" s="32">
        <f t="shared" si="398"/>
        <v>4.5470290940174081E-2</v>
      </c>
      <c r="GT226" s="32" t="e">
        <f t="shared" si="399"/>
        <v>#N/A</v>
      </c>
      <c r="GU226" s="32" t="e">
        <f t="shared" si="400"/>
        <v>#N/A</v>
      </c>
      <c r="GV226" s="32" t="e">
        <f t="shared" si="401"/>
        <v>#N/A</v>
      </c>
      <c r="GW226" s="32" t="b">
        <f t="shared" si="402"/>
        <v>0</v>
      </c>
      <c r="GX226" s="32" t="b">
        <f t="shared" si="403"/>
        <v>1</v>
      </c>
      <c r="GY226" s="32" t="b">
        <f t="shared" si="404"/>
        <v>1</v>
      </c>
      <c r="GZ226" s="32" t="b">
        <f t="shared" si="405"/>
        <v>0</v>
      </c>
      <c r="HA226" s="32">
        <f t="shared" si="406"/>
        <v>4.5470290940174081E-2</v>
      </c>
      <c r="HB226" s="32">
        <f t="shared" si="407"/>
        <v>4.5470290940174081E-2</v>
      </c>
      <c r="HC226" s="32" t="e">
        <f t="shared" si="408"/>
        <v>#N/A</v>
      </c>
      <c r="HD226" s="45" t="str">
        <f t="shared" si="409"/>
        <v/>
      </c>
      <c r="HJ226" s="32">
        <f t="shared" si="410"/>
        <v>216</v>
      </c>
      <c r="HK226" s="32">
        <f t="shared" si="411"/>
        <v>217</v>
      </c>
      <c r="HL226" s="32">
        <f t="shared" si="412"/>
        <v>3.2272883541979454</v>
      </c>
      <c r="HM226" s="32" t="e">
        <f t="shared" si="413"/>
        <v>#N/A</v>
      </c>
      <c r="HN226" s="32">
        <f t="shared" si="414"/>
        <v>1.0048712376837356E-2</v>
      </c>
      <c r="HO226" s="32" t="e">
        <f t="shared" si="415"/>
        <v>#N/A</v>
      </c>
      <c r="HP226" s="32" t="e">
        <f t="shared" si="416"/>
        <v>#N/A</v>
      </c>
      <c r="HQ226" s="32" t="b">
        <f t="shared" si="417"/>
        <v>0</v>
      </c>
      <c r="HR226" s="32" t="b">
        <f t="shared" si="418"/>
        <v>1</v>
      </c>
      <c r="HS226" s="32" t="b">
        <f t="shared" si="419"/>
        <v>1</v>
      </c>
      <c r="HT226" s="32" t="b">
        <f t="shared" si="420"/>
        <v>0</v>
      </c>
      <c r="HU226" s="32">
        <f t="shared" si="421"/>
        <v>1.0048712376837356E-2</v>
      </c>
      <c r="HV226" s="32" t="e">
        <f t="shared" si="422"/>
        <v>#N/A</v>
      </c>
      <c r="HW226" s="32">
        <f t="shared" si="423"/>
        <v>1.0048712376837356E-2</v>
      </c>
      <c r="HX226" s="45" t="str">
        <f t="shared" si="424"/>
        <v/>
      </c>
    </row>
    <row r="227" spans="78:232" x14ac:dyDescent="0.2">
      <c r="BZ227" s="32">
        <f t="shared" si="351"/>
        <v>217</v>
      </c>
      <c r="CA227" s="32">
        <f>Eu_tabel_g[[#This Row],[Indeks]]+1</f>
        <v>218</v>
      </c>
      <c r="CB227" s="32">
        <f t="shared" si="352"/>
        <v>2.1080654491687403</v>
      </c>
      <c r="CC227" s="32">
        <f t="shared" si="353"/>
        <v>4.3243493241990325E-2</v>
      </c>
      <c r="CD227" s="32" t="e">
        <f t="shared" si="354"/>
        <v>#N/A</v>
      </c>
      <c r="CE227" s="32" t="e">
        <f t="shared" si="355"/>
        <v>#N/A</v>
      </c>
      <c r="CF227" s="32" t="e">
        <f t="shared" si="356"/>
        <v>#N/A</v>
      </c>
      <c r="CG227" s="32" t="b">
        <f t="shared" si="357"/>
        <v>0</v>
      </c>
      <c r="CH227" s="32" t="b">
        <f t="shared" si="358"/>
        <v>1</v>
      </c>
      <c r="CI227" s="32" t="b">
        <f t="shared" si="359"/>
        <v>1</v>
      </c>
      <c r="CJ227" s="32" t="b">
        <f t="shared" si="360"/>
        <v>0</v>
      </c>
      <c r="CK227" s="32">
        <f t="shared" si="425"/>
        <v>4.3243493241990325E-2</v>
      </c>
      <c r="CL227" s="32">
        <f t="shared" si="361"/>
        <v>4.3243493241990325E-2</v>
      </c>
      <c r="CM227" s="32" t="e">
        <f t="shared" si="362"/>
        <v>#N/A</v>
      </c>
      <c r="CN227" s="45" t="str">
        <f t="shared" si="363"/>
        <v/>
      </c>
      <c r="CO227" s="32">
        <f>_xlfn.NORM.DIST(_xlfn.NORM.INV(1-Eu_g_konfidensniveau,0,1)-Eu_tabel_g[[#This Row],[x base]],0,1,TRUE)</f>
        <v>8.7393645895583391E-5</v>
      </c>
      <c r="CP227" s="32">
        <f>1-_xlfn.NORM.DIST(_xlfn.NORM.INV(Eu_g_konfidensniveau,0,1)-Eu_tabel_g[[#This Row],[x base]],0,1,TRUE)</f>
        <v>0.6783937284840611</v>
      </c>
      <c r="CQ227" s="32">
        <f>_xlfn.NORM.DIST(_xlfn.NORM.INV((1-Eu_g_konfidensniveau)/2,0,1)-Eu_tabel_g[[#This Row],[x base]],0,1,TRUE)+1-_xlfn.NORM.DIST(_xlfn.NORM.INV(1-(1-Eu_g_konfidensniveau)/2,0,1)-Eu_tabel_g[[#This Row],[x base]],0,1,TRUE)</f>
        <v>0.55889235940323378</v>
      </c>
      <c r="CR227" s="32" t="e" cm="1">
        <f t="array" ref="CR227">IF($CR$3,INDEX(Eu_tabel_g[[#This Row],[Styrke venstre]:[Styrke tosidet]],CR$7),NA())</f>
        <v>#N/A</v>
      </c>
      <c r="CS227" s="52" t="e">
        <f>Eu_tabel_g[[#This Row],[Falsk positiv
Nulhypotese accepteres
Fejltype 1]]</f>
        <v>#N/A</v>
      </c>
      <c r="CT227" s="52" t="e">
        <f>IF(CHOOSE(CR$7,Eu_tabel_g[[#This Row],[x base]]&gt;0,Eu_tabel_g[[#This Row],[x base]]&lt;0,Eu_tabel_g[[#This Row],[x base]]=0),Eu_tabel_g[[#This Row],[Styrke, aktiv]],NA())</f>
        <v>#N/A</v>
      </c>
      <c r="CU227" s="52" t="e">
        <f>IFERROR(IF($CR$3,Eu_tabel_g[[#This Row],[Styrke, aktiv]],NA()),NA())</f>
        <v>#N/A</v>
      </c>
      <c r="CV227" s="52" t="e">
        <f>IF(ISNA(Eu_tabel_g[[#This Row],[Sand negativ
Nulhypotese afvises
Korrekt]]),NA(),IF($CR$3,1,NA()))</f>
        <v>#N/A</v>
      </c>
      <c r="CW227" s="34" t="str" cm="1">
        <f t="array" ref="CW227">_xlfn.SWITCH(BZ227,_xlfn.IFNA(CU$2,-99),CU$5,_xlfn.IFNA(CU$3,-99),CU$6,_xlfn.IFNA(CU$4,-99),CU$7,"")</f>
        <v/>
      </c>
      <c r="DA227" s="7">
        <f t="shared" si="364"/>
        <v>0.8</v>
      </c>
      <c r="DB227">
        <f>IF(ROW(Styrkeberegning_G[[#This Row],[X base venstre]])=ROW(Styrkeberegning_G[[#Headers],[X base venstre]])+1,DB$7/(DA$7/$B$67),DB226/(DA226/$B$67))</f>
        <v>-2.8015817870135784</v>
      </c>
      <c r="DC227">
        <f>Styrkeberegning_G[[#This Row],[X base venstre]]*-1</f>
        <v>2.8015817870135784</v>
      </c>
      <c r="DN227" s="32">
        <f t="shared" si="365"/>
        <v>217</v>
      </c>
      <c r="DO227" s="32">
        <f t="shared" si="366"/>
        <v>218</v>
      </c>
      <c r="DP227" s="32">
        <f t="shared" si="367"/>
        <v>26.587228507142907</v>
      </c>
      <c r="DQ227" s="32" t="e">
        <f t="shared" si="368"/>
        <v>#N/A</v>
      </c>
      <c r="DR227" s="32" t="e">
        <f t="shared" si="369"/>
        <v>#N/A</v>
      </c>
      <c r="DS227" s="32">
        <f t="shared" si="370"/>
        <v>1.8330054204685668E-3</v>
      </c>
      <c r="DT227" s="32" t="e">
        <f t="shared" si="371"/>
        <v>#N/A</v>
      </c>
      <c r="DU227" s="32" t="b">
        <f t="shared" si="372"/>
        <v>0</v>
      </c>
      <c r="DV227" s="32" t="b">
        <f t="shared" si="373"/>
        <v>1</v>
      </c>
      <c r="DW227" s="32" t="b">
        <f t="shared" si="374"/>
        <v>1</v>
      </c>
      <c r="DX227" s="32" t="b">
        <f t="shared" si="375"/>
        <v>0</v>
      </c>
      <c r="DY227" s="32">
        <f t="shared" si="376"/>
        <v>1.8330054204685668E-3</v>
      </c>
      <c r="DZ227" s="32">
        <f t="shared" si="377"/>
        <v>1.8330054204685668E-3</v>
      </c>
      <c r="EA227" s="32" t="e">
        <f t="shared" si="378"/>
        <v>#N/A</v>
      </c>
      <c r="EB227" s="45" t="str">
        <f t="shared" si="379"/>
        <v/>
      </c>
      <c r="EG227" s="32">
        <f t="shared" si="380"/>
        <v>217</v>
      </c>
      <c r="EH227" s="32">
        <f t="shared" si="381"/>
        <v>218</v>
      </c>
      <c r="EI227" s="32">
        <f t="shared" si="382"/>
        <v>2.1080654491687403</v>
      </c>
      <c r="EJ227" s="32">
        <f t="shared" si="383"/>
        <v>4.3243493241990325E-2</v>
      </c>
      <c r="EK227" s="32" t="e">
        <f t="shared" si="384"/>
        <v>#N/A</v>
      </c>
      <c r="EL227" s="32" t="e">
        <f t="shared" si="385"/>
        <v>#N/A</v>
      </c>
      <c r="EM227" s="32" t="e">
        <f t="shared" si="386"/>
        <v>#N/A</v>
      </c>
      <c r="EN227" s="32" t="b">
        <f t="shared" si="387"/>
        <v>0</v>
      </c>
      <c r="EO227" s="32" t="b">
        <f t="shared" si="388"/>
        <v>1</v>
      </c>
      <c r="EP227" s="32" t="b">
        <f t="shared" si="389"/>
        <v>1</v>
      </c>
      <c r="EQ227" s="32" t="b">
        <f t="shared" si="390"/>
        <v>0</v>
      </c>
      <c r="ER227" s="32">
        <f t="shared" si="391"/>
        <v>4.3243493241990325E-2</v>
      </c>
      <c r="ES227" s="32">
        <f t="shared" si="392"/>
        <v>4.3243493241990325E-2</v>
      </c>
      <c r="ET227" s="32" t="e">
        <f t="shared" si="393"/>
        <v>#N/A</v>
      </c>
      <c r="EU227" s="45" t="str">
        <f t="shared" si="394"/>
        <v/>
      </c>
      <c r="EV22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7" s="32" t="e" cm="1">
        <f t="array" ref="EY227">IF($CR$3,INDEX(Eu_tabel_a[[#This Row],[Styrke venstre]:[Styrke tosidet]],EY$7),NA())</f>
        <v>#N/A</v>
      </c>
      <c r="EZ227" s="32" t="e">
        <f>IF(EY$3,IF(CHOOSE(EY$7,Eu_tabel_a[[#This Row],[x base]]&gt;0,Eu_tabel_a[[#This Row],[x base]]&lt;0,Eu_tabel_a[[#This Row],[x base]]=0),1,NA()),NA())</f>
        <v>#N/A</v>
      </c>
      <c r="FA227" s="32" t="e">
        <f>IF(CHOOSE(EY$7,Eu_tabel_a[[#This Row],[x base]]&gt;0,Eu_tabel_a[[#This Row],[x base]]&lt;0,Eu_tabel_a[[#This Row],[x base]]=0),Eu_tabel_a[[#This Row],[Styrke, aktiv]],NA())</f>
        <v>#N/A</v>
      </c>
      <c r="FB227" s="32" t="e">
        <f>IFERROR(IF($EY$3,Eu_tabel_a[[#This Row],[Styrke, aktiv]],NA()),NA())</f>
        <v>#N/A</v>
      </c>
      <c r="FC227" s="32" t="e">
        <f>IF(ISNA(Eu_tabel_a[[#This Row],[Sand negativ
Nulhypotese afvises
Korrekt]]),NA(),IF(EY$3,1,NA()))</f>
        <v>#N/A</v>
      </c>
      <c r="FD227" s="33" t="str" cm="1">
        <f t="array" ref="FD227">IFERROR(_xlfn.SWITCH(Eu_tabel_a[[#This Row],[Indeks]],_xlfn.IFNA(FB$2,-99),FB$5,_xlfn.IFNA(FB$3,-99),FB$6,_xlfn.IFNA(FB$4,-99),FB$7,""),"")</f>
        <v/>
      </c>
      <c r="FE227" s="32">
        <f>Eu_tabel_a[[#This Row],[x base]]*SQRT(Eu_a_h0_x*(1-Eu_a_h0_x)/Eu_a_n_x)+Eu_a_h0_x</f>
        <v>0</v>
      </c>
      <c r="FJ227" s="74" t="e">
        <f t="shared" si="338"/>
        <v>#N/A</v>
      </c>
      <c r="FK227" s="82" t="e">
        <f t="shared" si="426"/>
        <v>#DIV/0!</v>
      </c>
      <c r="FL227" s="7" t="e">
        <f t="shared" si="332"/>
        <v>#DIV/0!</v>
      </c>
      <c r="FM227" t="e">
        <f t="shared" si="427"/>
        <v>#DIV/0!</v>
      </c>
      <c r="FN227" s="8" t="e">
        <f t="shared" si="428"/>
        <v>#DIV/0!</v>
      </c>
      <c r="FO227" s="8" t="e">
        <f t="shared" si="429"/>
        <v>#DIV/0!</v>
      </c>
      <c r="FP227" s="81" t="e">
        <f t="shared" si="430"/>
        <v>#DIV/0!</v>
      </c>
      <c r="FQ227" s="74" t="e">
        <f t="shared" ca="1" si="333"/>
        <v>#N/A</v>
      </c>
      <c r="FR227" s="82" t="e" vm="3">
        <f t="shared" ca="1" si="339"/>
        <v>#VALUE!</v>
      </c>
      <c r="FS227" s="7" t="e" vm="3">
        <f t="shared" ca="1" si="334"/>
        <v>#VALUE!</v>
      </c>
      <c r="FT227" t="e" vm="3">
        <f t="shared" ca="1" si="328"/>
        <v>#VALUE!</v>
      </c>
      <c r="FU227" s="8" t="e" vm="3">
        <f t="shared" ca="1" si="329"/>
        <v>#VALUE!</v>
      </c>
      <c r="FV227" s="8" t="e" vm="3">
        <f t="shared" ca="1" si="330"/>
        <v>#VALUE!</v>
      </c>
      <c r="FW227" s="81" t="e" vm="3">
        <f t="shared" ca="1" si="331"/>
        <v>#VALUE!</v>
      </c>
      <c r="FX227" s="74" t="e">
        <f t="shared" si="335"/>
        <v>#N/A</v>
      </c>
      <c r="FY227" s="82" t="e">
        <f t="shared" si="340"/>
        <v>#N/A</v>
      </c>
      <c r="FZ227" s="7" t="e">
        <f t="shared" si="336"/>
        <v>#N/A</v>
      </c>
      <c r="GA227" t="e">
        <f t="shared" si="341"/>
        <v>#N/A</v>
      </c>
      <c r="GB227" s="8" t="e">
        <f t="shared" si="342"/>
        <v>#N/A</v>
      </c>
      <c r="GC227" s="8" t="e">
        <f t="shared" si="343"/>
        <v>#N/A</v>
      </c>
      <c r="GD227" s="81" t="e">
        <f t="shared" si="344"/>
        <v>#N/A</v>
      </c>
      <c r="GE227" s="74" t="e">
        <f t="shared" si="345"/>
        <v>#N/A</v>
      </c>
      <c r="GF227" s="82" t="e">
        <f t="shared" si="346"/>
        <v>#N/A</v>
      </c>
      <c r="GG227" s="7" t="e">
        <f t="shared" si="337"/>
        <v>#N/A</v>
      </c>
      <c r="GH227" t="e">
        <f t="shared" si="347"/>
        <v>#N/A</v>
      </c>
      <c r="GI227" s="8" t="e">
        <f t="shared" si="348"/>
        <v>#N/A</v>
      </c>
      <c r="GJ227" s="8" t="e">
        <f t="shared" si="349"/>
        <v>#N/A</v>
      </c>
      <c r="GK227" s="81" t="e">
        <f t="shared" si="350"/>
        <v>#N/A</v>
      </c>
      <c r="GL227" s="81"/>
      <c r="GM227" s="81"/>
      <c r="GP227" s="32">
        <f t="shared" si="395"/>
        <v>217</v>
      </c>
      <c r="GQ227" s="32">
        <f t="shared" si="396"/>
        <v>218</v>
      </c>
      <c r="GR227" s="32">
        <f t="shared" si="397"/>
        <v>2.1080654491687403</v>
      </c>
      <c r="GS227" s="32">
        <f t="shared" si="398"/>
        <v>4.3243493241990325E-2</v>
      </c>
      <c r="GT227" s="32" t="e">
        <f t="shared" si="399"/>
        <v>#N/A</v>
      </c>
      <c r="GU227" s="32" t="e">
        <f t="shared" si="400"/>
        <v>#N/A</v>
      </c>
      <c r="GV227" s="32" t="e">
        <f t="shared" si="401"/>
        <v>#N/A</v>
      </c>
      <c r="GW227" s="32" t="b">
        <f t="shared" si="402"/>
        <v>0</v>
      </c>
      <c r="GX227" s="32" t="b">
        <f t="shared" si="403"/>
        <v>1</v>
      </c>
      <c r="GY227" s="32" t="b">
        <f t="shared" si="404"/>
        <v>1</v>
      </c>
      <c r="GZ227" s="32" t="b">
        <f t="shared" si="405"/>
        <v>0</v>
      </c>
      <c r="HA227" s="32">
        <f t="shared" si="406"/>
        <v>4.3243493241990325E-2</v>
      </c>
      <c r="HB227" s="32">
        <f t="shared" si="407"/>
        <v>4.3243493241990325E-2</v>
      </c>
      <c r="HC227" s="32" t="e">
        <f t="shared" si="408"/>
        <v>#N/A</v>
      </c>
      <c r="HD227" s="45" t="str">
        <f t="shared" si="409"/>
        <v/>
      </c>
      <c r="HJ227" s="32">
        <f t="shared" si="410"/>
        <v>217</v>
      </c>
      <c r="HK227" s="32">
        <f t="shared" si="411"/>
        <v>218</v>
      </c>
      <c r="HL227" s="32">
        <f t="shared" si="412"/>
        <v>3.264383622637002</v>
      </c>
      <c r="HM227" s="32" t="e">
        <f t="shared" si="413"/>
        <v>#N/A</v>
      </c>
      <c r="HN227" s="32">
        <f t="shared" si="414"/>
        <v>9.511614587176604E-3</v>
      </c>
      <c r="HO227" s="32" t="e">
        <f t="shared" si="415"/>
        <v>#N/A</v>
      </c>
      <c r="HP227" s="32" t="e">
        <f t="shared" si="416"/>
        <v>#N/A</v>
      </c>
      <c r="HQ227" s="32" t="b">
        <f t="shared" si="417"/>
        <v>0</v>
      </c>
      <c r="HR227" s="32" t="b">
        <f t="shared" si="418"/>
        <v>1</v>
      </c>
      <c r="HS227" s="32" t="b">
        <f t="shared" si="419"/>
        <v>1</v>
      </c>
      <c r="HT227" s="32" t="b">
        <f t="shared" si="420"/>
        <v>0</v>
      </c>
      <c r="HU227" s="32">
        <f t="shared" si="421"/>
        <v>9.511614587176604E-3</v>
      </c>
      <c r="HV227" s="32" t="e">
        <f t="shared" si="422"/>
        <v>#N/A</v>
      </c>
      <c r="HW227" s="32">
        <f t="shared" si="423"/>
        <v>9.511614587176604E-3</v>
      </c>
      <c r="HX227" s="45" t="str">
        <f t="shared" si="424"/>
        <v/>
      </c>
    </row>
    <row r="228" spans="78:232" x14ac:dyDescent="0.2">
      <c r="BZ228" s="32">
        <f t="shared" si="351"/>
        <v>218</v>
      </c>
      <c r="CA228" s="32">
        <f>Eu_tabel_g[[#This Row],[Indeks]]+1</f>
        <v>219</v>
      </c>
      <c r="CB228" s="32">
        <f t="shared" si="352"/>
        <v>2.1320207383638401</v>
      </c>
      <c r="CC228" s="32">
        <f t="shared" si="353"/>
        <v>4.1102154102044132E-2</v>
      </c>
      <c r="CD228" s="32" t="e">
        <f t="shared" si="354"/>
        <v>#N/A</v>
      </c>
      <c r="CE228" s="32" t="e">
        <f t="shared" si="355"/>
        <v>#N/A</v>
      </c>
      <c r="CF228" s="32" t="e">
        <f t="shared" si="356"/>
        <v>#N/A</v>
      </c>
      <c r="CG228" s="32" t="b">
        <f t="shared" si="357"/>
        <v>0</v>
      </c>
      <c r="CH228" s="32" t="b">
        <f t="shared" si="358"/>
        <v>1</v>
      </c>
      <c r="CI228" s="32" t="b">
        <f t="shared" si="359"/>
        <v>1</v>
      </c>
      <c r="CJ228" s="32" t="b">
        <f t="shared" si="360"/>
        <v>0</v>
      </c>
      <c r="CK228" s="32">
        <f t="shared" si="425"/>
        <v>4.1102154102044132E-2</v>
      </c>
      <c r="CL228" s="32">
        <f t="shared" si="361"/>
        <v>4.1102154102044132E-2</v>
      </c>
      <c r="CM228" s="32" t="e">
        <f t="shared" si="362"/>
        <v>#N/A</v>
      </c>
      <c r="CN228" s="45" t="str">
        <f t="shared" si="363"/>
        <v/>
      </c>
      <c r="CO228" s="32">
        <f>_xlfn.NORM.DIST(_xlfn.NORM.INV(1-Eu_g_konfidensniveau,0,1)-Eu_tabel_g[[#This Row],[x base]],0,1,TRUE)</f>
        <v>7.9404393322032754E-5</v>
      </c>
      <c r="CP228" s="32">
        <f>1-_xlfn.NORM.DIST(_xlfn.NORM.INV(Eu_g_konfidensniveau,0,1)-Eu_tabel_g[[#This Row],[x base]],0,1,TRUE)</f>
        <v>0.68693004491440468</v>
      </c>
      <c r="CQ228" s="32">
        <f>_xlfn.NORM.DIST(_xlfn.NORM.INV((1-Eu_g_konfidensniveau)/2,0,1)-Eu_tabel_g[[#This Row],[x base]],0,1,TRUE)+1-_xlfn.NORM.DIST(_xlfn.NORM.INV(1-(1-Eu_g_konfidensniveau)/2,0,1)-Eu_tabel_g[[#This Row],[x base]],0,1,TRUE)</f>
        <v>0.56832492928531297</v>
      </c>
      <c r="CR228" s="32" t="e" cm="1">
        <f t="array" ref="CR228">IF($CR$3,INDEX(Eu_tabel_g[[#This Row],[Styrke venstre]:[Styrke tosidet]],CR$7),NA())</f>
        <v>#N/A</v>
      </c>
      <c r="CS228" s="52" t="e">
        <f>Eu_tabel_g[[#This Row],[Falsk positiv
Nulhypotese accepteres
Fejltype 1]]</f>
        <v>#N/A</v>
      </c>
      <c r="CT228" s="52" t="e">
        <f>IF(CHOOSE(CR$7,Eu_tabel_g[[#This Row],[x base]]&gt;0,Eu_tabel_g[[#This Row],[x base]]&lt;0,Eu_tabel_g[[#This Row],[x base]]=0),Eu_tabel_g[[#This Row],[Styrke, aktiv]],NA())</f>
        <v>#N/A</v>
      </c>
      <c r="CU228" s="52" t="e">
        <f>IFERROR(IF($CR$3,Eu_tabel_g[[#This Row],[Styrke, aktiv]],NA()),NA())</f>
        <v>#N/A</v>
      </c>
      <c r="CV228" s="52" t="e">
        <f>IF(ISNA(Eu_tabel_g[[#This Row],[Sand negativ
Nulhypotese afvises
Korrekt]]),NA(),IF($CR$3,1,NA()))</f>
        <v>#N/A</v>
      </c>
      <c r="CW228" s="34" t="str" cm="1">
        <f t="array" ref="CW228">_xlfn.SWITCH(BZ228,_xlfn.IFNA(CU$2,-99),CU$5,_xlfn.IFNA(CU$3,-99),CU$6,_xlfn.IFNA(CU$4,-99),CU$7,"")</f>
        <v/>
      </c>
      <c r="DA228" s="7">
        <f t="shared" si="364"/>
        <v>0.8</v>
      </c>
      <c r="DB228">
        <f>IF(ROW(Styrkeberegning_G[[#This Row],[X base venstre]])=ROW(Styrkeberegning_G[[#Headers],[X base venstre]])+1,DB$7/(DA$7/$B$67),DB227/(DA227/$B$67))</f>
        <v>-2.8015817870135784</v>
      </c>
      <c r="DC228">
        <f>Styrkeberegning_G[[#This Row],[X base venstre]]*-1</f>
        <v>2.8015817870135784</v>
      </c>
      <c r="DN228" s="32">
        <f t="shared" si="365"/>
        <v>218</v>
      </c>
      <c r="DO228" s="32">
        <f t="shared" si="366"/>
        <v>219</v>
      </c>
      <c r="DP228" s="32">
        <f t="shared" si="367"/>
        <v>26.701299363559908</v>
      </c>
      <c r="DQ228" s="32" t="e">
        <f t="shared" si="368"/>
        <v>#N/A</v>
      </c>
      <c r="DR228" s="32" t="e">
        <f t="shared" si="369"/>
        <v>#N/A</v>
      </c>
      <c r="DS228" s="32">
        <f t="shared" si="370"/>
        <v>1.765064386567556E-3</v>
      </c>
      <c r="DT228" s="32" t="e">
        <f t="shared" si="371"/>
        <v>#N/A</v>
      </c>
      <c r="DU228" s="32" t="b">
        <f t="shared" si="372"/>
        <v>0</v>
      </c>
      <c r="DV228" s="32" t="b">
        <f t="shared" si="373"/>
        <v>1</v>
      </c>
      <c r="DW228" s="32" t="b">
        <f t="shared" si="374"/>
        <v>1</v>
      </c>
      <c r="DX228" s="32" t="b">
        <f t="shared" si="375"/>
        <v>0</v>
      </c>
      <c r="DY228" s="32">
        <f t="shared" si="376"/>
        <v>1.765064386567556E-3</v>
      </c>
      <c r="DZ228" s="32">
        <f t="shared" si="377"/>
        <v>1.765064386567556E-3</v>
      </c>
      <c r="EA228" s="32" t="e">
        <f t="shared" si="378"/>
        <v>#N/A</v>
      </c>
      <c r="EB228" s="45" t="str">
        <f t="shared" si="379"/>
        <v/>
      </c>
      <c r="EG228" s="32">
        <f t="shared" si="380"/>
        <v>218</v>
      </c>
      <c r="EH228" s="32">
        <f t="shared" si="381"/>
        <v>219</v>
      </c>
      <c r="EI228" s="32">
        <f t="shared" si="382"/>
        <v>2.1320207383638401</v>
      </c>
      <c r="EJ228" s="32">
        <f t="shared" si="383"/>
        <v>4.1102154102044132E-2</v>
      </c>
      <c r="EK228" s="32" t="e">
        <f t="shared" si="384"/>
        <v>#N/A</v>
      </c>
      <c r="EL228" s="32" t="e">
        <f t="shared" si="385"/>
        <v>#N/A</v>
      </c>
      <c r="EM228" s="32" t="e">
        <f t="shared" si="386"/>
        <v>#N/A</v>
      </c>
      <c r="EN228" s="32" t="b">
        <f t="shared" si="387"/>
        <v>0</v>
      </c>
      <c r="EO228" s="32" t="b">
        <f t="shared" si="388"/>
        <v>1</v>
      </c>
      <c r="EP228" s="32" t="b">
        <f t="shared" si="389"/>
        <v>1</v>
      </c>
      <c r="EQ228" s="32" t="b">
        <f t="shared" si="390"/>
        <v>0</v>
      </c>
      <c r="ER228" s="32">
        <f t="shared" si="391"/>
        <v>4.1102154102044132E-2</v>
      </c>
      <c r="ES228" s="32">
        <f t="shared" si="392"/>
        <v>4.1102154102044132E-2</v>
      </c>
      <c r="ET228" s="32" t="e">
        <f t="shared" si="393"/>
        <v>#N/A</v>
      </c>
      <c r="EU228" s="45" t="str">
        <f t="shared" si="394"/>
        <v/>
      </c>
      <c r="EV22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8" s="32" t="e" cm="1">
        <f t="array" ref="EY228">IF($CR$3,INDEX(Eu_tabel_a[[#This Row],[Styrke venstre]:[Styrke tosidet]],EY$7),NA())</f>
        <v>#N/A</v>
      </c>
      <c r="EZ228" s="32" t="e">
        <f>IF(EY$3,IF(CHOOSE(EY$7,Eu_tabel_a[[#This Row],[x base]]&gt;0,Eu_tabel_a[[#This Row],[x base]]&lt;0,Eu_tabel_a[[#This Row],[x base]]=0),1,NA()),NA())</f>
        <v>#N/A</v>
      </c>
      <c r="FA228" s="32" t="e">
        <f>IF(CHOOSE(EY$7,Eu_tabel_a[[#This Row],[x base]]&gt;0,Eu_tabel_a[[#This Row],[x base]]&lt;0,Eu_tabel_a[[#This Row],[x base]]=0),Eu_tabel_a[[#This Row],[Styrke, aktiv]],NA())</f>
        <v>#N/A</v>
      </c>
      <c r="FB228" s="32" t="e">
        <f>IFERROR(IF($EY$3,Eu_tabel_a[[#This Row],[Styrke, aktiv]],NA()),NA())</f>
        <v>#N/A</v>
      </c>
      <c r="FC228" s="32" t="e">
        <f>IF(ISNA(Eu_tabel_a[[#This Row],[Sand negativ
Nulhypotese afvises
Korrekt]]),NA(),IF(EY$3,1,NA()))</f>
        <v>#N/A</v>
      </c>
      <c r="FD228" s="33" t="str" cm="1">
        <f t="array" ref="FD228">IFERROR(_xlfn.SWITCH(Eu_tabel_a[[#This Row],[Indeks]],_xlfn.IFNA(FB$2,-99),FB$5,_xlfn.IFNA(FB$3,-99),FB$6,_xlfn.IFNA(FB$4,-99),FB$7,""),"")</f>
        <v/>
      </c>
      <c r="FE228" s="32">
        <f>Eu_tabel_a[[#This Row],[x base]]*SQRT(Eu_a_h0_x*(1-Eu_a_h0_x)/Eu_a_n_x)+Eu_a_h0_x</f>
        <v>0</v>
      </c>
      <c r="FJ228" s="74" t="e">
        <f t="shared" si="338"/>
        <v>#N/A</v>
      </c>
      <c r="FK228" s="82" t="e">
        <f t="shared" si="426"/>
        <v>#DIV/0!</v>
      </c>
      <c r="FL228" s="7" t="e">
        <f t="shared" si="332"/>
        <v>#DIV/0!</v>
      </c>
      <c r="FM228" t="e">
        <f t="shared" si="427"/>
        <v>#DIV/0!</v>
      </c>
      <c r="FN228" s="8" t="e">
        <f t="shared" si="428"/>
        <v>#DIV/0!</v>
      </c>
      <c r="FO228" s="8" t="e">
        <f t="shared" si="429"/>
        <v>#DIV/0!</v>
      </c>
      <c r="FP228" s="81" t="e">
        <f t="shared" si="430"/>
        <v>#DIV/0!</v>
      </c>
      <c r="FQ228" s="74" t="e">
        <f t="shared" ca="1" si="333"/>
        <v>#N/A</v>
      </c>
      <c r="FR228" s="82" t="e" vm="3">
        <f t="shared" ca="1" si="339"/>
        <v>#VALUE!</v>
      </c>
      <c r="FS228" s="7" t="e" vm="3">
        <f t="shared" ca="1" si="334"/>
        <v>#VALUE!</v>
      </c>
      <c r="FT228" t="e" vm="3">
        <f t="shared" ca="1" si="328"/>
        <v>#VALUE!</v>
      </c>
      <c r="FU228" s="8" t="e" vm="3">
        <f t="shared" ca="1" si="329"/>
        <v>#VALUE!</v>
      </c>
      <c r="FV228" s="8" t="e" vm="3">
        <f t="shared" ca="1" si="330"/>
        <v>#VALUE!</v>
      </c>
      <c r="FW228" s="81" t="e" vm="3">
        <f t="shared" ca="1" si="331"/>
        <v>#VALUE!</v>
      </c>
      <c r="FX228" s="74" t="e">
        <f t="shared" si="335"/>
        <v>#N/A</v>
      </c>
      <c r="FY228" s="82" t="e">
        <f t="shared" si="340"/>
        <v>#N/A</v>
      </c>
      <c r="FZ228" s="7" t="e">
        <f t="shared" si="336"/>
        <v>#N/A</v>
      </c>
      <c r="GA228" t="e">
        <f t="shared" si="341"/>
        <v>#N/A</v>
      </c>
      <c r="GB228" s="8" t="e">
        <f t="shared" si="342"/>
        <v>#N/A</v>
      </c>
      <c r="GC228" s="8" t="e">
        <f t="shared" si="343"/>
        <v>#N/A</v>
      </c>
      <c r="GD228" s="81" t="e">
        <f t="shared" si="344"/>
        <v>#N/A</v>
      </c>
      <c r="GE228" s="74" t="e">
        <f t="shared" si="345"/>
        <v>#N/A</v>
      </c>
      <c r="GF228" s="82" t="e">
        <f t="shared" si="346"/>
        <v>#N/A</v>
      </c>
      <c r="GG228" s="7" t="e">
        <f t="shared" si="337"/>
        <v>#N/A</v>
      </c>
      <c r="GH228" t="e">
        <f t="shared" si="347"/>
        <v>#N/A</v>
      </c>
      <c r="GI228" s="8" t="e">
        <f t="shared" si="348"/>
        <v>#N/A</v>
      </c>
      <c r="GJ228" s="8" t="e">
        <f t="shared" si="349"/>
        <v>#N/A</v>
      </c>
      <c r="GK228" s="81" t="e">
        <f t="shared" si="350"/>
        <v>#N/A</v>
      </c>
      <c r="GL228" s="81"/>
      <c r="GM228" s="81"/>
      <c r="GP228" s="32">
        <f t="shared" si="395"/>
        <v>218</v>
      </c>
      <c r="GQ228" s="32">
        <f t="shared" si="396"/>
        <v>219</v>
      </c>
      <c r="GR228" s="32">
        <f t="shared" si="397"/>
        <v>2.1320207383638401</v>
      </c>
      <c r="GS228" s="32">
        <f t="shared" si="398"/>
        <v>4.1102154102044132E-2</v>
      </c>
      <c r="GT228" s="32" t="e">
        <f t="shared" si="399"/>
        <v>#N/A</v>
      </c>
      <c r="GU228" s="32" t="e">
        <f t="shared" si="400"/>
        <v>#N/A</v>
      </c>
      <c r="GV228" s="32" t="e">
        <f t="shared" si="401"/>
        <v>#N/A</v>
      </c>
      <c r="GW228" s="32" t="b">
        <f t="shared" si="402"/>
        <v>0</v>
      </c>
      <c r="GX228" s="32" t="b">
        <f t="shared" si="403"/>
        <v>1</v>
      </c>
      <c r="GY228" s="32" t="b">
        <f t="shared" si="404"/>
        <v>1</v>
      </c>
      <c r="GZ228" s="32" t="b">
        <f t="shared" si="405"/>
        <v>0</v>
      </c>
      <c r="HA228" s="32">
        <f t="shared" si="406"/>
        <v>4.1102154102044132E-2</v>
      </c>
      <c r="HB228" s="32">
        <f t="shared" si="407"/>
        <v>4.1102154102044132E-2</v>
      </c>
      <c r="HC228" s="32" t="e">
        <f t="shared" si="408"/>
        <v>#N/A</v>
      </c>
      <c r="HD228" s="45" t="str">
        <f t="shared" si="409"/>
        <v/>
      </c>
      <c r="HJ228" s="32">
        <f t="shared" si="410"/>
        <v>218</v>
      </c>
      <c r="HK228" s="32">
        <f t="shared" si="411"/>
        <v>219</v>
      </c>
      <c r="HL228" s="32">
        <f t="shared" si="412"/>
        <v>3.3014788910760604</v>
      </c>
      <c r="HM228" s="32" t="e">
        <f t="shared" si="413"/>
        <v>#N/A</v>
      </c>
      <c r="HN228" s="32">
        <f t="shared" si="414"/>
        <v>9.0043866481057076E-3</v>
      </c>
      <c r="HO228" s="32" t="e">
        <f t="shared" si="415"/>
        <v>#N/A</v>
      </c>
      <c r="HP228" s="32" t="e">
        <f t="shared" si="416"/>
        <v>#N/A</v>
      </c>
      <c r="HQ228" s="32" t="b">
        <f t="shared" si="417"/>
        <v>0</v>
      </c>
      <c r="HR228" s="32" t="b">
        <f t="shared" si="418"/>
        <v>1</v>
      </c>
      <c r="HS228" s="32" t="b">
        <f t="shared" si="419"/>
        <v>1</v>
      </c>
      <c r="HT228" s="32" t="b">
        <f t="shared" si="420"/>
        <v>0</v>
      </c>
      <c r="HU228" s="32">
        <f t="shared" si="421"/>
        <v>9.0043866481057076E-3</v>
      </c>
      <c r="HV228" s="32" t="e">
        <f t="shared" si="422"/>
        <v>#N/A</v>
      </c>
      <c r="HW228" s="32">
        <f t="shared" si="423"/>
        <v>9.0043866481057076E-3</v>
      </c>
      <c r="HX228" s="45" t="str">
        <f t="shared" si="424"/>
        <v/>
      </c>
    </row>
    <row r="229" spans="78:232" x14ac:dyDescent="0.2">
      <c r="BZ229" s="32">
        <f t="shared" si="351"/>
        <v>219</v>
      </c>
      <c r="CA229" s="32">
        <f>Eu_tabel_g[[#This Row],[Indeks]]+1</f>
        <v>220</v>
      </c>
      <c r="CB229" s="32">
        <f t="shared" si="352"/>
        <v>2.155976027558939</v>
      </c>
      <c r="CC229" s="32">
        <f t="shared" si="353"/>
        <v>3.9044437871557792E-2</v>
      </c>
      <c r="CD229" s="32" t="e">
        <f t="shared" si="354"/>
        <v>#N/A</v>
      </c>
      <c r="CE229" s="32" t="e">
        <f t="shared" si="355"/>
        <v>#N/A</v>
      </c>
      <c r="CF229" s="32" t="e">
        <f t="shared" si="356"/>
        <v>#N/A</v>
      </c>
      <c r="CG229" s="32" t="b">
        <f t="shared" si="357"/>
        <v>0</v>
      </c>
      <c r="CH229" s="32" t="b">
        <f t="shared" si="358"/>
        <v>1</v>
      </c>
      <c r="CI229" s="32" t="b">
        <f t="shared" si="359"/>
        <v>1</v>
      </c>
      <c r="CJ229" s="32" t="b">
        <f t="shared" si="360"/>
        <v>0</v>
      </c>
      <c r="CK229" s="32">
        <f t="shared" si="425"/>
        <v>3.9044437871557792E-2</v>
      </c>
      <c r="CL229" s="32">
        <f t="shared" si="361"/>
        <v>3.9044437871557792E-2</v>
      </c>
      <c r="CM229" s="32" t="e">
        <f t="shared" si="362"/>
        <v>#N/A</v>
      </c>
      <c r="CN229" s="45" t="str">
        <f t="shared" si="363"/>
        <v/>
      </c>
      <c r="CO229" s="32">
        <f>_xlfn.NORM.DIST(_xlfn.NORM.INV(1-Eu_g_konfidensniveau,0,1)-Eu_tabel_g[[#This Row],[x base]],0,1,TRUE)</f>
        <v>7.2106210282316994E-5</v>
      </c>
      <c r="CP229" s="32">
        <f>1-_xlfn.NORM.DIST(_xlfn.NORM.INV(Eu_g_konfidensniveau,0,1)-Eu_tabel_g[[#This Row],[x base]],0,1,TRUE)</f>
        <v>0.69536732432934523</v>
      </c>
      <c r="CQ229" s="32">
        <f>_xlfn.NORM.DIST(_xlfn.NORM.INV((1-Eu_g_konfidensniveau)/2,0,1)-Eu_tabel_g[[#This Row],[x base]],0,1,TRUE)+1-_xlfn.NORM.DIST(_xlfn.NORM.INV(1-(1-Eu_g_konfidensniveau)/2,0,1)-Eu_tabel_g[[#This Row],[x base]],0,1,TRUE)</f>
        <v>0.57771891029166766</v>
      </c>
      <c r="CR229" s="32" t="e" cm="1">
        <f t="array" ref="CR229">IF($CR$3,INDEX(Eu_tabel_g[[#This Row],[Styrke venstre]:[Styrke tosidet]],CR$7),NA())</f>
        <v>#N/A</v>
      </c>
      <c r="CS229" s="52" t="e">
        <f>Eu_tabel_g[[#This Row],[Falsk positiv
Nulhypotese accepteres
Fejltype 1]]</f>
        <v>#N/A</v>
      </c>
      <c r="CT229" s="52" t="e">
        <f>IF(CHOOSE(CR$7,Eu_tabel_g[[#This Row],[x base]]&gt;0,Eu_tabel_g[[#This Row],[x base]]&lt;0,Eu_tabel_g[[#This Row],[x base]]=0),Eu_tabel_g[[#This Row],[Styrke, aktiv]],NA())</f>
        <v>#N/A</v>
      </c>
      <c r="CU229" s="52" t="e">
        <f>IFERROR(IF($CR$3,Eu_tabel_g[[#This Row],[Styrke, aktiv]],NA()),NA())</f>
        <v>#N/A</v>
      </c>
      <c r="CV229" s="52" t="e">
        <f>IF(ISNA(Eu_tabel_g[[#This Row],[Sand negativ
Nulhypotese afvises
Korrekt]]),NA(),IF($CR$3,1,NA()))</f>
        <v>#N/A</v>
      </c>
      <c r="CW229" s="34" t="str" cm="1">
        <f t="array" ref="CW229">_xlfn.SWITCH(BZ229,_xlfn.IFNA(CU$2,-99),CU$5,_xlfn.IFNA(CU$3,-99),CU$6,_xlfn.IFNA(CU$4,-99),CU$7,"")</f>
        <v/>
      </c>
      <c r="DA229" s="7">
        <f t="shared" si="364"/>
        <v>0.8</v>
      </c>
      <c r="DB229">
        <f>IF(ROW(Styrkeberegning_G[[#This Row],[X base venstre]])=ROW(Styrkeberegning_G[[#Headers],[X base venstre]])+1,DB$7/(DA$7/$B$67),DB228/(DA228/$B$67))</f>
        <v>-2.8015817870135784</v>
      </c>
      <c r="DC229">
        <f>Styrkeberegning_G[[#This Row],[X base venstre]]*-1</f>
        <v>2.8015817870135784</v>
      </c>
      <c r="DN229" s="32">
        <f t="shared" si="365"/>
        <v>219</v>
      </c>
      <c r="DO229" s="32">
        <f t="shared" si="366"/>
        <v>220</v>
      </c>
      <c r="DP229" s="32">
        <f t="shared" si="367"/>
        <v>26.815370219976909</v>
      </c>
      <c r="DQ229" s="32" t="e">
        <f t="shared" si="368"/>
        <v>#N/A</v>
      </c>
      <c r="DR229" s="32" t="e">
        <f t="shared" si="369"/>
        <v>#N/A</v>
      </c>
      <c r="DS229" s="32">
        <f t="shared" si="370"/>
        <v>1.6995020269909965E-3</v>
      </c>
      <c r="DT229" s="32" t="e">
        <f t="shared" si="371"/>
        <v>#N/A</v>
      </c>
      <c r="DU229" s="32" t="b">
        <f t="shared" si="372"/>
        <v>0</v>
      </c>
      <c r="DV229" s="32" t="b">
        <f t="shared" si="373"/>
        <v>1</v>
      </c>
      <c r="DW229" s="32" t="b">
        <f t="shared" si="374"/>
        <v>1</v>
      </c>
      <c r="DX229" s="32" t="b">
        <f t="shared" si="375"/>
        <v>0</v>
      </c>
      <c r="DY229" s="32">
        <f t="shared" si="376"/>
        <v>1.6995020269909965E-3</v>
      </c>
      <c r="DZ229" s="32">
        <f t="shared" si="377"/>
        <v>1.6995020269909965E-3</v>
      </c>
      <c r="EA229" s="32" t="e">
        <f t="shared" si="378"/>
        <v>#N/A</v>
      </c>
      <c r="EB229" s="45" t="str">
        <f t="shared" si="379"/>
        <v/>
      </c>
      <c r="EG229" s="32">
        <f t="shared" si="380"/>
        <v>219</v>
      </c>
      <c r="EH229" s="32">
        <f t="shared" si="381"/>
        <v>220</v>
      </c>
      <c r="EI229" s="32">
        <f t="shared" si="382"/>
        <v>2.155976027558939</v>
      </c>
      <c r="EJ229" s="32">
        <f t="shared" si="383"/>
        <v>3.9044437871557792E-2</v>
      </c>
      <c r="EK229" s="32" t="e">
        <f t="shared" si="384"/>
        <v>#N/A</v>
      </c>
      <c r="EL229" s="32" t="e">
        <f t="shared" si="385"/>
        <v>#N/A</v>
      </c>
      <c r="EM229" s="32" t="e">
        <f t="shared" si="386"/>
        <v>#N/A</v>
      </c>
      <c r="EN229" s="32" t="b">
        <f t="shared" si="387"/>
        <v>0</v>
      </c>
      <c r="EO229" s="32" t="b">
        <f t="shared" si="388"/>
        <v>1</v>
      </c>
      <c r="EP229" s="32" t="b">
        <f t="shared" si="389"/>
        <v>1</v>
      </c>
      <c r="EQ229" s="32" t="b">
        <f t="shared" si="390"/>
        <v>0</v>
      </c>
      <c r="ER229" s="32">
        <f t="shared" si="391"/>
        <v>3.9044437871557792E-2</v>
      </c>
      <c r="ES229" s="32">
        <f t="shared" si="392"/>
        <v>3.9044437871557792E-2</v>
      </c>
      <c r="ET229" s="32" t="e">
        <f t="shared" si="393"/>
        <v>#N/A</v>
      </c>
      <c r="EU229" s="45" t="str">
        <f t="shared" si="394"/>
        <v/>
      </c>
      <c r="EV22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9" s="32" t="e" cm="1">
        <f t="array" ref="EY229">IF($CR$3,INDEX(Eu_tabel_a[[#This Row],[Styrke venstre]:[Styrke tosidet]],EY$7),NA())</f>
        <v>#N/A</v>
      </c>
      <c r="EZ229" s="32" t="e">
        <f>IF(EY$3,IF(CHOOSE(EY$7,Eu_tabel_a[[#This Row],[x base]]&gt;0,Eu_tabel_a[[#This Row],[x base]]&lt;0,Eu_tabel_a[[#This Row],[x base]]=0),1,NA()),NA())</f>
        <v>#N/A</v>
      </c>
      <c r="FA229" s="32" t="e">
        <f>IF(CHOOSE(EY$7,Eu_tabel_a[[#This Row],[x base]]&gt;0,Eu_tabel_a[[#This Row],[x base]]&lt;0,Eu_tabel_a[[#This Row],[x base]]=0),Eu_tabel_a[[#This Row],[Styrke, aktiv]],NA())</f>
        <v>#N/A</v>
      </c>
      <c r="FB229" s="32" t="e">
        <f>IFERROR(IF($EY$3,Eu_tabel_a[[#This Row],[Styrke, aktiv]],NA()),NA())</f>
        <v>#N/A</v>
      </c>
      <c r="FC229" s="32" t="e">
        <f>IF(ISNA(Eu_tabel_a[[#This Row],[Sand negativ
Nulhypotese afvises
Korrekt]]),NA(),IF(EY$3,1,NA()))</f>
        <v>#N/A</v>
      </c>
      <c r="FD229" s="33" t="str" cm="1">
        <f t="array" ref="FD229">IFERROR(_xlfn.SWITCH(Eu_tabel_a[[#This Row],[Indeks]],_xlfn.IFNA(FB$2,-99),FB$5,_xlfn.IFNA(FB$3,-99),FB$6,_xlfn.IFNA(FB$4,-99),FB$7,""),"")</f>
        <v/>
      </c>
      <c r="FE229" s="32">
        <f>Eu_tabel_a[[#This Row],[x base]]*SQRT(Eu_a_h0_x*(1-Eu_a_h0_x)/Eu_a_n_x)+Eu_a_h0_x</f>
        <v>0</v>
      </c>
      <c r="FJ229" s="74" t="e">
        <f t="shared" si="338"/>
        <v>#N/A</v>
      </c>
      <c r="FK229" s="82" t="e">
        <f t="shared" si="426"/>
        <v>#DIV/0!</v>
      </c>
      <c r="FL229" s="7" t="e">
        <f t="shared" si="332"/>
        <v>#DIV/0!</v>
      </c>
      <c r="FM229" t="e">
        <f t="shared" si="427"/>
        <v>#DIV/0!</v>
      </c>
      <c r="FN229" s="8" t="e">
        <f t="shared" si="428"/>
        <v>#DIV/0!</v>
      </c>
      <c r="FO229" s="8" t="e">
        <f t="shared" si="429"/>
        <v>#DIV/0!</v>
      </c>
      <c r="FP229" s="81" t="e">
        <f t="shared" si="430"/>
        <v>#DIV/0!</v>
      </c>
      <c r="FQ229" s="74" t="e">
        <f t="shared" ca="1" si="333"/>
        <v>#N/A</v>
      </c>
      <c r="FR229" s="82" t="e" vm="3">
        <f t="shared" ca="1" si="339"/>
        <v>#VALUE!</v>
      </c>
      <c r="FS229" s="7" t="e" vm="3">
        <f t="shared" ca="1" si="334"/>
        <v>#VALUE!</v>
      </c>
      <c r="FT229" t="e" vm="3">
        <f t="shared" ca="1" si="328"/>
        <v>#VALUE!</v>
      </c>
      <c r="FU229" s="8" t="e" vm="3">
        <f t="shared" ca="1" si="329"/>
        <v>#VALUE!</v>
      </c>
      <c r="FV229" s="8" t="e" vm="3">
        <f t="shared" ca="1" si="330"/>
        <v>#VALUE!</v>
      </c>
      <c r="FW229" s="81" t="e" vm="3">
        <f t="shared" ca="1" si="331"/>
        <v>#VALUE!</v>
      </c>
      <c r="FX229" s="74" t="e">
        <f t="shared" si="335"/>
        <v>#N/A</v>
      </c>
      <c r="FY229" s="82" t="e">
        <f t="shared" si="340"/>
        <v>#N/A</v>
      </c>
      <c r="FZ229" s="7" t="e">
        <f t="shared" si="336"/>
        <v>#N/A</v>
      </c>
      <c r="GA229" t="e">
        <f t="shared" si="341"/>
        <v>#N/A</v>
      </c>
      <c r="GB229" s="8" t="e">
        <f t="shared" si="342"/>
        <v>#N/A</v>
      </c>
      <c r="GC229" s="8" t="e">
        <f t="shared" si="343"/>
        <v>#N/A</v>
      </c>
      <c r="GD229" s="81" t="e">
        <f t="shared" si="344"/>
        <v>#N/A</v>
      </c>
      <c r="GE229" s="74" t="e">
        <f t="shared" si="345"/>
        <v>#N/A</v>
      </c>
      <c r="GF229" s="82" t="e">
        <f t="shared" si="346"/>
        <v>#N/A</v>
      </c>
      <c r="GG229" s="7" t="e">
        <f t="shared" si="337"/>
        <v>#N/A</v>
      </c>
      <c r="GH229" t="e">
        <f t="shared" si="347"/>
        <v>#N/A</v>
      </c>
      <c r="GI229" s="8" t="e">
        <f t="shared" si="348"/>
        <v>#N/A</v>
      </c>
      <c r="GJ229" s="8" t="e">
        <f t="shared" si="349"/>
        <v>#N/A</v>
      </c>
      <c r="GK229" s="81" t="e">
        <f t="shared" si="350"/>
        <v>#N/A</v>
      </c>
      <c r="GL229" s="81"/>
      <c r="GM229" s="81"/>
      <c r="GP229" s="32">
        <f t="shared" si="395"/>
        <v>219</v>
      </c>
      <c r="GQ229" s="32">
        <f t="shared" si="396"/>
        <v>220</v>
      </c>
      <c r="GR229" s="32">
        <f t="shared" si="397"/>
        <v>2.155976027558939</v>
      </c>
      <c r="GS229" s="32">
        <f t="shared" si="398"/>
        <v>3.9044437871557792E-2</v>
      </c>
      <c r="GT229" s="32" t="e">
        <f t="shared" si="399"/>
        <v>#N/A</v>
      </c>
      <c r="GU229" s="32" t="e">
        <f t="shared" si="400"/>
        <v>#N/A</v>
      </c>
      <c r="GV229" s="32" t="e">
        <f t="shared" si="401"/>
        <v>#N/A</v>
      </c>
      <c r="GW229" s="32" t="b">
        <f t="shared" si="402"/>
        <v>0</v>
      </c>
      <c r="GX229" s="32" t="b">
        <f t="shared" si="403"/>
        <v>1</v>
      </c>
      <c r="GY229" s="32" t="b">
        <f t="shared" si="404"/>
        <v>1</v>
      </c>
      <c r="GZ229" s="32" t="b">
        <f t="shared" si="405"/>
        <v>0</v>
      </c>
      <c r="HA229" s="32">
        <f t="shared" si="406"/>
        <v>3.9044437871557792E-2</v>
      </c>
      <c r="HB229" s="32">
        <f t="shared" si="407"/>
        <v>3.9044437871557792E-2</v>
      </c>
      <c r="HC229" s="32" t="e">
        <f t="shared" si="408"/>
        <v>#N/A</v>
      </c>
      <c r="HD229" s="45" t="str">
        <f t="shared" si="409"/>
        <v/>
      </c>
      <c r="HJ229" s="32">
        <f t="shared" si="410"/>
        <v>219</v>
      </c>
      <c r="HK229" s="32">
        <f t="shared" si="411"/>
        <v>220</v>
      </c>
      <c r="HL229" s="32">
        <f t="shared" si="412"/>
        <v>3.338574159515117</v>
      </c>
      <c r="HM229" s="32" t="e">
        <f t="shared" si="413"/>
        <v>#N/A</v>
      </c>
      <c r="HN229" s="32">
        <f t="shared" si="414"/>
        <v>8.5253498118103913E-3</v>
      </c>
      <c r="HO229" s="32" t="e">
        <f t="shared" si="415"/>
        <v>#N/A</v>
      </c>
      <c r="HP229" s="32" t="e">
        <f t="shared" si="416"/>
        <v>#N/A</v>
      </c>
      <c r="HQ229" s="32" t="b">
        <f t="shared" si="417"/>
        <v>0</v>
      </c>
      <c r="HR229" s="32" t="b">
        <f t="shared" si="418"/>
        <v>1</v>
      </c>
      <c r="HS229" s="32" t="b">
        <f t="shared" si="419"/>
        <v>1</v>
      </c>
      <c r="HT229" s="32" t="b">
        <f t="shared" si="420"/>
        <v>0</v>
      </c>
      <c r="HU229" s="32">
        <f t="shared" si="421"/>
        <v>8.5253498118103913E-3</v>
      </c>
      <c r="HV229" s="32" t="e">
        <f t="shared" si="422"/>
        <v>#N/A</v>
      </c>
      <c r="HW229" s="32">
        <f t="shared" si="423"/>
        <v>8.5253498118103913E-3</v>
      </c>
      <c r="HX229" s="45" t="str">
        <f t="shared" si="424"/>
        <v/>
      </c>
    </row>
    <row r="230" spans="78:232" x14ac:dyDescent="0.2">
      <c r="BZ230" s="32">
        <f t="shared" si="351"/>
        <v>220</v>
      </c>
      <c r="CA230" s="32">
        <f>Eu_tabel_g[[#This Row],[Indeks]]+1</f>
        <v>221</v>
      </c>
      <c r="CB230" s="32">
        <f t="shared" si="352"/>
        <v>2.1799313167540388</v>
      </c>
      <c r="CC230" s="32">
        <f t="shared" si="353"/>
        <v>3.706845998598688E-2</v>
      </c>
      <c r="CD230" s="32" t="e">
        <f t="shared" si="354"/>
        <v>#N/A</v>
      </c>
      <c r="CE230" s="32" t="e">
        <f t="shared" si="355"/>
        <v>#N/A</v>
      </c>
      <c r="CF230" s="32" t="e">
        <f t="shared" si="356"/>
        <v>#N/A</v>
      </c>
      <c r="CG230" s="32" t="b">
        <f t="shared" si="357"/>
        <v>0</v>
      </c>
      <c r="CH230" s="32" t="b">
        <f t="shared" si="358"/>
        <v>1</v>
      </c>
      <c r="CI230" s="32" t="b">
        <f t="shared" si="359"/>
        <v>1</v>
      </c>
      <c r="CJ230" s="32" t="b">
        <f t="shared" si="360"/>
        <v>0</v>
      </c>
      <c r="CK230" s="32">
        <f t="shared" si="425"/>
        <v>3.706845998598688E-2</v>
      </c>
      <c r="CL230" s="32">
        <f t="shared" si="361"/>
        <v>3.706845998598688E-2</v>
      </c>
      <c r="CM230" s="32" t="e">
        <f t="shared" si="362"/>
        <v>#N/A</v>
      </c>
      <c r="CN230" s="45" t="str">
        <f t="shared" si="363"/>
        <v/>
      </c>
      <c r="CO230" s="32">
        <f>_xlfn.NORM.DIST(_xlfn.NORM.INV(1-Eu_g_konfidensniveau,0,1)-Eu_tabel_g[[#This Row],[x base]],0,1,TRUE)</f>
        <v>6.5443143886424751E-5</v>
      </c>
      <c r="CP230" s="32">
        <f>1-_xlfn.NORM.DIST(_xlfn.NORM.INV(Eu_g_konfidensniveau,0,1)-Eu_tabel_g[[#This Row],[x base]],0,1,TRUE)</f>
        <v>0.70370193173370943</v>
      </c>
      <c r="CQ230" s="32">
        <f>_xlfn.NORM.DIST(_xlfn.NORM.INV((1-Eu_g_konfidensniveau)/2,0,1)-Eu_tabel_g[[#This Row],[x base]],0,1,TRUE)+1-_xlfn.NORM.DIST(_xlfn.NORM.INV(1-(1-Eu_g_konfidensniveau)/2,0,1)-Eu_tabel_g[[#This Row],[x base]],0,1,TRUE)</f>
        <v>0.58706907486227267</v>
      </c>
      <c r="CR230" s="32" t="e" cm="1">
        <f t="array" ref="CR230">IF($CR$3,INDEX(Eu_tabel_g[[#This Row],[Styrke venstre]:[Styrke tosidet]],CR$7),NA())</f>
        <v>#N/A</v>
      </c>
      <c r="CS230" s="52" t="e">
        <f>Eu_tabel_g[[#This Row],[Falsk positiv
Nulhypotese accepteres
Fejltype 1]]</f>
        <v>#N/A</v>
      </c>
      <c r="CT230" s="52" t="e">
        <f>IF(CHOOSE(CR$7,Eu_tabel_g[[#This Row],[x base]]&gt;0,Eu_tabel_g[[#This Row],[x base]]&lt;0,Eu_tabel_g[[#This Row],[x base]]=0),Eu_tabel_g[[#This Row],[Styrke, aktiv]],NA())</f>
        <v>#N/A</v>
      </c>
      <c r="CU230" s="52" t="e">
        <f>IFERROR(IF($CR$3,Eu_tabel_g[[#This Row],[Styrke, aktiv]],NA()),NA())</f>
        <v>#N/A</v>
      </c>
      <c r="CV230" s="52" t="e">
        <f>IF(ISNA(Eu_tabel_g[[#This Row],[Sand negativ
Nulhypotese afvises
Korrekt]]),NA(),IF($CR$3,1,NA()))</f>
        <v>#N/A</v>
      </c>
      <c r="CW230" s="34" t="str" cm="1">
        <f t="array" ref="CW230">_xlfn.SWITCH(BZ230,_xlfn.IFNA(CU$2,-99),CU$5,_xlfn.IFNA(CU$3,-99),CU$6,_xlfn.IFNA(CU$4,-99),CU$7,"")</f>
        <v/>
      </c>
      <c r="DA230" s="7">
        <f t="shared" si="364"/>
        <v>0.8</v>
      </c>
      <c r="DB230">
        <f>IF(ROW(Styrkeberegning_G[[#This Row],[X base venstre]])=ROW(Styrkeberegning_G[[#Headers],[X base venstre]])+1,DB$7/(DA$7/$B$67),DB229/(DA229/$B$67))</f>
        <v>-2.8015817870135784</v>
      </c>
      <c r="DC230">
        <f>Styrkeberegning_G[[#This Row],[X base venstre]]*-1</f>
        <v>2.8015817870135784</v>
      </c>
      <c r="DN230" s="32">
        <f t="shared" si="365"/>
        <v>220</v>
      </c>
      <c r="DO230" s="32">
        <f t="shared" si="366"/>
        <v>221</v>
      </c>
      <c r="DP230" s="32">
        <f t="shared" si="367"/>
        <v>26.92944107639391</v>
      </c>
      <c r="DQ230" s="32" t="e">
        <f t="shared" si="368"/>
        <v>#N/A</v>
      </c>
      <c r="DR230" s="32" t="e">
        <f t="shared" si="369"/>
        <v>#N/A</v>
      </c>
      <c r="DS230" s="32">
        <f t="shared" si="370"/>
        <v>1.6362416968852462E-3</v>
      </c>
      <c r="DT230" s="32" t="e">
        <f t="shared" si="371"/>
        <v>#N/A</v>
      </c>
      <c r="DU230" s="32" t="b">
        <f t="shared" si="372"/>
        <v>0</v>
      </c>
      <c r="DV230" s="32" t="b">
        <f t="shared" si="373"/>
        <v>1</v>
      </c>
      <c r="DW230" s="32" t="b">
        <f t="shared" si="374"/>
        <v>1</v>
      </c>
      <c r="DX230" s="32" t="b">
        <f t="shared" si="375"/>
        <v>0</v>
      </c>
      <c r="DY230" s="32">
        <f t="shared" si="376"/>
        <v>1.6362416968852462E-3</v>
      </c>
      <c r="DZ230" s="32">
        <f t="shared" si="377"/>
        <v>1.6362416968852462E-3</v>
      </c>
      <c r="EA230" s="32" t="e">
        <f t="shared" si="378"/>
        <v>#N/A</v>
      </c>
      <c r="EB230" s="45" t="str">
        <f t="shared" si="379"/>
        <v/>
      </c>
      <c r="EG230" s="32">
        <f t="shared" si="380"/>
        <v>220</v>
      </c>
      <c r="EH230" s="32">
        <f t="shared" si="381"/>
        <v>221</v>
      </c>
      <c r="EI230" s="32">
        <f t="shared" si="382"/>
        <v>2.1799313167540388</v>
      </c>
      <c r="EJ230" s="32">
        <f t="shared" si="383"/>
        <v>3.706845998598688E-2</v>
      </c>
      <c r="EK230" s="32" t="e">
        <f t="shared" si="384"/>
        <v>#N/A</v>
      </c>
      <c r="EL230" s="32" t="e">
        <f t="shared" si="385"/>
        <v>#N/A</v>
      </c>
      <c r="EM230" s="32" t="e">
        <f t="shared" si="386"/>
        <v>#N/A</v>
      </c>
      <c r="EN230" s="32" t="b">
        <f t="shared" si="387"/>
        <v>0</v>
      </c>
      <c r="EO230" s="32" t="b">
        <f t="shared" si="388"/>
        <v>1</v>
      </c>
      <c r="EP230" s="32" t="b">
        <f t="shared" si="389"/>
        <v>1</v>
      </c>
      <c r="EQ230" s="32" t="b">
        <f t="shared" si="390"/>
        <v>0</v>
      </c>
      <c r="ER230" s="32">
        <f t="shared" si="391"/>
        <v>3.706845998598688E-2</v>
      </c>
      <c r="ES230" s="32">
        <f t="shared" si="392"/>
        <v>3.706845998598688E-2</v>
      </c>
      <c r="ET230" s="32" t="e">
        <f t="shared" si="393"/>
        <v>#N/A</v>
      </c>
      <c r="EU230" s="45" t="str">
        <f t="shared" si="394"/>
        <v/>
      </c>
      <c r="EV23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0" s="32" t="e" cm="1">
        <f t="array" ref="EY230">IF($CR$3,INDEX(Eu_tabel_a[[#This Row],[Styrke venstre]:[Styrke tosidet]],EY$7),NA())</f>
        <v>#N/A</v>
      </c>
      <c r="EZ230" s="32" t="e">
        <f>IF(EY$3,IF(CHOOSE(EY$7,Eu_tabel_a[[#This Row],[x base]]&gt;0,Eu_tabel_a[[#This Row],[x base]]&lt;0,Eu_tabel_a[[#This Row],[x base]]=0),1,NA()),NA())</f>
        <v>#N/A</v>
      </c>
      <c r="FA230" s="32" t="e">
        <f>IF(CHOOSE(EY$7,Eu_tabel_a[[#This Row],[x base]]&gt;0,Eu_tabel_a[[#This Row],[x base]]&lt;0,Eu_tabel_a[[#This Row],[x base]]=0),Eu_tabel_a[[#This Row],[Styrke, aktiv]],NA())</f>
        <v>#N/A</v>
      </c>
      <c r="FB230" s="32" t="e">
        <f>IFERROR(IF($EY$3,Eu_tabel_a[[#This Row],[Styrke, aktiv]],NA()),NA())</f>
        <v>#N/A</v>
      </c>
      <c r="FC230" s="32" t="e">
        <f>IF(ISNA(Eu_tabel_a[[#This Row],[Sand negativ
Nulhypotese afvises
Korrekt]]),NA(),IF(EY$3,1,NA()))</f>
        <v>#N/A</v>
      </c>
      <c r="FD230" s="33" t="str" cm="1">
        <f t="array" ref="FD230">IFERROR(_xlfn.SWITCH(Eu_tabel_a[[#This Row],[Indeks]],_xlfn.IFNA(FB$2,-99),FB$5,_xlfn.IFNA(FB$3,-99),FB$6,_xlfn.IFNA(FB$4,-99),FB$7,""),"")</f>
        <v/>
      </c>
      <c r="FE230" s="32">
        <f>Eu_tabel_a[[#This Row],[x base]]*SQRT(Eu_a_h0_x*(1-Eu_a_h0_x)/Eu_a_n_x)+Eu_a_h0_x</f>
        <v>0</v>
      </c>
      <c r="FJ230" s="74" t="e">
        <f t="shared" si="338"/>
        <v>#N/A</v>
      </c>
      <c r="FK230" s="82" t="e">
        <f t="shared" si="426"/>
        <v>#DIV/0!</v>
      </c>
      <c r="FL230" s="7" t="e">
        <f t="shared" si="332"/>
        <v>#DIV/0!</v>
      </c>
      <c r="FM230" t="e">
        <f t="shared" si="427"/>
        <v>#DIV/0!</v>
      </c>
      <c r="FN230" s="8" t="e">
        <f t="shared" si="428"/>
        <v>#DIV/0!</v>
      </c>
      <c r="FO230" s="8" t="e">
        <f t="shared" si="429"/>
        <v>#DIV/0!</v>
      </c>
      <c r="FP230" s="81" t="e">
        <f t="shared" si="430"/>
        <v>#DIV/0!</v>
      </c>
      <c r="FQ230" s="74" t="e">
        <f t="shared" ca="1" si="333"/>
        <v>#N/A</v>
      </c>
      <c r="FR230" s="82" t="e" vm="3">
        <f t="shared" ca="1" si="339"/>
        <v>#VALUE!</v>
      </c>
      <c r="FS230" s="7" t="e" vm="3">
        <f t="shared" ca="1" si="334"/>
        <v>#VALUE!</v>
      </c>
      <c r="FT230" t="e" vm="3">
        <f t="shared" ca="1" si="328"/>
        <v>#VALUE!</v>
      </c>
      <c r="FU230" s="8" t="e" vm="3">
        <f t="shared" ca="1" si="329"/>
        <v>#VALUE!</v>
      </c>
      <c r="FV230" s="8" t="e" vm="3">
        <f t="shared" ca="1" si="330"/>
        <v>#VALUE!</v>
      </c>
      <c r="FW230" s="81" t="e" vm="3">
        <f t="shared" ca="1" si="331"/>
        <v>#VALUE!</v>
      </c>
      <c r="FX230" s="74" t="e">
        <f t="shared" si="335"/>
        <v>#N/A</v>
      </c>
      <c r="FY230" s="82" t="e">
        <f t="shared" si="340"/>
        <v>#N/A</v>
      </c>
      <c r="FZ230" s="7" t="e">
        <f t="shared" si="336"/>
        <v>#N/A</v>
      </c>
      <c r="GA230" t="e">
        <f t="shared" si="341"/>
        <v>#N/A</v>
      </c>
      <c r="GB230" s="8" t="e">
        <f t="shared" si="342"/>
        <v>#N/A</v>
      </c>
      <c r="GC230" s="8" t="e">
        <f t="shared" si="343"/>
        <v>#N/A</v>
      </c>
      <c r="GD230" s="81" t="e">
        <f t="shared" si="344"/>
        <v>#N/A</v>
      </c>
      <c r="GE230" s="74" t="e">
        <f t="shared" si="345"/>
        <v>#N/A</v>
      </c>
      <c r="GF230" s="82" t="e">
        <f t="shared" si="346"/>
        <v>#N/A</v>
      </c>
      <c r="GG230" s="7" t="e">
        <f t="shared" si="337"/>
        <v>#N/A</v>
      </c>
      <c r="GH230" t="e">
        <f t="shared" si="347"/>
        <v>#N/A</v>
      </c>
      <c r="GI230" s="8" t="e">
        <f t="shared" si="348"/>
        <v>#N/A</v>
      </c>
      <c r="GJ230" s="8" t="e">
        <f t="shared" si="349"/>
        <v>#N/A</v>
      </c>
      <c r="GK230" s="81" t="e">
        <f t="shared" si="350"/>
        <v>#N/A</v>
      </c>
      <c r="GL230" s="81"/>
      <c r="GM230" s="81"/>
      <c r="GP230" s="32">
        <f t="shared" si="395"/>
        <v>220</v>
      </c>
      <c r="GQ230" s="32">
        <f t="shared" si="396"/>
        <v>221</v>
      </c>
      <c r="GR230" s="32">
        <f t="shared" si="397"/>
        <v>2.1799313167540388</v>
      </c>
      <c r="GS230" s="32">
        <f t="shared" si="398"/>
        <v>3.706845998598688E-2</v>
      </c>
      <c r="GT230" s="32" t="e">
        <f t="shared" si="399"/>
        <v>#N/A</v>
      </c>
      <c r="GU230" s="32" t="e">
        <f t="shared" si="400"/>
        <v>#N/A</v>
      </c>
      <c r="GV230" s="32" t="e">
        <f t="shared" si="401"/>
        <v>#N/A</v>
      </c>
      <c r="GW230" s="32" t="b">
        <f t="shared" si="402"/>
        <v>0</v>
      </c>
      <c r="GX230" s="32" t="b">
        <f t="shared" si="403"/>
        <v>1</v>
      </c>
      <c r="GY230" s="32" t="b">
        <f t="shared" si="404"/>
        <v>1</v>
      </c>
      <c r="GZ230" s="32" t="b">
        <f t="shared" si="405"/>
        <v>0</v>
      </c>
      <c r="HA230" s="32">
        <f t="shared" si="406"/>
        <v>3.706845998598688E-2</v>
      </c>
      <c r="HB230" s="32">
        <f t="shared" si="407"/>
        <v>3.706845998598688E-2</v>
      </c>
      <c r="HC230" s="32" t="e">
        <f t="shared" si="408"/>
        <v>#N/A</v>
      </c>
      <c r="HD230" s="45" t="str">
        <f t="shared" si="409"/>
        <v/>
      </c>
      <c r="HJ230" s="32">
        <f t="shared" si="410"/>
        <v>220</v>
      </c>
      <c r="HK230" s="32">
        <f t="shared" si="411"/>
        <v>221</v>
      </c>
      <c r="HL230" s="32">
        <f t="shared" si="412"/>
        <v>3.3756694279541737</v>
      </c>
      <c r="HM230" s="32" t="e">
        <f t="shared" si="413"/>
        <v>#N/A</v>
      </c>
      <c r="HN230" s="32">
        <f t="shared" si="414"/>
        <v>8.0729166739766517E-3</v>
      </c>
      <c r="HO230" s="32" t="e">
        <f t="shared" si="415"/>
        <v>#N/A</v>
      </c>
      <c r="HP230" s="32" t="e">
        <f t="shared" si="416"/>
        <v>#N/A</v>
      </c>
      <c r="HQ230" s="32" t="b">
        <f t="shared" si="417"/>
        <v>0</v>
      </c>
      <c r="HR230" s="32" t="b">
        <f t="shared" si="418"/>
        <v>1</v>
      </c>
      <c r="HS230" s="32" t="b">
        <f t="shared" si="419"/>
        <v>1</v>
      </c>
      <c r="HT230" s="32" t="b">
        <f t="shared" si="420"/>
        <v>0</v>
      </c>
      <c r="HU230" s="32">
        <f t="shared" si="421"/>
        <v>8.0729166739766517E-3</v>
      </c>
      <c r="HV230" s="32" t="e">
        <f t="shared" si="422"/>
        <v>#N/A</v>
      </c>
      <c r="HW230" s="32">
        <f t="shared" si="423"/>
        <v>8.0729166739766517E-3</v>
      </c>
      <c r="HX230" s="45" t="str">
        <f t="shared" si="424"/>
        <v/>
      </c>
    </row>
    <row r="231" spans="78:232" x14ac:dyDescent="0.2">
      <c r="BZ231" s="32">
        <f t="shared" si="351"/>
        <v>221</v>
      </c>
      <c r="CA231" s="32">
        <f>Eu_tabel_g[[#This Row],[Indeks]]+1</f>
        <v>222</v>
      </c>
      <c r="CB231" s="32">
        <f t="shared" si="352"/>
        <v>2.2038866059491378</v>
      </c>
      <c r="CC231" s="32">
        <f t="shared" si="353"/>
        <v>3.5172293628326259E-2</v>
      </c>
      <c r="CD231" s="32" t="e">
        <f t="shared" si="354"/>
        <v>#N/A</v>
      </c>
      <c r="CE231" s="32" t="e">
        <f t="shared" si="355"/>
        <v>#N/A</v>
      </c>
      <c r="CF231" s="32" t="e">
        <f t="shared" si="356"/>
        <v>#N/A</v>
      </c>
      <c r="CG231" s="32" t="b">
        <f t="shared" si="357"/>
        <v>0</v>
      </c>
      <c r="CH231" s="32" t="b">
        <f t="shared" si="358"/>
        <v>1</v>
      </c>
      <c r="CI231" s="32" t="b">
        <f t="shared" si="359"/>
        <v>1</v>
      </c>
      <c r="CJ231" s="32" t="b">
        <f t="shared" si="360"/>
        <v>0</v>
      </c>
      <c r="CK231" s="32">
        <f t="shared" si="425"/>
        <v>3.5172293628326259E-2</v>
      </c>
      <c r="CL231" s="32">
        <f t="shared" si="361"/>
        <v>3.5172293628326259E-2</v>
      </c>
      <c r="CM231" s="32" t="e">
        <f t="shared" si="362"/>
        <v>#N/A</v>
      </c>
      <c r="CN231" s="45" t="str">
        <f t="shared" si="363"/>
        <v/>
      </c>
      <c r="CO231" s="32">
        <f>_xlfn.NORM.DIST(_xlfn.NORM.INV(1-Eu_g_konfidensniveau,0,1)-Eu_tabel_g[[#This Row],[x base]],0,1,TRUE)</f>
        <v>5.9363413504991642E-5</v>
      </c>
      <c r="CP231" s="32">
        <f>1-_xlfn.NORM.DIST(_xlfn.NORM.INV(Eu_g_konfidensniveau,0,1)-Eu_tabel_g[[#This Row],[x base]],0,1,TRUE)</f>
        <v>0.71193039344774489</v>
      </c>
      <c r="CQ231" s="32">
        <f>_xlfn.NORM.DIST(_xlfn.NORM.INV((1-Eu_g_konfidensniveau)/2,0,1)-Eu_tabel_g[[#This Row],[x base]],0,1,TRUE)+1-_xlfn.NORM.DIST(_xlfn.NORM.INV(1-(1-Eu_g_konfidensniveau)/2,0,1)-Eu_tabel_g[[#This Row],[x base]],0,1,TRUE)</f>
        <v>0.59637027179631974</v>
      </c>
      <c r="CR231" s="32" t="e" cm="1">
        <f t="array" ref="CR231">IF($CR$3,INDEX(Eu_tabel_g[[#This Row],[Styrke venstre]:[Styrke tosidet]],CR$7),NA())</f>
        <v>#N/A</v>
      </c>
      <c r="CS231" s="52" t="e">
        <f>Eu_tabel_g[[#This Row],[Falsk positiv
Nulhypotese accepteres
Fejltype 1]]</f>
        <v>#N/A</v>
      </c>
      <c r="CT231" s="52" t="e">
        <f>IF(CHOOSE(CR$7,Eu_tabel_g[[#This Row],[x base]]&gt;0,Eu_tabel_g[[#This Row],[x base]]&lt;0,Eu_tabel_g[[#This Row],[x base]]=0),Eu_tabel_g[[#This Row],[Styrke, aktiv]],NA())</f>
        <v>#N/A</v>
      </c>
      <c r="CU231" s="52" t="e">
        <f>IFERROR(IF($CR$3,Eu_tabel_g[[#This Row],[Styrke, aktiv]],NA()),NA())</f>
        <v>#N/A</v>
      </c>
      <c r="CV231" s="52" t="e">
        <f>IF(ISNA(Eu_tabel_g[[#This Row],[Sand negativ
Nulhypotese afvises
Korrekt]]),NA(),IF($CR$3,1,NA()))</f>
        <v>#N/A</v>
      </c>
      <c r="CW231" s="34" t="str" cm="1">
        <f t="array" ref="CW231">_xlfn.SWITCH(BZ231,_xlfn.IFNA(CU$2,-99),CU$5,_xlfn.IFNA(CU$3,-99),CU$6,_xlfn.IFNA(CU$4,-99),CU$7,"")</f>
        <v/>
      </c>
      <c r="DA231" s="7">
        <f t="shared" si="364"/>
        <v>0.8</v>
      </c>
      <c r="DB231">
        <f>IF(ROW(Styrkeberegning_G[[#This Row],[X base venstre]])=ROW(Styrkeberegning_G[[#Headers],[X base venstre]])+1,DB$7/(DA$7/$B$67),DB230/(DA230/$B$67))</f>
        <v>-2.8015817870135784</v>
      </c>
      <c r="DC231">
        <f>Styrkeberegning_G[[#This Row],[X base venstre]]*-1</f>
        <v>2.8015817870135784</v>
      </c>
      <c r="DN231" s="32">
        <f t="shared" si="365"/>
        <v>221</v>
      </c>
      <c r="DO231" s="32">
        <f t="shared" si="366"/>
        <v>222</v>
      </c>
      <c r="DP231" s="32">
        <f t="shared" si="367"/>
        <v>27.043511932810912</v>
      </c>
      <c r="DQ231" s="32" t="e">
        <f t="shared" si="368"/>
        <v>#N/A</v>
      </c>
      <c r="DR231" s="32" t="e">
        <f t="shared" si="369"/>
        <v>#N/A</v>
      </c>
      <c r="DS231" s="32">
        <f t="shared" si="370"/>
        <v>1.5752089032837508E-3</v>
      </c>
      <c r="DT231" s="32" t="e">
        <f t="shared" si="371"/>
        <v>#N/A</v>
      </c>
      <c r="DU231" s="32" t="b">
        <f t="shared" si="372"/>
        <v>0</v>
      </c>
      <c r="DV231" s="32" t="b">
        <f t="shared" si="373"/>
        <v>1</v>
      </c>
      <c r="DW231" s="32" t="b">
        <f t="shared" si="374"/>
        <v>1</v>
      </c>
      <c r="DX231" s="32" t="b">
        <f t="shared" si="375"/>
        <v>0</v>
      </c>
      <c r="DY231" s="32">
        <f t="shared" si="376"/>
        <v>1.5752089032837508E-3</v>
      </c>
      <c r="DZ231" s="32">
        <f t="shared" si="377"/>
        <v>1.5752089032837508E-3</v>
      </c>
      <c r="EA231" s="32" t="e">
        <f t="shared" si="378"/>
        <v>#N/A</v>
      </c>
      <c r="EB231" s="45" t="str">
        <f t="shared" si="379"/>
        <v/>
      </c>
      <c r="EG231" s="32">
        <f t="shared" si="380"/>
        <v>221</v>
      </c>
      <c r="EH231" s="32">
        <f t="shared" si="381"/>
        <v>222</v>
      </c>
      <c r="EI231" s="32">
        <f t="shared" si="382"/>
        <v>2.2038866059491378</v>
      </c>
      <c r="EJ231" s="32">
        <f t="shared" si="383"/>
        <v>3.5172293628326259E-2</v>
      </c>
      <c r="EK231" s="32" t="e">
        <f t="shared" si="384"/>
        <v>#N/A</v>
      </c>
      <c r="EL231" s="32" t="e">
        <f t="shared" si="385"/>
        <v>#N/A</v>
      </c>
      <c r="EM231" s="32" t="e">
        <f t="shared" si="386"/>
        <v>#N/A</v>
      </c>
      <c r="EN231" s="32" t="b">
        <f t="shared" si="387"/>
        <v>0</v>
      </c>
      <c r="EO231" s="32" t="b">
        <f t="shared" si="388"/>
        <v>1</v>
      </c>
      <c r="EP231" s="32" t="b">
        <f t="shared" si="389"/>
        <v>1</v>
      </c>
      <c r="EQ231" s="32" t="b">
        <f t="shared" si="390"/>
        <v>0</v>
      </c>
      <c r="ER231" s="32">
        <f t="shared" si="391"/>
        <v>3.5172293628326259E-2</v>
      </c>
      <c r="ES231" s="32">
        <f t="shared" si="392"/>
        <v>3.5172293628326259E-2</v>
      </c>
      <c r="ET231" s="32" t="e">
        <f t="shared" si="393"/>
        <v>#N/A</v>
      </c>
      <c r="EU231" s="45" t="str">
        <f t="shared" si="394"/>
        <v/>
      </c>
      <c r="EV23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1" s="32" t="e" cm="1">
        <f t="array" ref="EY231">IF($CR$3,INDEX(Eu_tabel_a[[#This Row],[Styrke venstre]:[Styrke tosidet]],EY$7),NA())</f>
        <v>#N/A</v>
      </c>
      <c r="EZ231" s="32" t="e">
        <f>IF(EY$3,IF(CHOOSE(EY$7,Eu_tabel_a[[#This Row],[x base]]&gt;0,Eu_tabel_a[[#This Row],[x base]]&lt;0,Eu_tabel_a[[#This Row],[x base]]=0),1,NA()),NA())</f>
        <v>#N/A</v>
      </c>
      <c r="FA231" s="32" t="e">
        <f>IF(CHOOSE(EY$7,Eu_tabel_a[[#This Row],[x base]]&gt;0,Eu_tabel_a[[#This Row],[x base]]&lt;0,Eu_tabel_a[[#This Row],[x base]]=0),Eu_tabel_a[[#This Row],[Styrke, aktiv]],NA())</f>
        <v>#N/A</v>
      </c>
      <c r="FB231" s="32" t="e">
        <f>IFERROR(IF($EY$3,Eu_tabel_a[[#This Row],[Styrke, aktiv]],NA()),NA())</f>
        <v>#N/A</v>
      </c>
      <c r="FC231" s="32" t="e">
        <f>IF(ISNA(Eu_tabel_a[[#This Row],[Sand negativ
Nulhypotese afvises
Korrekt]]),NA(),IF(EY$3,1,NA()))</f>
        <v>#N/A</v>
      </c>
      <c r="FD231" s="33" t="str" cm="1">
        <f t="array" ref="FD231">IFERROR(_xlfn.SWITCH(Eu_tabel_a[[#This Row],[Indeks]],_xlfn.IFNA(FB$2,-99),FB$5,_xlfn.IFNA(FB$3,-99),FB$6,_xlfn.IFNA(FB$4,-99),FB$7,""),"")</f>
        <v/>
      </c>
      <c r="FE231" s="32">
        <f>Eu_tabel_a[[#This Row],[x base]]*SQRT(Eu_a_h0_x*(1-Eu_a_h0_x)/Eu_a_n_x)+Eu_a_h0_x</f>
        <v>0</v>
      </c>
      <c r="FJ231" s="74" t="e">
        <f t="shared" si="338"/>
        <v>#N/A</v>
      </c>
      <c r="FK231" s="82" t="e">
        <f t="shared" si="426"/>
        <v>#DIV/0!</v>
      </c>
      <c r="FL231" s="7" t="e">
        <f t="shared" si="332"/>
        <v>#DIV/0!</v>
      </c>
      <c r="FM231" t="e">
        <f t="shared" si="427"/>
        <v>#DIV/0!</v>
      </c>
      <c r="FN231" s="8" t="e">
        <f t="shared" si="428"/>
        <v>#DIV/0!</v>
      </c>
      <c r="FO231" s="8" t="e">
        <f t="shared" si="429"/>
        <v>#DIV/0!</v>
      </c>
      <c r="FP231" s="81" t="e">
        <f t="shared" si="430"/>
        <v>#DIV/0!</v>
      </c>
      <c r="FQ231" s="74" t="e">
        <f t="shared" ca="1" si="333"/>
        <v>#N/A</v>
      </c>
      <c r="FR231" s="82" t="e" vm="3">
        <f t="shared" ca="1" si="339"/>
        <v>#VALUE!</v>
      </c>
      <c r="FS231" s="7" t="e" vm="3">
        <f t="shared" ca="1" si="334"/>
        <v>#VALUE!</v>
      </c>
      <c r="FT231" t="e" vm="3">
        <f t="shared" ca="1" si="328"/>
        <v>#VALUE!</v>
      </c>
      <c r="FU231" s="8" t="e" vm="3">
        <f t="shared" ca="1" si="329"/>
        <v>#VALUE!</v>
      </c>
      <c r="FV231" s="8" t="e" vm="3">
        <f t="shared" ca="1" si="330"/>
        <v>#VALUE!</v>
      </c>
      <c r="FW231" s="81" t="e" vm="3">
        <f t="shared" ca="1" si="331"/>
        <v>#VALUE!</v>
      </c>
      <c r="FX231" s="74" t="e">
        <f t="shared" si="335"/>
        <v>#N/A</v>
      </c>
      <c r="FY231" s="82" t="e">
        <f t="shared" si="340"/>
        <v>#N/A</v>
      </c>
      <c r="FZ231" s="7" t="e">
        <f t="shared" si="336"/>
        <v>#N/A</v>
      </c>
      <c r="GA231" t="e">
        <f t="shared" si="341"/>
        <v>#N/A</v>
      </c>
      <c r="GB231" s="8" t="e">
        <f t="shared" si="342"/>
        <v>#N/A</v>
      </c>
      <c r="GC231" s="8" t="e">
        <f t="shared" si="343"/>
        <v>#N/A</v>
      </c>
      <c r="GD231" s="81" t="e">
        <f t="shared" si="344"/>
        <v>#N/A</v>
      </c>
      <c r="GE231" s="74" t="e">
        <f t="shared" si="345"/>
        <v>#N/A</v>
      </c>
      <c r="GF231" s="82" t="e">
        <f t="shared" si="346"/>
        <v>#N/A</v>
      </c>
      <c r="GG231" s="7" t="e">
        <f t="shared" si="337"/>
        <v>#N/A</v>
      </c>
      <c r="GH231" t="e">
        <f t="shared" si="347"/>
        <v>#N/A</v>
      </c>
      <c r="GI231" s="8" t="e">
        <f t="shared" si="348"/>
        <v>#N/A</v>
      </c>
      <c r="GJ231" s="8" t="e">
        <f t="shared" si="349"/>
        <v>#N/A</v>
      </c>
      <c r="GK231" s="81" t="e">
        <f t="shared" si="350"/>
        <v>#N/A</v>
      </c>
      <c r="GL231" s="81"/>
      <c r="GM231" s="81"/>
      <c r="GP231" s="32">
        <f t="shared" si="395"/>
        <v>221</v>
      </c>
      <c r="GQ231" s="32">
        <f t="shared" si="396"/>
        <v>222</v>
      </c>
      <c r="GR231" s="32">
        <f t="shared" si="397"/>
        <v>2.2038866059491378</v>
      </c>
      <c r="GS231" s="32">
        <f t="shared" si="398"/>
        <v>3.5172293628326259E-2</v>
      </c>
      <c r="GT231" s="32" t="e">
        <f t="shared" si="399"/>
        <v>#N/A</v>
      </c>
      <c r="GU231" s="32" t="e">
        <f t="shared" si="400"/>
        <v>#N/A</v>
      </c>
      <c r="GV231" s="32" t="e">
        <f t="shared" si="401"/>
        <v>#N/A</v>
      </c>
      <c r="GW231" s="32" t="b">
        <f t="shared" si="402"/>
        <v>0</v>
      </c>
      <c r="GX231" s="32" t="b">
        <f t="shared" si="403"/>
        <v>1</v>
      </c>
      <c r="GY231" s="32" t="b">
        <f t="shared" si="404"/>
        <v>1</v>
      </c>
      <c r="GZ231" s="32" t="b">
        <f t="shared" si="405"/>
        <v>0</v>
      </c>
      <c r="HA231" s="32">
        <f t="shared" si="406"/>
        <v>3.5172293628326259E-2</v>
      </c>
      <c r="HB231" s="32">
        <f t="shared" si="407"/>
        <v>3.5172293628326259E-2</v>
      </c>
      <c r="HC231" s="32" t="e">
        <f t="shared" si="408"/>
        <v>#N/A</v>
      </c>
      <c r="HD231" s="45" t="str">
        <f t="shared" si="409"/>
        <v/>
      </c>
      <c r="HJ231" s="32">
        <f t="shared" si="410"/>
        <v>221</v>
      </c>
      <c r="HK231" s="32">
        <f t="shared" si="411"/>
        <v>222</v>
      </c>
      <c r="HL231" s="32">
        <f t="shared" si="412"/>
        <v>3.4127646963932303</v>
      </c>
      <c r="HM231" s="32" t="e">
        <f t="shared" si="413"/>
        <v>#N/A</v>
      </c>
      <c r="HN231" s="32">
        <f t="shared" si="414"/>
        <v>7.645586764636743E-3</v>
      </c>
      <c r="HO231" s="32" t="e">
        <f t="shared" si="415"/>
        <v>#N/A</v>
      </c>
      <c r="HP231" s="32" t="e">
        <f t="shared" si="416"/>
        <v>#N/A</v>
      </c>
      <c r="HQ231" s="32" t="b">
        <f t="shared" si="417"/>
        <v>0</v>
      </c>
      <c r="HR231" s="32" t="b">
        <f t="shared" si="418"/>
        <v>1</v>
      </c>
      <c r="HS231" s="32" t="b">
        <f t="shared" si="419"/>
        <v>1</v>
      </c>
      <c r="HT231" s="32" t="b">
        <f t="shared" si="420"/>
        <v>0</v>
      </c>
      <c r="HU231" s="32">
        <f t="shared" si="421"/>
        <v>7.645586764636743E-3</v>
      </c>
      <c r="HV231" s="32" t="e">
        <f t="shared" si="422"/>
        <v>#N/A</v>
      </c>
      <c r="HW231" s="32">
        <f t="shared" si="423"/>
        <v>7.645586764636743E-3</v>
      </c>
      <c r="HX231" s="45" t="str">
        <f t="shared" si="424"/>
        <v/>
      </c>
    </row>
    <row r="232" spans="78:232" x14ac:dyDescent="0.2">
      <c r="BZ232" s="32">
        <f t="shared" si="351"/>
        <v>222</v>
      </c>
      <c r="CA232" s="32">
        <f>Eu_tabel_g[[#This Row],[Indeks]]+1</f>
        <v>223</v>
      </c>
      <c r="CB232" s="32">
        <f t="shared" si="352"/>
        <v>2.2278418951442376</v>
      </c>
      <c r="CC232" s="32">
        <f t="shared" si="353"/>
        <v>3.3353976175184367E-2</v>
      </c>
      <c r="CD232" s="32" t="e">
        <f t="shared" si="354"/>
        <v>#N/A</v>
      </c>
      <c r="CE232" s="32" t="e">
        <f t="shared" si="355"/>
        <v>#N/A</v>
      </c>
      <c r="CF232" s="32" t="e">
        <f t="shared" si="356"/>
        <v>#N/A</v>
      </c>
      <c r="CG232" s="32" t="b">
        <f t="shared" si="357"/>
        <v>0</v>
      </c>
      <c r="CH232" s="32" t="b">
        <f t="shared" si="358"/>
        <v>1</v>
      </c>
      <c r="CI232" s="32" t="b">
        <f t="shared" si="359"/>
        <v>1</v>
      </c>
      <c r="CJ232" s="32" t="b">
        <f t="shared" si="360"/>
        <v>0</v>
      </c>
      <c r="CK232" s="32">
        <f t="shared" si="425"/>
        <v>3.3353976175184367E-2</v>
      </c>
      <c r="CL232" s="32">
        <f t="shared" si="361"/>
        <v>3.3353976175184367E-2</v>
      </c>
      <c r="CM232" s="32" t="e">
        <f t="shared" si="362"/>
        <v>#N/A</v>
      </c>
      <c r="CN232" s="45" t="str">
        <f t="shared" si="363"/>
        <v/>
      </c>
      <c r="CO232" s="32">
        <f>_xlfn.NORM.DIST(_xlfn.NORM.INV(1-Eu_g_konfidensniveau,0,1)-Eu_tabel_g[[#This Row],[x base]],0,1,TRUE)</f>
        <v>5.3819131801990506E-5</v>
      </c>
      <c r="CP232" s="32">
        <f>1-_xlfn.NORM.DIST(_xlfn.NORM.INV(Eu_g_konfidensniveau,0,1)-Eu_tabel_g[[#This Row],[x base]],0,1,TRUE)</f>
        <v>0.72004940103926862</v>
      </c>
      <c r="CQ232" s="32">
        <f>_xlfn.NORM.DIST(_xlfn.NORM.INV((1-Eu_g_konfidensniveau)/2,0,1)-Eu_tabel_g[[#This Row],[x base]],0,1,TRUE)+1-_xlfn.NORM.DIST(_xlfn.NORM.INV(1-(1-Eu_g_konfidensniveau)/2,0,1)-Eu_tabel_g[[#This Row],[x base]],0,1,TRUE)</f>
        <v>0.60561743457312678</v>
      </c>
      <c r="CR232" s="32" t="e" cm="1">
        <f t="array" ref="CR232">IF($CR$3,INDEX(Eu_tabel_g[[#This Row],[Styrke venstre]:[Styrke tosidet]],CR$7),NA())</f>
        <v>#N/A</v>
      </c>
      <c r="CS232" s="52" t="e">
        <f>Eu_tabel_g[[#This Row],[Falsk positiv
Nulhypotese accepteres
Fejltype 1]]</f>
        <v>#N/A</v>
      </c>
      <c r="CT232" s="52" t="e">
        <f>IF(CHOOSE(CR$7,Eu_tabel_g[[#This Row],[x base]]&gt;0,Eu_tabel_g[[#This Row],[x base]]&lt;0,Eu_tabel_g[[#This Row],[x base]]=0),Eu_tabel_g[[#This Row],[Styrke, aktiv]],NA())</f>
        <v>#N/A</v>
      </c>
      <c r="CU232" s="52" t="e">
        <f>IFERROR(IF($CR$3,Eu_tabel_g[[#This Row],[Styrke, aktiv]],NA()),NA())</f>
        <v>#N/A</v>
      </c>
      <c r="CV232" s="52" t="e">
        <f>IF(ISNA(Eu_tabel_g[[#This Row],[Sand negativ
Nulhypotese afvises
Korrekt]]),NA(),IF($CR$3,1,NA()))</f>
        <v>#N/A</v>
      </c>
      <c r="CW232" s="34" t="str" cm="1">
        <f t="array" ref="CW232">_xlfn.SWITCH(BZ232,_xlfn.IFNA(CU$2,-99),CU$5,_xlfn.IFNA(CU$3,-99),CU$6,_xlfn.IFNA(CU$4,-99),CU$7,"")</f>
        <v/>
      </c>
      <c r="DA232" s="7">
        <f t="shared" si="364"/>
        <v>0.8</v>
      </c>
      <c r="DB232">
        <f>IF(ROW(Styrkeberegning_G[[#This Row],[X base venstre]])=ROW(Styrkeberegning_G[[#Headers],[X base venstre]])+1,DB$7/(DA$7/$B$67),DB231/(DA231/$B$67))</f>
        <v>-2.8015817870135784</v>
      </c>
      <c r="DC232">
        <f>Styrkeberegning_G[[#This Row],[X base venstre]]*-1</f>
        <v>2.8015817870135784</v>
      </c>
      <c r="DN232" s="32">
        <f t="shared" si="365"/>
        <v>222</v>
      </c>
      <c r="DO232" s="32">
        <f t="shared" si="366"/>
        <v>223</v>
      </c>
      <c r="DP232" s="32">
        <f t="shared" si="367"/>
        <v>27.157582789227913</v>
      </c>
      <c r="DQ232" s="32" t="e">
        <f t="shared" si="368"/>
        <v>#N/A</v>
      </c>
      <c r="DR232" s="32" t="e">
        <f t="shared" si="369"/>
        <v>#N/A</v>
      </c>
      <c r="DS232" s="32">
        <f t="shared" si="370"/>
        <v>1.5163312603205478E-3</v>
      </c>
      <c r="DT232" s="32" t="e">
        <f t="shared" si="371"/>
        <v>#N/A</v>
      </c>
      <c r="DU232" s="32" t="b">
        <f t="shared" si="372"/>
        <v>0</v>
      </c>
      <c r="DV232" s="32" t="b">
        <f t="shared" si="373"/>
        <v>1</v>
      </c>
      <c r="DW232" s="32" t="b">
        <f t="shared" si="374"/>
        <v>1</v>
      </c>
      <c r="DX232" s="32" t="b">
        <f t="shared" si="375"/>
        <v>0</v>
      </c>
      <c r="DY232" s="32">
        <f t="shared" si="376"/>
        <v>1.5163312603205478E-3</v>
      </c>
      <c r="DZ232" s="32">
        <f t="shared" si="377"/>
        <v>1.5163312603205478E-3</v>
      </c>
      <c r="EA232" s="32" t="e">
        <f t="shared" si="378"/>
        <v>#N/A</v>
      </c>
      <c r="EB232" s="45" t="str">
        <f t="shared" si="379"/>
        <v/>
      </c>
      <c r="EG232" s="32">
        <f t="shared" si="380"/>
        <v>222</v>
      </c>
      <c r="EH232" s="32">
        <f t="shared" si="381"/>
        <v>223</v>
      </c>
      <c r="EI232" s="32">
        <f t="shared" si="382"/>
        <v>2.2278418951442376</v>
      </c>
      <c r="EJ232" s="32">
        <f t="shared" si="383"/>
        <v>3.3353976175184367E-2</v>
      </c>
      <c r="EK232" s="32" t="e">
        <f t="shared" si="384"/>
        <v>#N/A</v>
      </c>
      <c r="EL232" s="32" t="e">
        <f t="shared" si="385"/>
        <v>#N/A</v>
      </c>
      <c r="EM232" s="32" t="e">
        <f t="shared" si="386"/>
        <v>#N/A</v>
      </c>
      <c r="EN232" s="32" t="b">
        <f t="shared" si="387"/>
        <v>0</v>
      </c>
      <c r="EO232" s="32" t="b">
        <f t="shared" si="388"/>
        <v>1</v>
      </c>
      <c r="EP232" s="32" t="b">
        <f t="shared" si="389"/>
        <v>1</v>
      </c>
      <c r="EQ232" s="32" t="b">
        <f t="shared" si="390"/>
        <v>0</v>
      </c>
      <c r="ER232" s="32">
        <f t="shared" si="391"/>
        <v>3.3353976175184367E-2</v>
      </c>
      <c r="ES232" s="32">
        <f t="shared" si="392"/>
        <v>3.3353976175184367E-2</v>
      </c>
      <c r="ET232" s="32" t="e">
        <f t="shared" si="393"/>
        <v>#N/A</v>
      </c>
      <c r="EU232" s="45" t="str">
        <f t="shared" si="394"/>
        <v/>
      </c>
      <c r="EV23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2" s="32" t="e" cm="1">
        <f t="array" ref="EY232">IF($CR$3,INDEX(Eu_tabel_a[[#This Row],[Styrke venstre]:[Styrke tosidet]],EY$7),NA())</f>
        <v>#N/A</v>
      </c>
      <c r="EZ232" s="32" t="e">
        <f>IF(EY$3,IF(CHOOSE(EY$7,Eu_tabel_a[[#This Row],[x base]]&gt;0,Eu_tabel_a[[#This Row],[x base]]&lt;0,Eu_tabel_a[[#This Row],[x base]]=0),1,NA()),NA())</f>
        <v>#N/A</v>
      </c>
      <c r="FA232" s="32" t="e">
        <f>IF(CHOOSE(EY$7,Eu_tabel_a[[#This Row],[x base]]&gt;0,Eu_tabel_a[[#This Row],[x base]]&lt;0,Eu_tabel_a[[#This Row],[x base]]=0),Eu_tabel_a[[#This Row],[Styrke, aktiv]],NA())</f>
        <v>#N/A</v>
      </c>
      <c r="FB232" s="32" t="e">
        <f>IFERROR(IF($EY$3,Eu_tabel_a[[#This Row],[Styrke, aktiv]],NA()),NA())</f>
        <v>#N/A</v>
      </c>
      <c r="FC232" s="32" t="e">
        <f>IF(ISNA(Eu_tabel_a[[#This Row],[Sand negativ
Nulhypotese afvises
Korrekt]]),NA(),IF(EY$3,1,NA()))</f>
        <v>#N/A</v>
      </c>
      <c r="FD232" s="33" t="str" cm="1">
        <f t="array" ref="FD232">IFERROR(_xlfn.SWITCH(Eu_tabel_a[[#This Row],[Indeks]],_xlfn.IFNA(FB$2,-99),FB$5,_xlfn.IFNA(FB$3,-99),FB$6,_xlfn.IFNA(FB$4,-99),FB$7,""),"")</f>
        <v/>
      </c>
      <c r="FE232" s="32">
        <f>Eu_tabel_a[[#This Row],[x base]]*SQRT(Eu_a_h0_x*(1-Eu_a_h0_x)/Eu_a_n_x)+Eu_a_h0_x</f>
        <v>0</v>
      </c>
      <c r="FJ232" s="74" t="e">
        <f t="shared" si="338"/>
        <v>#N/A</v>
      </c>
      <c r="FK232" s="82" t="e">
        <f t="shared" si="426"/>
        <v>#DIV/0!</v>
      </c>
      <c r="FL232" s="7" t="e">
        <f t="shared" si="332"/>
        <v>#DIV/0!</v>
      </c>
      <c r="FM232" t="e">
        <f t="shared" si="427"/>
        <v>#DIV/0!</v>
      </c>
      <c r="FN232" s="8" t="e">
        <f t="shared" si="428"/>
        <v>#DIV/0!</v>
      </c>
      <c r="FO232" s="8" t="e">
        <f t="shared" si="429"/>
        <v>#DIV/0!</v>
      </c>
      <c r="FP232" s="81" t="e">
        <f t="shared" si="430"/>
        <v>#DIV/0!</v>
      </c>
      <c r="FQ232" s="74" t="e">
        <f t="shared" ca="1" si="333"/>
        <v>#N/A</v>
      </c>
      <c r="FR232" s="82" t="e" vm="3">
        <f t="shared" ca="1" si="339"/>
        <v>#VALUE!</v>
      </c>
      <c r="FS232" s="7" t="e" vm="3">
        <f t="shared" ca="1" si="334"/>
        <v>#VALUE!</v>
      </c>
      <c r="FT232" t="e" vm="3">
        <f t="shared" ca="1" si="328"/>
        <v>#VALUE!</v>
      </c>
      <c r="FU232" s="8" t="e" vm="3">
        <f t="shared" ca="1" si="329"/>
        <v>#VALUE!</v>
      </c>
      <c r="FV232" s="8" t="e" vm="3">
        <f t="shared" ca="1" si="330"/>
        <v>#VALUE!</v>
      </c>
      <c r="FW232" s="81" t="e" vm="3">
        <f t="shared" ca="1" si="331"/>
        <v>#VALUE!</v>
      </c>
      <c r="FX232" s="74" t="e">
        <f t="shared" si="335"/>
        <v>#N/A</v>
      </c>
      <c r="FY232" s="82" t="e">
        <f t="shared" si="340"/>
        <v>#N/A</v>
      </c>
      <c r="FZ232" s="7" t="e">
        <f t="shared" si="336"/>
        <v>#N/A</v>
      </c>
      <c r="GA232" t="e">
        <f t="shared" si="341"/>
        <v>#N/A</v>
      </c>
      <c r="GB232" s="8" t="e">
        <f t="shared" si="342"/>
        <v>#N/A</v>
      </c>
      <c r="GC232" s="8" t="e">
        <f t="shared" si="343"/>
        <v>#N/A</v>
      </c>
      <c r="GD232" s="81" t="e">
        <f t="shared" si="344"/>
        <v>#N/A</v>
      </c>
      <c r="GE232" s="74" t="e">
        <f t="shared" si="345"/>
        <v>#N/A</v>
      </c>
      <c r="GF232" s="82" t="e">
        <f t="shared" si="346"/>
        <v>#N/A</v>
      </c>
      <c r="GG232" s="7" t="e">
        <f t="shared" si="337"/>
        <v>#N/A</v>
      </c>
      <c r="GH232" t="e">
        <f t="shared" si="347"/>
        <v>#N/A</v>
      </c>
      <c r="GI232" s="8" t="e">
        <f t="shared" si="348"/>
        <v>#N/A</v>
      </c>
      <c r="GJ232" s="8" t="e">
        <f t="shared" si="349"/>
        <v>#N/A</v>
      </c>
      <c r="GK232" s="81" t="e">
        <f t="shared" si="350"/>
        <v>#N/A</v>
      </c>
      <c r="GL232" s="81"/>
      <c r="GM232" s="81"/>
      <c r="GP232" s="32">
        <f t="shared" si="395"/>
        <v>222</v>
      </c>
      <c r="GQ232" s="32">
        <f t="shared" si="396"/>
        <v>223</v>
      </c>
      <c r="GR232" s="32">
        <f t="shared" si="397"/>
        <v>2.2278418951442376</v>
      </c>
      <c r="GS232" s="32">
        <f t="shared" si="398"/>
        <v>3.3353976175184367E-2</v>
      </c>
      <c r="GT232" s="32" t="e">
        <f t="shared" si="399"/>
        <v>#N/A</v>
      </c>
      <c r="GU232" s="32" t="e">
        <f t="shared" si="400"/>
        <v>#N/A</v>
      </c>
      <c r="GV232" s="32" t="e">
        <f t="shared" si="401"/>
        <v>#N/A</v>
      </c>
      <c r="GW232" s="32" t="b">
        <f t="shared" si="402"/>
        <v>0</v>
      </c>
      <c r="GX232" s="32" t="b">
        <f t="shared" si="403"/>
        <v>1</v>
      </c>
      <c r="GY232" s="32" t="b">
        <f t="shared" si="404"/>
        <v>1</v>
      </c>
      <c r="GZ232" s="32" t="b">
        <f t="shared" si="405"/>
        <v>0</v>
      </c>
      <c r="HA232" s="32">
        <f t="shared" si="406"/>
        <v>3.3353976175184367E-2</v>
      </c>
      <c r="HB232" s="32">
        <f t="shared" si="407"/>
        <v>3.3353976175184367E-2</v>
      </c>
      <c r="HC232" s="32" t="e">
        <f t="shared" si="408"/>
        <v>#N/A</v>
      </c>
      <c r="HD232" s="45" t="str">
        <f t="shared" si="409"/>
        <v/>
      </c>
      <c r="HJ232" s="32">
        <f t="shared" si="410"/>
        <v>222</v>
      </c>
      <c r="HK232" s="32">
        <f t="shared" si="411"/>
        <v>223</v>
      </c>
      <c r="HL232" s="32">
        <f t="shared" si="412"/>
        <v>3.449859964832287</v>
      </c>
      <c r="HM232" s="32" t="e">
        <f t="shared" si="413"/>
        <v>#N/A</v>
      </c>
      <c r="HN232" s="32">
        <f t="shared" si="414"/>
        <v>7.2419422765507679E-3</v>
      </c>
      <c r="HO232" s="32" t="e">
        <f t="shared" si="415"/>
        <v>#N/A</v>
      </c>
      <c r="HP232" s="32" t="e">
        <f t="shared" si="416"/>
        <v>#N/A</v>
      </c>
      <c r="HQ232" s="32" t="b">
        <f t="shared" si="417"/>
        <v>0</v>
      </c>
      <c r="HR232" s="32" t="b">
        <f t="shared" si="418"/>
        <v>1</v>
      </c>
      <c r="HS232" s="32" t="b">
        <f t="shared" si="419"/>
        <v>1</v>
      </c>
      <c r="HT232" s="32" t="b">
        <f t="shared" si="420"/>
        <v>0</v>
      </c>
      <c r="HU232" s="32">
        <f t="shared" si="421"/>
        <v>7.2419422765507679E-3</v>
      </c>
      <c r="HV232" s="32" t="e">
        <f t="shared" si="422"/>
        <v>#N/A</v>
      </c>
      <c r="HW232" s="32">
        <f t="shared" si="423"/>
        <v>7.2419422765507679E-3</v>
      </c>
      <c r="HX232" s="45" t="str">
        <f t="shared" si="424"/>
        <v/>
      </c>
    </row>
    <row r="233" spans="78:232" x14ac:dyDescent="0.2">
      <c r="BZ233" s="32">
        <f t="shared" si="351"/>
        <v>223</v>
      </c>
      <c r="CA233" s="32">
        <f>Eu_tabel_g[[#This Row],[Indeks]]+1</f>
        <v>224</v>
      </c>
      <c r="CB233" s="32">
        <f t="shared" si="352"/>
        <v>2.2517971843393365</v>
      </c>
      <c r="CC233" s="32">
        <f t="shared" si="353"/>
        <v>3.161151541500333E-2</v>
      </c>
      <c r="CD233" s="32" t="e">
        <f t="shared" si="354"/>
        <v>#N/A</v>
      </c>
      <c r="CE233" s="32" t="e">
        <f t="shared" si="355"/>
        <v>#N/A</v>
      </c>
      <c r="CF233" s="32" t="e">
        <f t="shared" si="356"/>
        <v>#N/A</v>
      </c>
      <c r="CG233" s="32" t="b">
        <f t="shared" si="357"/>
        <v>0</v>
      </c>
      <c r="CH233" s="32" t="b">
        <f t="shared" si="358"/>
        <v>1</v>
      </c>
      <c r="CI233" s="32" t="b">
        <f t="shared" si="359"/>
        <v>1</v>
      </c>
      <c r="CJ233" s="32" t="b">
        <f t="shared" si="360"/>
        <v>0</v>
      </c>
      <c r="CK233" s="32">
        <f t="shared" si="425"/>
        <v>3.161151541500333E-2</v>
      </c>
      <c r="CL233" s="32">
        <f t="shared" si="361"/>
        <v>3.161151541500333E-2</v>
      </c>
      <c r="CM233" s="32" t="e">
        <f t="shared" si="362"/>
        <v>#N/A</v>
      </c>
      <c r="CN233" s="45" t="str">
        <f t="shared" si="363"/>
        <v/>
      </c>
      <c r="CO233" s="32">
        <f>_xlfn.NORM.DIST(_xlfn.NORM.INV(1-Eu_g_konfidensniveau,0,1)-Eu_tabel_g[[#This Row],[x base]],0,1,TRUE)</f>
        <v>4.8766041650325435E-5</v>
      </c>
      <c r="CP233" s="32">
        <f>1-_xlfn.NORM.DIST(_xlfn.NORM.INV(Eu_g_konfidensniveau,0,1)-Eu_tabel_g[[#This Row],[x base]],0,1,TRUE)</f>
        <v>0.72805581482902693</v>
      </c>
      <c r="CQ233" s="32">
        <f>_xlfn.NORM.DIST(_xlfn.NORM.INV((1-Eu_g_konfidensniveau)/2,0,1)-Eu_tabel_g[[#This Row],[x base]],0,1,TRUE)+1-_xlfn.NORM.DIST(_xlfn.NORM.INV(1-(1-Eu_g_konfidensniveau)/2,0,1)-Eu_tabel_g[[#This Row],[x base]],0,1,TRUE)</f>
        <v>0.61480558944640129</v>
      </c>
      <c r="CR233" s="32" t="e" cm="1">
        <f t="array" ref="CR233">IF($CR$3,INDEX(Eu_tabel_g[[#This Row],[Styrke venstre]:[Styrke tosidet]],CR$7),NA())</f>
        <v>#N/A</v>
      </c>
      <c r="CS233" s="52" t="e">
        <f>Eu_tabel_g[[#This Row],[Falsk positiv
Nulhypotese accepteres
Fejltype 1]]</f>
        <v>#N/A</v>
      </c>
      <c r="CT233" s="52" t="e">
        <f>IF(CHOOSE(CR$7,Eu_tabel_g[[#This Row],[x base]]&gt;0,Eu_tabel_g[[#This Row],[x base]]&lt;0,Eu_tabel_g[[#This Row],[x base]]=0),Eu_tabel_g[[#This Row],[Styrke, aktiv]],NA())</f>
        <v>#N/A</v>
      </c>
      <c r="CU233" s="52" t="e">
        <f>IFERROR(IF($CR$3,Eu_tabel_g[[#This Row],[Styrke, aktiv]],NA()),NA())</f>
        <v>#N/A</v>
      </c>
      <c r="CV233" s="52" t="e">
        <f>IF(ISNA(Eu_tabel_g[[#This Row],[Sand negativ
Nulhypotese afvises
Korrekt]]),NA(),IF($CR$3,1,NA()))</f>
        <v>#N/A</v>
      </c>
      <c r="CW233" s="34" t="str" cm="1">
        <f t="array" ref="CW233">_xlfn.SWITCH(BZ233,_xlfn.IFNA(CU$2,-99),CU$5,_xlfn.IFNA(CU$3,-99),CU$6,_xlfn.IFNA(CU$4,-99),CU$7,"")</f>
        <v/>
      </c>
      <c r="DA233" s="7">
        <f t="shared" si="364"/>
        <v>0.8</v>
      </c>
      <c r="DB233">
        <f>IF(ROW(Styrkeberegning_G[[#This Row],[X base venstre]])=ROW(Styrkeberegning_G[[#Headers],[X base venstre]])+1,DB$7/(DA$7/$B$67),DB232/(DA232/$B$67))</f>
        <v>-2.8015817870135784</v>
      </c>
      <c r="DC233">
        <f>Styrkeberegning_G[[#This Row],[X base venstre]]*-1</f>
        <v>2.8015817870135784</v>
      </c>
      <c r="DN233" s="32">
        <f t="shared" si="365"/>
        <v>223</v>
      </c>
      <c r="DO233" s="32">
        <f t="shared" si="366"/>
        <v>224</v>
      </c>
      <c r="DP233" s="32">
        <f t="shared" si="367"/>
        <v>27.271653645644914</v>
      </c>
      <c r="DQ233" s="32" t="e">
        <f t="shared" si="368"/>
        <v>#N/A</v>
      </c>
      <c r="DR233" s="32" t="e">
        <f t="shared" si="369"/>
        <v>#N/A</v>
      </c>
      <c r="DS233" s="32">
        <f t="shared" si="370"/>
        <v>1.4595384445448083E-3</v>
      </c>
      <c r="DT233" s="32" t="e">
        <f t="shared" si="371"/>
        <v>#N/A</v>
      </c>
      <c r="DU233" s="32" t="b">
        <f t="shared" si="372"/>
        <v>0</v>
      </c>
      <c r="DV233" s="32" t="b">
        <f t="shared" si="373"/>
        <v>1</v>
      </c>
      <c r="DW233" s="32" t="b">
        <f t="shared" si="374"/>
        <v>1</v>
      </c>
      <c r="DX233" s="32" t="b">
        <f t="shared" si="375"/>
        <v>0</v>
      </c>
      <c r="DY233" s="32">
        <f t="shared" si="376"/>
        <v>1.4595384445448083E-3</v>
      </c>
      <c r="DZ233" s="32">
        <f t="shared" si="377"/>
        <v>1.4595384445448083E-3</v>
      </c>
      <c r="EA233" s="32" t="e">
        <f t="shared" si="378"/>
        <v>#N/A</v>
      </c>
      <c r="EB233" s="45" t="str">
        <f t="shared" si="379"/>
        <v/>
      </c>
      <c r="EG233" s="32">
        <f t="shared" si="380"/>
        <v>223</v>
      </c>
      <c r="EH233" s="32">
        <f t="shared" si="381"/>
        <v>224</v>
      </c>
      <c r="EI233" s="32">
        <f t="shared" si="382"/>
        <v>2.2517971843393365</v>
      </c>
      <c r="EJ233" s="32">
        <f t="shared" si="383"/>
        <v>3.161151541500333E-2</v>
      </c>
      <c r="EK233" s="32" t="e">
        <f t="shared" si="384"/>
        <v>#N/A</v>
      </c>
      <c r="EL233" s="32" t="e">
        <f t="shared" si="385"/>
        <v>#N/A</v>
      </c>
      <c r="EM233" s="32" t="e">
        <f t="shared" si="386"/>
        <v>#N/A</v>
      </c>
      <c r="EN233" s="32" t="b">
        <f t="shared" si="387"/>
        <v>0</v>
      </c>
      <c r="EO233" s="32" t="b">
        <f t="shared" si="388"/>
        <v>1</v>
      </c>
      <c r="EP233" s="32" t="b">
        <f t="shared" si="389"/>
        <v>1</v>
      </c>
      <c r="EQ233" s="32" t="b">
        <f t="shared" si="390"/>
        <v>0</v>
      </c>
      <c r="ER233" s="32">
        <f t="shared" si="391"/>
        <v>3.161151541500333E-2</v>
      </c>
      <c r="ES233" s="32">
        <f t="shared" si="392"/>
        <v>3.161151541500333E-2</v>
      </c>
      <c r="ET233" s="32" t="e">
        <f t="shared" si="393"/>
        <v>#N/A</v>
      </c>
      <c r="EU233" s="45" t="str">
        <f t="shared" si="394"/>
        <v/>
      </c>
      <c r="EV23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3" s="32" t="e" cm="1">
        <f t="array" ref="EY233">IF($CR$3,INDEX(Eu_tabel_a[[#This Row],[Styrke venstre]:[Styrke tosidet]],EY$7),NA())</f>
        <v>#N/A</v>
      </c>
      <c r="EZ233" s="32" t="e">
        <f>IF(EY$3,IF(CHOOSE(EY$7,Eu_tabel_a[[#This Row],[x base]]&gt;0,Eu_tabel_a[[#This Row],[x base]]&lt;0,Eu_tabel_a[[#This Row],[x base]]=0),1,NA()),NA())</f>
        <v>#N/A</v>
      </c>
      <c r="FA233" s="32" t="e">
        <f>IF(CHOOSE(EY$7,Eu_tabel_a[[#This Row],[x base]]&gt;0,Eu_tabel_a[[#This Row],[x base]]&lt;0,Eu_tabel_a[[#This Row],[x base]]=0),Eu_tabel_a[[#This Row],[Styrke, aktiv]],NA())</f>
        <v>#N/A</v>
      </c>
      <c r="FB233" s="32" t="e">
        <f>IFERROR(IF($EY$3,Eu_tabel_a[[#This Row],[Styrke, aktiv]],NA()),NA())</f>
        <v>#N/A</v>
      </c>
      <c r="FC233" s="32" t="e">
        <f>IF(ISNA(Eu_tabel_a[[#This Row],[Sand negativ
Nulhypotese afvises
Korrekt]]),NA(),IF(EY$3,1,NA()))</f>
        <v>#N/A</v>
      </c>
      <c r="FD233" s="33" t="str" cm="1">
        <f t="array" ref="FD233">IFERROR(_xlfn.SWITCH(Eu_tabel_a[[#This Row],[Indeks]],_xlfn.IFNA(FB$2,-99),FB$5,_xlfn.IFNA(FB$3,-99),FB$6,_xlfn.IFNA(FB$4,-99),FB$7,""),"")</f>
        <v/>
      </c>
      <c r="FE233" s="32">
        <f>Eu_tabel_a[[#This Row],[x base]]*SQRT(Eu_a_h0_x*(1-Eu_a_h0_x)/Eu_a_n_x)+Eu_a_h0_x</f>
        <v>0</v>
      </c>
      <c r="FJ233" s="74" t="e">
        <f t="shared" si="338"/>
        <v>#N/A</v>
      </c>
      <c r="FK233" s="82" t="e">
        <f t="shared" si="426"/>
        <v>#DIV/0!</v>
      </c>
      <c r="FL233" s="7" t="e">
        <f t="shared" si="332"/>
        <v>#DIV/0!</v>
      </c>
      <c r="FM233" t="e">
        <f t="shared" si="427"/>
        <v>#DIV/0!</v>
      </c>
      <c r="FN233" s="8" t="e">
        <f t="shared" si="428"/>
        <v>#DIV/0!</v>
      </c>
      <c r="FO233" s="8" t="e">
        <f t="shared" si="429"/>
        <v>#DIV/0!</v>
      </c>
      <c r="FP233" s="81" t="e">
        <f t="shared" si="430"/>
        <v>#DIV/0!</v>
      </c>
      <c r="FQ233" s="74" t="e">
        <f t="shared" ca="1" si="333"/>
        <v>#N/A</v>
      </c>
      <c r="FR233" s="82" t="e" vm="3">
        <f t="shared" ca="1" si="339"/>
        <v>#VALUE!</v>
      </c>
      <c r="FS233" s="7" t="e" vm="3">
        <f t="shared" ca="1" si="334"/>
        <v>#VALUE!</v>
      </c>
      <c r="FT233" t="e" vm="3">
        <f t="shared" ca="1" si="328"/>
        <v>#VALUE!</v>
      </c>
      <c r="FU233" s="8" t="e" vm="3">
        <f t="shared" ca="1" si="329"/>
        <v>#VALUE!</v>
      </c>
      <c r="FV233" s="8" t="e" vm="3">
        <f t="shared" ca="1" si="330"/>
        <v>#VALUE!</v>
      </c>
      <c r="FW233" s="81" t="e" vm="3">
        <f t="shared" ca="1" si="331"/>
        <v>#VALUE!</v>
      </c>
      <c r="FX233" s="74" t="e">
        <f t="shared" si="335"/>
        <v>#N/A</v>
      </c>
      <c r="FY233" s="82" t="e">
        <f t="shared" si="340"/>
        <v>#N/A</v>
      </c>
      <c r="FZ233" s="7" t="e">
        <f t="shared" si="336"/>
        <v>#N/A</v>
      </c>
      <c r="GA233" t="e">
        <f t="shared" si="341"/>
        <v>#N/A</v>
      </c>
      <c r="GB233" s="8" t="e">
        <f t="shared" si="342"/>
        <v>#N/A</v>
      </c>
      <c r="GC233" s="8" t="e">
        <f t="shared" si="343"/>
        <v>#N/A</v>
      </c>
      <c r="GD233" s="81" t="e">
        <f t="shared" si="344"/>
        <v>#N/A</v>
      </c>
      <c r="GE233" s="74" t="e">
        <f t="shared" si="345"/>
        <v>#N/A</v>
      </c>
      <c r="GF233" s="82" t="e">
        <f t="shared" si="346"/>
        <v>#N/A</v>
      </c>
      <c r="GG233" s="7" t="e">
        <f t="shared" si="337"/>
        <v>#N/A</v>
      </c>
      <c r="GH233" t="e">
        <f t="shared" si="347"/>
        <v>#N/A</v>
      </c>
      <c r="GI233" s="8" t="e">
        <f t="shared" si="348"/>
        <v>#N/A</v>
      </c>
      <c r="GJ233" s="8" t="e">
        <f t="shared" si="349"/>
        <v>#N/A</v>
      </c>
      <c r="GK233" s="81" t="e">
        <f t="shared" si="350"/>
        <v>#N/A</v>
      </c>
      <c r="GL233" s="81"/>
      <c r="GM233" s="81"/>
      <c r="GP233" s="32">
        <f t="shared" si="395"/>
        <v>223</v>
      </c>
      <c r="GQ233" s="32">
        <f t="shared" si="396"/>
        <v>224</v>
      </c>
      <c r="GR233" s="32">
        <f t="shared" si="397"/>
        <v>2.2517971843393365</v>
      </c>
      <c r="GS233" s="32">
        <f t="shared" si="398"/>
        <v>3.161151541500333E-2</v>
      </c>
      <c r="GT233" s="32" t="e">
        <f t="shared" si="399"/>
        <v>#N/A</v>
      </c>
      <c r="GU233" s="32" t="e">
        <f t="shared" si="400"/>
        <v>#N/A</v>
      </c>
      <c r="GV233" s="32" t="e">
        <f t="shared" si="401"/>
        <v>#N/A</v>
      </c>
      <c r="GW233" s="32" t="b">
        <f t="shared" si="402"/>
        <v>0</v>
      </c>
      <c r="GX233" s="32" t="b">
        <f t="shared" si="403"/>
        <v>1</v>
      </c>
      <c r="GY233" s="32" t="b">
        <f t="shared" si="404"/>
        <v>1</v>
      </c>
      <c r="GZ233" s="32" t="b">
        <f t="shared" si="405"/>
        <v>0</v>
      </c>
      <c r="HA233" s="32">
        <f t="shared" si="406"/>
        <v>3.161151541500333E-2</v>
      </c>
      <c r="HB233" s="32">
        <f t="shared" si="407"/>
        <v>3.161151541500333E-2</v>
      </c>
      <c r="HC233" s="32" t="e">
        <f t="shared" si="408"/>
        <v>#N/A</v>
      </c>
      <c r="HD233" s="45" t="str">
        <f t="shared" si="409"/>
        <v/>
      </c>
      <c r="HJ233" s="32">
        <f t="shared" si="410"/>
        <v>223</v>
      </c>
      <c r="HK233" s="32">
        <f t="shared" si="411"/>
        <v>224</v>
      </c>
      <c r="HL233" s="32">
        <f t="shared" si="412"/>
        <v>3.4869552332713436</v>
      </c>
      <c r="HM233" s="32" t="e">
        <f t="shared" si="413"/>
        <v>#N/A</v>
      </c>
      <c r="HN233" s="32">
        <f t="shared" si="414"/>
        <v>6.8606439370502287E-3</v>
      </c>
      <c r="HO233" s="32" t="e">
        <f t="shared" si="415"/>
        <v>#N/A</v>
      </c>
      <c r="HP233" s="32" t="e">
        <f t="shared" si="416"/>
        <v>#N/A</v>
      </c>
      <c r="HQ233" s="32" t="b">
        <f t="shared" si="417"/>
        <v>0</v>
      </c>
      <c r="HR233" s="32" t="b">
        <f t="shared" si="418"/>
        <v>1</v>
      </c>
      <c r="HS233" s="32" t="b">
        <f t="shared" si="419"/>
        <v>1</v>
      </c>
      <c r="HT233" s="32" t="b">
        <f t="shared" si="420"/>
        <v>0</v>
      </c>
      <c r="HU233" s="32">
        <f t="shared" si="421"/>
        <v>6.8606439370502287E-3</v>
      </c>
      <c r="HV233" s="32" t="e">
        <f t="shared" si="422"/>
        <v>#N/A</v>
      </c>
      <c r="HW233" s="32">
        <f t="shared" si="423"/>
        <v>6.8606439370502287E-3</v>
      </c>
      <c r="HX233" s="45" t="str">
        <f t="shared" si="424"/>
        <v/>
      </c>
    </row>
    <row r="234" spans="78:232" x14ac:dyDescent="0.2">
      <c r="BZ234" s="32">
        <f t="shared" si="351"/>
        <v>224</v>
      </c>
      <c r="CA234" s="32">
        <f>Eu_tabel_g[[#This Row],[Indeks]]+1</f>
        <v>225</v>
      </c>
      <c r="CB234" s="32">
        <f t="shared" si="352"/>
        <v>2.2757524735344363</v>
      </c>
      <c r="CC234" s="32">
        <f t="shared" si="353"/>
        <v>2.9942895529230493E-2</v>
      </c>
      <c r="CD234" s="32" t="e">
        <f t="shared" si="354"/>
        <v>#N/A</v>
      </c>
      <c r="CE234" s="32" t="e">
        <f t="shared" si="355"/>
        <v>#N/A</v>
      </c>
      <c r="CF234" s="32" t="e">
        <f t="shared" si="356"/>
        <v>#N/A</v>
      </c>
      <c r="CG234" s="32" t="b">
        <f t="shared" si="357"/>
        <v>0</v>
      </c>
      <c r="CH234" s="32" t="b">
        <f t="shared" si="358"/>
        <v>1</v>
      </c>
      <c r="CI234" s="32" t="b">
        <f t="shared" si="359"/>
        <v>1</v>
      </c>
      <c r="CJ234" s="32" t="b">
        <f t="shared" si="360"/>
        <v>0</v>
      </c>
      <c r="CK234" s="32">
        <f t="shared" si="425"/>
        <v>2.9942895529230493E-2</v>
      </c>
      <c r="CL234" s="32">
        <f t="shared" si="361"/>
        <v>2.9942895529230493E-2</v>
      </c>
      <c r="CM234" s="32" t="e">
        <f t="shared" si="362"/>
        <v>#N/A</v>
      </c>
      <c r="CN234" s="45" t="str">
        <f t="shared" si="363"/>
        <v/>
      </c>
      <c r="CO234" s="32">
        <f>_xlfn.NORM.DIST(_xlfn.NORM.INV(1-Eu_g_konfidensniveau,0,1)-Eu_tabel_g[[#This Row],[x base]],0,1,TRUE)</f>
        <v>4.4163268256781084E-5</v>
      </c>
      <c r="CP234" s="32">
        <f>1-_xlfn.NORM.DIST(_xlfn.NORM.INV(Eu_g_konfidensniveau,0,1)-Eu_tabel_g[[#This Row],[x base]],0,1,TRUE)</f>
        <v>0.73594666696484901</v>
      </c>
      <c r="CQ234" s="32">
        <f>_xlfn.NORM.DIST(_xlfn.NORM.INV((1-Eu_g_konfidensniveau)/2,0,1)-Eu_tabel_g[[#This Row],[x base]],0,1,TRUE)+1-_xlfn.NORM.DIST(_xlfn.NORM.INV(1-(1-Eu_g_konfidensniveau)/2,0,1)-Eu_tabel_g[[#This Row],[x base]],0,1,TRUE)</f>
        <v>0.62392986328924083</v>
      </c>
      <c r="CR234" s="32" t="e" cm="1">
        <f t="array" ref="CR234">IF($CR$3,INDEX(Eu_tabel_g[[#This Row],[Styrke venstre]:[Styrke tosidet]],CR$7),NA())</f>
        <v>#N/A</v>
      </c>
      <c r="CS234" s="52" t="e">
        <f>Eu_tabel_g[[#This Row],[Falsk positiv
Nulhypotese accepteres
Fejltype 1]]</f>
        <v>#N/A</v>
      </c>
      <c r="CT234" s="52" t="e">
        <f>IF(CHOOSE(CR$7,Eu_tabel_g[[#This Row],[x base]]&gt;0,Eu_tabel_g[[#This Row],[x base]]&lt;0,Eu_tabel_g[[#This Row],[x base]]=0),Eu_tabel_g[[#This Row],[Styrke, aktiv]],NA())</f>
        <v>#N/A</v>
      </c>
      <c r="CU234" s="52" t="e">
        <f>IFERROR(IF($CR$3,Eu_tabel_g[[#This Row],[Styrke, aktiv]],NA()),NA())</f>
        <v>#N/A</v>
      </c>
      <c r="CV234" s="52" t="e">
        <f>IF(ISNA(Eu_tabel_g[[#This Row],[Sand negativ
Nulhypotese afvises
Korrekt]]),NA(),IF($CR$3,1,NA()))</f>
        <v>#N/A</v>
      </c>
      <c r="CW234" s="34" t="str" cm="1">
        <f t="array" ref="CW234">_xlfn.SWITCH(BZ234,_xlfn.IFNA(CU$2,-99),CU$5,_xlfn.IFNA(CU$3,-99),CU$6,_xlfn.IFNA(CU$4,-99),CU$7,"")</f>
        <v/>
      </c>
      <c r="DA234" s="7">
        <f t="shared" si="364"/>
        <v>0.8</v>
      </c>
      <c r="DB234">
        <f>IF(ROW(Styrkeberegning_G[[#This Row],[X base venstre]])=ROW(Styrkeberegning_G[[#Headers],[X base venstre]])+1,DB$7/(DA$7/$B$67),DB233/(DA233/$B$67))</f>
        <v>-2.8015817870135784</v>
      </c>
      <c r="DC234">
        <f>Styrkeberegning_G[[#This Row],[X base venstre]]*-1</f>
        <v>2.8015817870135784</v>
      </c>
      <c r="DN234" s="32">
        <f t="shared" si="365"/>
        <v>224</v>
      </c>
      <c r="DO234" s="32">
        <f t="shared" si="366"/>
        <v>225</v>
      </c>
      <c r="DP234" s="32">
        <f t="shared" si="367"/>
        <v>27.385724502061915</v>
      </c>
      <c r="DQ234" s="32" t="e">
        <f t="shared" si="368"/>
        <v>#N/A</v>
      </c>
      <c r="DR234" s="32" t="e">
        <f t="shared" si="369"/>
        <v>#N/A</v>
      </c>
      <c r="DS234" s="32">
        <f t="shared" si="370"/>
        <v>1.4047621503929077E-3</v>
      </c>
      <c r="DT234" s="32" t="e">
        <f t="shared" si="371"/>
        <v>#N/A</v>
      </c>
      <c r="DU234" s="32" t="b">
        <f t="shared" si="372"/>
        <v>0</v>
      </c>
      <c r="DV234" s="32" t="b">
        <f t="shared" si="373"/>
        <v>1</v>
      </c>
      <c r="DW234" s="32" t="b">
        <f t="shared" si="374"/>
        <v>1</v>
      </c>
      <c r="DX234" s="32" t="b">
        <f t="shared" si="375"/>
        <v>0</v>
      </c>
      <c r="DY234" s="32">
        <f t="shared" si="376"/>
        <v>1.4047621503929077E-3</v>
      </c>
      <c r="DZ234" s="32">
        <f t="shared" si="377"/>
        <v>1.4047621503929077E-3</v>
      </c>
      <c r="EA234" s="32" t="e">
        <f t="shared" si="378"/>
        <v>#N/A</v>
      </c>
      <c r="EB234" s="45" t="str">
        <f t="shared" si="379"/>
        <v/>
      </c>
      <c r="EG234" s="32">
        <f t="shared" si="380"/>
        <v>224</v>
      </c>
      <c r="EH234" s="32">
        <f t="shared" si="381"/>
        <v>225</v>
      </c>
      <c r="EI234" s="32">
        <f t="shared" si="382"/>
        <v>2.2757524735344363</v>
      </c>
      <c r="EJ234" s="32">
        <f t="shared" si="383"/>
        <v>2.9942895529230493E-2</v>
      </c>
      <c r="EK234" s="32" t="e">
        <f t="shared" si="384"/>
        <v>#N/A</v>
      </c>
      <c r="EL234" s="32" t="e">
        <f t="shared" si="385"/>
        <v>#N/A</v>
      </c>
      <c r="EM234" s="32" t="e">
        <f t="shared" si="386"/>
        <v>#N/A</v>
      </c>
      <c r="EN234" s="32" t="b">
        <f t="shared" si="387"/>
        <v>0</v>
      </c>
      <c r="EO234" s="32" t="b">
        <f t="shared" si="388"/>
        <v>1</v>
      </c>
      <c r="EP234" s="32" t="b">
        <f t="shared" si="389"/>
        <v>1</v>
      </c>
      <c r="EQ234" s="32" t="b">
        <f t="shared" si="390"/>
        <v>0</v>
      </c>
      <c r="ER234" s="32">
        <f t="shared" si="391"/>
        <v>2.9942895529230493E-2</v>
      </c>
      <c r="ES234" s="32">
        <f t="shared" si="392"/>
        <v>2.9942895529230493E-2</v>
      </c>
      <c r="ET234" s="32" t="e">
        <f t="shared" si="393"/>
        <v>#N/A</v>
      </c>
      <c r="EU234" s="45" t="str">
        <f t="shared" si="394"/>
        <v/>
      </c>
      <c r="EV23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4" s="32" t="e" cm="1">
        <f t="array" ref="EY234">IF($CR$3,INDEX(Eu_tabel_a[[#This Row],[Styrke venstre]:[Styrke tosidet]],EY$7),NA())</f>
        <v>#N/A</v>
      </c>
      <c r="EZ234" s="32" t="e">
        <f>IF(EY$3,IF(CHOOSE(EY$7,Eu_tabel_a[[#This Row],[x base]]&gt;0,Eu_tabel_a[[#This Row],[x base]]&lt;0,Eu_tabel_a[[#This Row],[x base]]=0),1,NA()),NA())</f>
        <v>#N/A</v>
      </c>
      <c r="FA234" s="32" t="e">
        <f>IF(CHOOSE(EY$7,Eu_tabel_a[[#This Row],[x base]]&gt;0,Eu_tabel_a[[#This Row],[x base]]&lt;0,Eu_tabel_a[[#This Row],[x base]]=0),Eu_tabel_a[[#This Row],[Styrke, aktiv]],NA())</f>
        <v>#N/A</v>
      </c>
      <c r="FB234" s="32" t="e">
        <f>IFERROR(IF($EY$3,Eu_tabel_a[[#This Row],[Styrke, aktiv]],NA()),NA())</f>
        <v>#N/A</v>
      </c>
      <c r="FC234" s="32" t="e">
        <f>IF(ISNA(Eu_tabel_a[[#This Row],[Sand negativ
Nulhypotese afvises
Korrekt]]),NA(),IF(EY$3,1,NA()))</f>
        <v>#N/A</v>
      </c>
      <c r="FD234" s="33" t="str" cm="1">
        <f t="array" ref="FD234">IFERROR(_xlfn.SWITCH(Eu_tabel_a[[#This Row],[Indeks]],_xlfn.IFNA(FB$2,-99),FB$5,_xlfn.IFNA(FB$3,-99),FB$6,_xlfn.IFNA(FB$4,-99),FB$7,""),"")</f>
        <v/>
      </c>
      <c r="FE234" s="32">
        <f>Eu_tabel_a[[#This Row],[x base]]*SQRT(Eu_a_h0_x*(1-Eu_a_h0_x)/Eu_a_n_x)+Eu_a_h0_x</f>
        <v>0</v>
      </c>
      <c r="FJ234" s="74" t="e">
        <f t="shared" si="338"/>
        <v>#N/A</v>
      </c>
      <c r="FK234" s="82" t="e">
        <f t="shared" si="426"/>
        <v>#DIV/0!</v>
      </c>
      <c r="FL234" s="7" t="e">
        <f t="shared" si="332"/>
        <v>#DIV/0!</v>
      </c>
      <c r="FM234" t="e">
        <f t="shared" si="427"/>
        <v>#DIV/0!</v>
      </c>
      <c r="FN234" s="8" t="e">
        <f t="shared" si="428"/>
        <v>#DIV/0!</v>
      </c>
      <c r="FO234" s="8" t="e">
        <f t="shared" si="429"/>
        <v>#DIV/0!</v>
      </c>
      <c r="FP234" s="81" t="e">
        <f t="shared" si="430"/>
        <v>#DIV/0!</v>
      </c>
      <c r="FQ234" s="74" t="e">
        <f t="shared" ca="1" si="333"/>
        <v>#N/A</v>
      </c>
      <c r="FR234" s="82" t="e" vm="3">
        <f t="shared" ca="1" si="339"/>
        <v>#VALUE!</v>
      </c>
      <c r="FS234" s="7" t="e" vm="3">
        <f t="shared" ca="1" si="334"/>
        <v>#VALUE!</v>
      </c>
      <c r="FT234" t="e" vm="3">
        <f t="shared" ca="1" si="328"/>
        <v>#VALUE!</v>
      </c>
      <c r="FU234" s="8" t="e" vm="3">
        <f t="shared" ca="1" si="329"/>
        <v>#VALUE!</v>
      </c>
      <c r="FV234" s="8" t="e" vm="3">
        <f t="shared" ca="1" si="330"/>
        <v>#VALUE!</v>
      </c>
      <c r="FW234" s="81" t="e" vm="3">
        <f t="shared" ca="1" si="331"/>
        <v>#VALUE!</v>
      </c>
      <c r="FX234" s="74" t="e">
        <f t="shared" si="335"/>
        <v>#N/A</v>
      </c>
      <c r="FY234" s="82" t="e">
        <f t="shared" si="340"/>
        <v>#N/A</v>
      </c>
      <c r="FZ234" s="7" t="e">
        <f t="shared" si="336"/>
        <v>#N/A</v>
      </c>
      <c r="GA234" t="e">
        <f t="shared" si="341"/>
        <v>#N/A</v>
      </c>
      <c r="GB234" s="8" t="e">
        <f t="shared" si="342"/>
        <v>#N/A</v>
      </c>
      <c r="GC234" s="8" t="e">
        <f t="shared" si="343"/>
        <v>#N/A</v>
      </c>
      <c r="GD234" s="81" t="e">
        <f t="shared" si="344"/>
        <v>#N/A</v>
      </c>
      <c r="GE234" s="74" t="e">
        <f t="shared" si="345"/>
        <v>#N/A</v>
      </c>
      <c r="GF234" s="82" t="e">
        <f t="shared" si="346"/>
        <v>#N/A</v>
      </c>
      <c r="GG234" s="7" t="e">
        <f t="shared" si="337"/>
        <v>#N/A</v>
      </c>
      <c r="GH234" t="e">
        <f t="shared" si="347"/>
        <v>#N/A</v>
      </c>
      <c r="GI234" s="8" t="e">
        <f t="shared" si="348"/>
        <v>#N/A</v>
      </c>
      <c r="GJ234" s="8" t="e">
        <f t="shared" si="349"/>
        <v>#N/A</v>
      </c>
      <c r="GK234" s="81" t="e">
        <f t="shared" si="350"/>
        <v>#N/A</v>
      </c>
      <c r="GL234" s="81"/>
      <c r="GM234" s="81"/>
      <c r="GP234" s="32">
        <f t="shared" si="395"/>
        <v>224</v>
      </c>
      <c r="GQ234" s="32">
        <f t="shared" si="396"/>
        <v>225</v>
      </c>
      <c r="GR234" s="32">
        <f t="shared" si="397"/>
        <v>2.2757524735344363</v>
      </c>
      <c r="GS234" s="32">
        <f t="shared" si="398"/>
        <v>2.9942895529230493E-2</v>
      </c>
      <c r="GT234" s="32" t="e">
        <f t="shared" si="399"/>
        <v>#N/A</v>
      </c>
      <c r="GU234" s="32" t="e">
        <f t="shared" si="400"/>
        <v>#N/A</v>
      </c>
      <c r="GV234" s="32" t="e">
        <f t="shared" si="401"/>
        <v>#N/A</v>
      </c>
      <c r="GW234" s="32" t="b">
        <f t="shared" si="402"/>
        <v>0</v>
      </c>
      <c r="GX234" s="32" t="b">
        <f t="shared" si="403"/>
        <v>1</v>
      </c>
      <c r="GY234" s="32" t="b">
        <f t="shared" si="404"/>
        <v>1</v>
      </c>
      <c r="GZ234" s="32" t="b">
        <f t="shared" si="405"/>
        <v>0</v>
      </c>
      <c r="HA234" s="32">
        <f t="shared" si="406"/>
        <v>2.9942895529230493E-2</v>
      </c>
      <c r="HB234" s="32">
        <f t="shared" si="407"/>
        <v>2.9942895529230493E-2</v>
      </c>
      <c r="HC234" s="32" t="e">
        <f t="shared" si="408"/>
        <v>#N/A</v>
      </c>
      <c r="HD234" s="45" t="str">
        <f t="shared" si="409"/>
        <v/>
      </c>
      <c r="HJ234" s="32">
        <f t="shared" si="410"/>
        <v>224</v>
      </c>
      <c r="HK234" s="32">
        <f t="shared" si="411"/>
        <v>225</v>
      </c>
      <c r="HL234" s="32">
        <f t="shared" si="412"/>
        <v>3.5240505017104002</v>
      </c>
      <c r="HM234" s="32" t="e">
        <f t="shared" si="413"/>
        <v>#N/A</v>
      </c>
      <c r="HN234" s="32">
        <f t="shared" si="414"/>
        <v>6.5004270274693883E-3</v>
      </c>
      <c r="HO234" s="32" t="e">
        <f t="shared" si="415"/>
        <v>#N/A</v>
      </c>
      <c r="HP234" s="32" t="e">
        <f t="shared" si="416"/>
        <v>#N/A</v>
      </c>
      <c r="HQ234" s="32" t="b">
        <f t="shared" si="417"/>
        <v>0</v>
      </c>
      <c r="HR234" s="32" t="b">
        <f t="shared" si="418"/>
        <v>1</v>
      </c>
      <c r="HS234" s="32" t="b">
        <f t="shared" si="419"/>
        <v>1</v>
      </c>
      <c r="HT234" s="32" t="b">
        <f t="shared" si="420"/>
        <v>0</v>
      </c>
      <c r="HU234" s="32">
        <f t="shared" si="421"/>
        <v>6.5004270274693883E-3</v>
      </c>
      <c r="HV234" s="32" t="e">
        <f t="shared" si="422"/>
        <v>#N/A</v>
      </c>
      <c r="HW234" s="32">
        <f t="shared" si="423"/>
        <v>6.5004270274693883E-3</v>
      </c>
      <c r="HX234" s="45" t="str">
        <f t="shared" si="424"/>
        <v/>
      </c>
    </row>
    <row r="235" spans="78:232" x14ac:dyDescent="0.2">
      <c r="BZ235" s="32">
        <f t="shared" si="351"/>
        <v>225</v>
      </c>
      <c r="CA235" s="32">
        <f>Eu_tabel_g[[#This Row],[Indeks]]+1</f>
        <v>226</v>
      </c>
      <c r="CB235" s="32">
        <f t="shared" si="352"/>
        <v>2.2997077627295353</v>
      </c>
      <c r="CC235" s="32">
        <f t="shared" si="353"/>
        <v>2.8346082828649768E-2</v>
      </c>
      <c r="CD235" s="32" t="e">
        <f t="shared" si="354"/>
        <v>#N/A</v>
      </c>
      <c r="CE235" s="32" t="e">
        <f t="shared" si="355"/>
        <v>#N/A</v>
      </c>
      <c r="CF235" s="32" t="e">
        <f t="shared" si="356"/>
        <v>#N/A</v>
      </c>
      <c r="CG235" s="32" t="b">
        <f t="shared" si="357"/>
        <v>0</v>
      </c>
      <c r="CH235" s="32" t="b">
        <f t="shared" si="358"/>
        <v>1</v>
      </c>
      <c r="CI235" s="32" t="b">
        <f t="shared" si="359"/>
        <v>1</v>
      </c>
      <c r="CJ235" s="32" t="b">
        <f t="shared" si="360"/>
        <v>0</v>
      </c>
      <c r="CK235" s="32">
        <f t="shared" si="425"/>
        <v>2.8346082828649768E-2</v>
      </c>
      <c r="CL235" s="32">
        <f t="shared" si="361"/>
        <v>2.8346082828649768E-2</v>
      </c>
      <c r="CM235" s="32" t="e">
        <f t="shared" si="362"/>
        <v>#N/A</v>
      </c>
      <c r="CN235" s="45" t="str">
        <f t="shared" si="363"/>
        <v/>
      </c>
      <c r="CO235" s="32">
        <f>_xlfn.NORM.DIST(_xlfn.NORM.INV(1-Eu_g_konfidensniveau,0,1)-Eu_tabel_g[[#This Row],[x base]],0,1,TRUE)</f>
        <v>3.9973085832098853E-5</v>
      </c>
      <c r="CP235" s="32">
        <f>1-_xlfn.NORM.DIST(_xlfn.NORM.INV(Eu_g_konfidensniveau,0,1)-Eu_tabel_g[[#This Row],[x base]],0,1,TRUE)</f>
        <v>0.74371916406168304</v>
      </c>
      <c r="CQ235" s="32">
        <f>_xlfn.NORM.DIST(_xlfn.NORM.INV((1-Eu_g_konfidensniveau)/2,0,1)-Eu_tabel_g[[#This Row],[x base]],0,1,TRUE)+1-_xlfn.NORM.DIST(_xlfn.NORM.INV(1-(1-Eu_g_konfidensniveau)/2,0,1)-Eu_tabel_g[[#This Row],[x base]],0,1,TRUE)</f>
        <v>0.63298549116825498</v>
      </c>
      <c r="CR235" s="32" t="e" cm="1">
        <f t="array" ref="CR235">IF($CR$3,INDEX(Eu_tabel_g[[#This Row],[Styrke venstre]:[Styrke tosidet]],CR$7),NA())</f>
        <v>#N/A</v>
      </c>
      <c r="CS235" s="52" t="e">
        <f>Eu_tabel_g[[#This Row],[Falsk positiv
Nulhypotese accepteres
Fejltype 1]]</f>
        <v>#N/A</v>
      </c>
      <c r="CT235" s="52" t="e">
        <f>IF(CHOOSE(CR$7,Eu_tabel_g[[#This Row],[x base]]&gt;0,Eu_tabel_g[[#This Row],[x base]]&lt;0,Eu_tabel_g[[#This Row],[x base]]=0),Eu_tabel_g[[#This Row],[Styrke, aktiv]],NA())</f>
        <v>#N/A</v>
      </c>
      <c r="CU235" s="52" t="e">
        <f>IFERROR(IF($CR$3,Eu_tabel_g[[#This Row],[Styrke, aktiv]],NA()),NA())</f>
        <v>#N/A</v>
      </c>
      <c r="CV235" s="52" t="e">
        <f>IF(ISNA(Eu_tabel_g[[#This Row],[Sand negativ
Nulhypotese afvises
Korrekt]]),NA(),IF($CR$3,1,NA()))</f>
        <v>#N/A</v>
      </c>
      <c r="CW235" s="34" t="str" cm="1">
        <f t="array" ref="CW235">_xlfn.SWITCH(BZ235,_xlfn.IFNA(CU$2,-99),CU$5,_xlfn.IFNA(CU$3,-99),CU$6,_xlfn.IFNA(CU$4,-99),CU$7,"")</f>
        <v/>
      </c>
      <c r="DA235" s="7">
        <f t="shared" si="364"/>
        <v>0.8</v>
      </c>
      <c r="DB235">
        <f>IF(ROW(Styrkeberegning_G[[#This Row],[X base venstre]])=ROW(Styrkeberegning_G[[#Headers],[X base venstre]])+1,DB$7/(DA$7/$B$67),DB234/(DA234/$B$67))</f>
        <v>-2.8015817870135784</v>
      </c>
      <c r="DC235">
        <f>Styrkeberegning_G[[#This Row],[X base venstre]]*-1</f>
        <v>2.8015817870135784</v>
      </c>
      <c r="DN235" s="32">
        <f t="shared" si="365"/>
        <v>225</v>
      </c>
      <c r="DO235" s="32">
        <f t="shared" si="366"/>
        <v>226</v>
      </c>
      <c r="DP235" s="32">
        <f t="shared" si="367"/>
        <v>27.499795358478917</v>
      </c>
      <c r="DQ235" s="32" t="e">
        <f t="shared" si="368"/>
        <v>#N/A</v>
      </c>
      <c r="DR235" s="32" t="e">
        <f t="shared" si="369"/>
        <v>#N/A</v>
      </c>
      <c r="DS235" s="32">
        <f t="shared" si="370"/>
        <v>1.3519360458704474E-3</v>
      </c>
      <c r="DT235" s="32" t="e">
        <f t="shared" si="371"/>
        <v>#N/A</v>
      </c>
      <c r="DU235" s="32" t="b">
        <f t="shared" si="372"/>
        <v>0</v>
      </c>
      <c r="DV235" s="32" t="b">
        <f t="shared" si="373"/>
        <v>1</v>
      </c>
      <c r="DW235" s="32" t="b">
        <f t="shared" si="374"/>
        <v>1</v>
      </c>
      <c r="DX235" s="32" t="b">
        <f t="shared" si="375"/>
        <v>0</v>
      </c>
      <c r="DY235" s="32">
        <f t="shared" si="376"/>
        <v>1.3519360458704474E-3</v>
      </c>
      <c r="DZ235" s="32">
        <f t="shared" si="377"/>
        <v>1.3519360458704474E-3</v>
      </c>
      <c r="EA235" s="32" t="e">
        <f t="shared" si="378"/>
        <v>#N/A</v>
      </c>
      <c r="EB235" s="45" t="str">
        <f t="shared" si="379"/>
        <v/>
      </c>
      <c r="EG235" s="32">
        <f t="shared" si="380"/>
        <v>225</v>
      </c>
      <c r="EH235" s="32">
        <f t="shared" si="381"/>
        <v>226</v>
      </c>
      <c r="EI235" s="32">
        <f t="shared" si="382"/>
        <v>2.2997077627295353</v>
      </c>
      <c r="EJ235" s="32">
        <f t="shared" si="383"/>
        <v>2.8346082828649768E-2</v>
      </c>
      <c r="EK235" s="32" t="e">
        <f t="shared" si="384"/>
        <v>#N/A</v>
      </c>
      <c r="EL235" s="32" t="e">
        <f t="shared" si="385"/>
        <v>#N/A</v>
      </c>
      <c r="EM235" s="32" t="e">
        <f t="shared" si="386"/>
        <v>#N/A</v>
      </c>
      <c r="EN235" s="32" t="b">
        <f t="shared" si="387"/>
        <v>0</v>
      </c>
      <c r="EO235" s="32" t="b">
        <f t="shared" si="388"/>
        <v>1</v>
      </c>
      <c r="EP235" s="32" t="b">
        <f t="shared" si="389"/>
        <v>1</v>
      </c>
      <c r="EQ235" s="32" t="b">
        <f t="shared" si="390"/>
        <v>0</v>
      </c>
      <c r="ER235" s="32">
        <f t="shared" si="391"/>
        <v>2.8346082828649768E-2</v>
      </c>
      <c r="ES235" s="32">
        <f t="shared" si="392"/>
        <v>2.8346082828649768E-2</v>
      </c>
      <c r="ET235" s="32" t="e">
        <f t="shared" si="393"/>
        <v>#N/A</v>
      </c>
      <c r="EU235" s="45" t="str">
        <f t="shared" si="394"/>
        <v/>
      </c>
      <c r="EV23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5" s="32" t="e" cm="1">
        <f t="array" ref="EY235">IF($CR$3,INDEX(Eu_tabel_a[[#This Row],[Styrke venstre]:[Styrke tosidet]],EY$7),NA())</f>
        <v>#N/A</v>
      </c>
      <c r="EZ235" s="32" t="e">
        <f>IF(EY$3,IF(CHOOSE(EY$7,Eu_tabel_a[[#This Row],[x base]]&gt;0,Eu_tabel_a[[#This Row],[x base]]&lt;0,Eu_tabel_a[[#This Row],[x base]]=0),1,NA()),NA())</f>
        <v>#N/A</v>
      </c>
      <c r="FA235" s="32" t="e">
        <f>IF(CHOOSE(EY$7,Eu_tabel_a[[#This Row],[x base]]&gt;0,Eu_tabel_a[[#This Row],[x base]]&lt;0,Eu_tabel_a[[#This Row],[x base]]=0),Eu_tabel_a[[#This Row],[Styrke, aktiv]],NA())</f>
        <v>#N/A</v>
      </c>
      <c r="FB235" s="32" t="e">
        <f>IFERROR(IF($EY$3,Eu_tabel_a[[#This Row],[Styrke, aktiv]],NA()),NA())</f>
        <v>#N/A</v>
      </c>
      <c r="FC235" s="32" t="e">
        <f>IF(ISNA(Eu_tabel_a[[#This Row],[Sand negativ
Nulhypotese afvises
Korrekt]]),NA(),IF(EY$3,1,NA()))</f>
        <v>#N/A</v>
      </c>
      <c r="FD235" s="33" t="str" cm="1">
        <f t="array" ref="FD235">IFERROR(_xlfn.SWITCH(Eu_tabel_a[[#This Row],[Indeks]],_xlfn.IFNA(FB$2,-99),FB$5,_xlfn.IFNA(FB$3,-99),FB$6,_xlfn.IFNA(FB$4,-99),FB$7,""),"")</f>
        <v/>
      </c>
      <c r="FE235" s="32">
        <f>Eu_tabel_a[[#This Row],[x base]]*SQRT(Eu_a_h0_x*(1-Eu_a_h0_x)/Eu_a_n_x)+Eu_a_h0_x</f>
        <v>0</v>
      </c>
      <c r="FJ235" s="74" t="e">
        <f t="shared" si="338"/>
        <v>#N/A</v>
      </c>
      <c r="FK235" s="82" t="e">
        <f t="shared" si="426"/>
        <v>#DIV/0!</v>
      </c>
      <c r="FL235" s="7" t="e">
        <f t="shared" si="332"/>
        <v>#DIV/0!</v>
      </c>
      <c r="FM235" t="e">
        <f t="shared" si="427"/>
        <v>#DIV/0!</v>
      </c>
      <c r="FN235" s="8" t="e">
        <f t="shared" si="428"/>
        <v>#DIV/0!</v>
      </c>
      <c r="FO235" s="8" t="e">
        <f t="shared" si="429"/>
        <v>#DIV/0!</v>
      </c>
      <c r="FP235" s="81" t="e">
        <f t="shared" si="430"/>
        <v>#DIV/0!</v>
      </c>
      <c r="FQ235" s="74" t="e">
        <f t="shared" ca="1" si="333"/>
        <v>#N/A</v>
      </c>
      <c r="FR235" s="82" t="e" vm="3">
        <f t="shared" ca="1" si="339"/>
        <v>#VALUE!</v>
      </c>
      <c r="FS235" s="7" t="e" vm="3">
        <f t="shared" ca="1" si="334"/>
        <v>#VALUE!</v>
      </c>
      <c r="FT235" t="e" vm="3">
        <f t="shared" ca="1" si="328"/>
        <v>#VALUE!</v>
      </c>
      <c r="FU235" s="8" t="e" vm="3">
        <f t="shared" ca="1" si="329"/>
        <v>#VALUE!</v>
      </c>
      <c r="FV235" s="8" t="e" vm="3">
        <f t="shared" ca="1" si="330"/>
        <v>#VALUE!</v>
      </c>
      <c r="FW235" s="81" t="e" vm="3">
        <f t="shared" ca="1" si="331"/>
        <v>#VALUE!</v>
      </c>
      <c r="FX235" s="74" t="e">
        <f t="shared" si="335"/>
        <v>#N/A</v>
      </c>
      <c r="FY235" s="82" t="e">
        <f t="shared" si="340"/>
        <v>#N/A</v>
      </c>
      <c r="FZ235" s="7" t="e">
        <f t="shared" si="336"/>
        <v>#N/A</v>
      </c>
      <c r="GA235" t="e">
        <f t="shared" si="341"/>
        <v>#N/A</v>
      </c>
      <c r="GB235" s="8" t="e">
        <f t="shared" si="342"/>
        <v>#N/A</v>
      </c>
      <c r="GC235" s="8" t="e">
        <f t="shared" si="343"/>
        <v>#N/A</v>
      </c>
      <c r="GD235" s="81" t="e">
        <f t="shared" si="344"/>
        <v>#N/A</v>
      </c>
      <c r="GE235" s="74" t="e">
        <f t="shared" si="345"/>
        <v>#N/A</v>
      </c>
      <c r="GF235" s="82" t="e">
        <f t="shared" si="346"/>
        <v>#N/A</v>
      </c>
      <c r="GG235" s="7" t="e">
        <f t="shared" si="337"/>
        <v>#N/A</v>
      </c>
      <c r="GH235" t="e">
        <f t="shared" si="347"/>
        <v>#N/A</v>
      </c>
      <c r="GI235" s="8" t="e">
        <f t="shared" si="348"/>
        <v>#N/A</v>
      </c>
      <c r="GJ235" s="8" t="e">
        <f t="shared" si="349"/>
        <v>#N/A</v>
      </c>
      <c r="GK235" s="81" t="e">
        <f t="shared" si="350"/>
        <v>#N/A</v>
      </c>
      <c r="GL235" s="81"/>
      <c r="GM235" s="81"/>
      <c r="GP235" s="32">
        <f t="shared" si="395"/>
        <v>225</v>
      </c>
      <c r="GQ235" s="32">
        <f t="shared" si="396"/>
        <v>226</v>
      </c>
      <c r="GR235" s="32">
        <f t="shared" si="397"/>
        <v>2.2997077627295353</v>
      </c>
      <c r="GS235" s="32">
        <f t="shared" si="398"/>
        <v>2.8346082828649768E-2</v>
      </c>
      <c r="GT235" s="32" t="e">
        <f t="shared" si="399"/>
        <v>#N/A</v>
      </c>
      <c r="GU235" s="32" t="e">
        <f t="shared" si="400"/>
        <v>#N/A</v>
      </c>
      <c r="GV235" s="32" t="e">
        <f t="shared" si="401"/>
        <v>#N/A</v>
      </c>
      <c r="GW235" s="32" t="b">
        <f t="shared" si="402"/>
        <v>0</v>
      </c>
      <c r="GX235" s="32" t="b">
        <f t="shared" si="403"/>
        <v>1</v>
      </c>
      <c r="GY235" s="32" t="b">
        <f t="shared" si="404"/>
        <v>1</v>
      </c>
      <c r="GZ235" s="32" t="b">
        <f t="shared" si="405"/>
        <v>0</v>
      </c>
      <c r="HA235" s="32">
        <f t="shared" si="406"/>
        <v>2.8346082828649768E-2</v>
      </c>
      <c r="HB235" s="32">
        <f t="shared" si="407"/>
        <v>2.8346082828649768E-2</v>
      </c>
      <c r="HC235" s="32" t="e">
        <f t="shared" si="408"/>
        <v>#N/A</v>
      </c>
      <c r="HD235" s="45" t="str">
        <f t="shared" si="409"/>
        <v/>
      </c>
      <c r="HJ235" s="32">
        <f t="shared" si="410"/>
        <v>225</v>
      </c>
      <c r="HK235" s="32">
        <f t="shared" si="411"/>
        <v>226</v>
      </c>
      <c r="HL235" s="32">
        <f t="shared" si="412"/>
        <v>3.5611457701494569</v>
      </c>
      <c r="HM235" s="32" t="e">
        <f t="shared" si="413"/>
        <v>#N/A</v>
      </c>
      <c r="HN235" s="32">
        <f t="shared" si="414"/>
        <v>6.160097552727048E-3</v>
      </c>
      <c r="HO235" s="32" t="e">
        <f t="shared" si="415"/>
        <v>#N/A</v>
      </c>
      <c r="HP235" s="32" t="e">
        <f t="shared" si="416"/>
        <v>#N/A</v>
      </c>
      <c r="HQ235" s="32" t="b">
        <f t="shared" si="417"/>
        <v>0</v>
      </c>
      <c r="HR235" s="32" t="b">
        <f t="shared" si="418"/>
        <v>1</v>
      </c>
      <c r="HS235" s="32" t="b">
        <f t="shared" si="419"/>
        <v>1</v>
      </c>
      <c r="HT235" s="32" t="b">
        <f t="shared" si="420"/>
        <v>0</v>
      </c>
      <c r="HU235" s="32">
        <f t="shared" si="421"/>
        <v>6.160097552727048E-3</v>
      </c>
      <c r="HV235" s="32" t="e">
        <f t="shared" si="422"/>
        <v>#N/A</v>
      </c>
      <c r="HW235" s="32">
        <f t="shared" si="423"/>
        <v>6.160097552727048E-3</v>
      </c>
      <c r="HX235" s="45" t="str">
        <f t="shared" si="424"/>
        <v/>
      </c>
    </row>
    <row r="236" spans="78:232" x14ac:dyDescent="0.2">
      <c r="BZ236" s="32">
        <f t="shared" si="351"/>
        <v>226</v>
      </c>
      <c r="CA236" s="32">
        <f>Eu_tabel_g[[#This Row],[Indeks]]+1</f>
        <v>227</v>
      </c>
      <c r="CB236" s="32">
        <f t="shared" si="352"/>
        <v>2.3236630519246351</v>
      </c>
      <c r="CC236" s="32">
        <f t="shared" si="353"/>
        <v>2.6819031238439629E-2</v>
      </c>
      <c r="CD236" s="32" t="e">
        <f t="shared" si="354"/>
        <v>#N/A</v>
      </c>
      <c r="CE236" s="32" t="e">
        <f t="shared" si="355"/>
        <v>#N/A</v>
      </c>
      <c r="CF236" s="32" t="e">
        <f t="shared" si="356"/>
        <v>#N/A</v>
      </c>
      <c r="CG236" s="32" t="b">
        <f t="shared" si="357"/>
        <v>0</v>
      </c>
      <c r="CH236" s="32" t="b">
        <f t="shared" si="358"/>
        <v>1</v>
      </c>
      <c r="CI236" s="32" t="b">
        <f t="shared" si="359"/>
        <v>1</v>
      </c>
      <c r="CJ236" s="32" t="b">
        <f t="shared" si="360"/>
        <v>0</v>
      </c>
      <c r="CK236" s="32">
        <f t="shared" si="425"/>
        <v>2.6819031238439629E-2</v>
      </c>
      <c r="CL236" s="32">
        <f t="shared" si="361"/>
        <v>2.6819031238439629E-2</v>
      </c>
      <c r="CM236" s="32" t="e">
        <f t="shared" si="362"/>
        <v>#N/A</v>
      </c>
      <c r="CN236" s="45" t="str">
        <f t="shared" si="363"/>
        <v/>
      </c>
      <c r="CO236" s="32">
        <f>_xlfn.NORM.DIST(_xlfn.NORM.INV(1-Eu_g_konfidensniveau,0,1)-Eu_tabel_g[[#This Row],[x base]],0,1,TRUE)</f>
        <v>3.616069815297626E-5</v>
      </c>
      <c r="CP236" s="32">
        <f>1-_xlfn.NORM.DIST(_xlfn.NORM.INV(Eu_g_konfidensniveau,0,1)-Eu_tabel_g[[#This Row],[x base]],0,1,TRUE)</f>
        <v>0.75137068940614915</v>
      </c>
      <c r="CQ236" s="32">
        <f>_xlfn.NORM.DIST(_xlfn.NORM.INV((1-Eu_g_konfidensniveau)/2,0,1)-Eu_tabel_g[[#This Row],[x base]],0,1,TRUE)+1-_xlfn.NORM.DIST(_xlfn.NORM.INV(1-(1-Eu_g_konfidensniveau)/2,0,1)-Eu_tabel_g[[#This Row],[x base]],0,1,TRUE)</f>
        <v>0.64196782362632787</v>
      </c>
      <c r="CR236" s="32" t="e" cm="1">
        <f t="array" ref="CR236">IF($CR$3,INDEX(Eu_tabel_g[[#This Row],[Styrke venstre]:[Styrke tosidet]],CR$7),NA())</f>
        <v>#N/A</v>
      </c>
      <c r="CS236" s="52" t="e">
        <f>Eu_tabel_g[[#This Row],[Falsk positiv
Nulhypotese accepteres
Fejltype 1]]</f>
        <v>#N/A</v>
      </c>
      <c r="CT236" s="52" t="e">
        <f>IF(CHOOSE(CR$7,Eu_tabel_g[[#This Row],[x base]]&gt;0,Eu_tabel_g[[#This Row],[x base]]&lt;0,Eu_tabel_g[[#This Row],[x base]]=0),Eu_tabel_g[[#This Row],[Styrke, aktiv]],NA())</f>
        <v>#N/A</v>
      </c>
      <c r="CU236" s="52" t="e">
        <f>IFERROR(IF($CR$3,Eu_tabel_g[[#This Row],[Styrke, aktiv]],NA()),NA())</f>
        <v>#N/A</v>
      </c>
      <c r="CV236" s="52" t="e">
        <f>IF(ISNA(Eu_tabel_g[[#This Row],[Sand negativ
Nulhypotese afvises
Korrekt]]),NA(),IF($CR$3,1,NA()))</f>
        <v>#N/A</v>
      </c>
      <c r="CW236" s="34" t="str" cm="1">
        <f t="array" ref="CW236">_xlfn.SWITCH(BZ236,_xlfn.IFNA(CU$2,-99),CU$5,_xlfn.IFNA(CU$3,-99),CU$6,_xlfn.IFNA(CU$4,-99),CU$7,"")</f>
        <v/>
      </c>
      <c r="DA236" s="7">
        <f t="shared" si="364"/>
        <v>0.8</v>
      </c>
      <c r="DB236">
        <f>IF(ROW(Styrkeberegning_G[[#This Row],[X base venstre]])=ROW(Styrkeberegning_G[[#Headers],[X base venstre]])+1,DB$7/(DA$7/$B$67),DB235/(DA235/$B$67))</f>
        <v>-2.8015817870135784</v>
      </c>
      <c r="DC236">
        <f>Styrkeberegning_G[[#This Row],[X base venstre]]*-1</f>
        <v>2.8015817870135784</v>
      </c>
      <c r="DN236" s="32">
        <f t="shared" si="365"/>
        <v>226</v>
      </c>
      <c r="DO236" s="32">
        <f t="shared" si="366"/>
        <v>227</v>
      </c>
      <c r="DP236" s="32">
        <f t="shared" si="367"/>
        <v>27.613866214895918</v>
      </c>
      <c r="DQ236" s="32" t="e">
        <f t="shared" si="368"/>
        <v>#N/A</v>
      </c>
      <c r="DR236" s="32" t="e">
        <f t="shared" si="369"/>
        <v>#N/A</v>
      </c>
      <c r="DS236" s="32">
        <f t="shared" si="370"/>
        <v>1.3009957284929644E-3</v>
      </c>
      <c r="DT236" s="32" t="e">
        <f t="shared" si="371"/>
        <v>#N/A</v>
      </c>
      <c r="DU236" s="32" t="b">
        <f t="shared" si="372"/>
        <v>0</v>
      </c>
      <c r="DV236" s="32" t="b">
        <f t="shared" si="373"/>
        <v>1</v>
      </c>
      <c r="DW236" s="32" t="b">
        <f t="shared" si="374"/>
        <v>1</v>
      </c>
      <c r="DX236" s="32" t="b">
        <f t="shared" si="375"/>
        <v>0</v>
      </c>
      <c r="DY236" s="32">
        <f t="shared" si="376"/>
        <v>1.3009957284929644E-3</v>
      </c>
      <c r="DZ236" s="32">
        <f t="shared" si="377"/>
        <v>1.3009957284929644E-3</v>
      </c>
      <c r="EA236" s="32" t="e">
        <f t="shared" si="378"/>
        <v>#N/A</v>
      </c>
      <c r="EB236" s="45" t="str">
        <f t="shared" si="379"/>
        <v/>
      </c>
      <c r="EG236" s="32">
        <f t="shared" si="380"/>
        <v>226</v>
      </c>
      <c r="EH236" s="32">
        <f t="shared" si="381"/>
        <v>227</v>
      </c>
      <c r="EI236" s="32">
        <f t="shared" si="382"/>
        <v>2.3236630519246351</v>
      </c>
      <c r="EJ236" s="32">
        <f t="shared" si="383"/>
        <v>2.6819031238439629E-2</v>
      </c>
      <c r="EK236" s="32" t="e">
        <f t="shared" si="384"/>
        <v>#N/A</v>
      </c>
      <c r="EL236" s="32" t="e">
        <f t="shared" si="385"/>
        <v>#N/A</v>
      </c>
      <c r="EM236" s="32" t="e">
        <f t="shared" si="386"/>
        <v>#N/A</v>
      </c>
      <c r="EN236" s="32" t="b">
        <f t="shared" si="387"/>
        <v>0</v>
      </c>
      <c r="EO236" s="32" t="b">
        <f t="shared" si="388"/>
        <v>1</v>
      </c>
      <c r="EP236" s="32" t="b">
        <f t="shared" si="389"/>
        <v>1</v>
      </c>
      <c r="EQ236" s="32" t="b">
        <f t="shared" si="390"/>
        <v>0</v>
      </c>
      <c r="ER236" s="32">
        <f t="shared" si="391"/>
        <v>2.6819031238439629E-2</v>
      </c>
      <c r="ES236" s="32">
        <f t="shared" si="392"/>
        <v>2.6819031238439629E-2</v>
      </c>
      <c r="ET236" s="32" t="e">
        <f t="shared" si="393"/>
        <v>#N/A</v>
      </c>
      <c r="EU236" s="45" t="str">
        <f t="shared" si="394"/>
        <v/>
      </c>
      <c r="EV23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6" s="32" t="e" cm="1">
        <f t="array" ref="EY236">IF($CR$3,INDEX(Eu_tabel_a[[#This Row],[Styrke venstre]:[Styrke tosidet]],EY$7),NA())</f>
        <v>#N/A</v>
      </c>
      <c r="EZ236" s="32" t="e">
        <f>IF(EY$3,IF(CHOOSE(EY$7,Eu_tabel_a[[#This Row],[x base]]&gt;0,Eu_tabel_a[[#This Row],[x base]]&lt;0,Eu_tabel_a[[#This Row],[x base]]=0),1,NA()),NA())</f>
        <v>#N/A</v>
      </c>
      <c r="FA236" s="32" t="e">
        <f>IF(CHOOSE(EY$7,Eu_tabel_a[[#This Row],[x base]]&gt;0,Eu_tabel_a[[#This Row],[x base]]&lt;0,Eu_tabel_a[[#This Row],[x base]]=0),Eu_tabel_a[[#This Row],[Styrke, aktiv]],NA())</f>
        <v>#N/A</v>
      </c>
      <c r="FB236" s="32" t="e">
        <f>IFERROR(IF($EY$3,Eu_tabel_a[[#This Row],[Styrke, aktiv]],NA()),NA())</f>
        <v>#N/A</v>
      </c>
      <c r="FC236" s="32" t="e">
        <f>IF(ISNA(Eu_tabel_a[[#This Row],[Sand negativ
Nulhypotese afvises
Korrekt]]),NA(),IF(EY$3,1,NA()))</f>
        <v>#N/A</v>
      </c>
      <c r="FD236" s="33" t="str" cm="1">
        <f t="array" ref="FD236">IFERROR(_xlfn.SWITCH(Eu_tabel_a[[#This Row],[Indeks]],_xlfn.IFNA(FB$2,-99),FB$5,_xlfn.IFNA(FB$3,-99),FB$6,_xlfn.IFNA(FB$4,-99),FB$7,""),"")</f>
        <v/>
      </c>
      <c r="FE236" s="32">
        <f>Eu_tabel_a[[#This Row],[x base]]*SQRT(Eu_a_h0_x*(1-Eu_a_h0_x)/Eu_a_n_x)+Eu_a_h0_x</f>
        <v>0</v>
      </c>
      <c r="FJ236" s="74" t="e">
        <f t="shared" si="338"/>
        <v>#N/A</v>
      </c>
      <c r="FK236" s="82" t="e">
        <f t="shared" si="426"/>
        <v>#DIV/0!</v>
      </c>
      <c r="FL236" s="7" t="e">
        <f t="shared" si="332"/>
        <v>#DIV/0!</v>
      </c>
      <c r="FM236" t="e">
        <f t="shared" si="427"/>
        <v>#DIV/0!</v>
      </c>
      <c r="FN236" s="8" t="e">
        <f t="shared" si="428"/>
        <v>#DIV/0!</v>
      </c>
      <c r="FO236" s="8" t="e">
        <f t="shared" si="429"/>
        <v>#DIV/0!</v>
      </c>
      <c r="FP236" s="81" t="e">
        <f t="shared" si="430"/>
        <v>#DIV/0!</v>
      </c>
      <c r="FQ236" s="74" t="e">
        <f t="shared" ca="1" si="333"/>
        <v>#N/A</v>
      </c>
      <c r="FR236" s="82" t="e" vm="3">
        <f t="shared" ca="1" si="339"/>
        <v>#VALUE!</v>
      </c>
      <c r="FS236" s="7" t="e" vm="3">
        <f t="shared" ca="1" si="334"/>
        <v>#VALUE!</v>
      </c>
      <c r="FT236" t="e" vm="3">
        <f t="shared" ca="1" si="328"/>
        <v>#VALUE!</v>
      </c>
      <c r="FU236" s="8" t="e" vm="3">
        <f t="shared" ca="1" si="329"/>
        <v>#VALUE!</v>
      </c>
      <c r="FV236" s="8" t="e" vm="3">
        <f t="shared" ca="1" si="330"/>
        <v>#VALUE!</v>
      </c>
      <c r="FW236" s="81" t="e" vm="3">
        <f t="shared" ca="1" si="331"/>
        <v>#VALUE!</v>
      </c>
      <c r="FX236" s="74" t="e">
        <f t="shared" si="335"/>
        <v>#N/A</v>
      </c>
      <c r="FY236" s="82" t="e">
        <f t="shared" si="340"/>
        <v>#N/A</v>
      </c>
      <c r="FZ236" s="7" t="e">
        <f t="shared" si="336"/>
        <v>#N/A</v>
      </c>
      <c r="GA236" t="e">
        <f t="shared" si="341"/>
        <v>#N/A</v>
      </c>
      <c r="GB236" s="8" t="e">
        <f t="shared" si="342"/>
        <v>#N/A</v>
      </c>
      <c r="GC236" s="8" t="e">
        <f t="shared" si="343"/>
        <v>#N/A</v>
      </c>
      <c r="GD236" s="81" t="e">
        <f t="shared" si="344"/>
        <v>#N/A</v>
      </c>
      <c r="GE236" s="74" t="e">
        <f t="shared" si="345"/>
        <v>#N/A</v>
      </c>
      <c r="GF236" s="82" t="e">
        <f t="shared" si="346"/>
        <v>#N/A</v>
      </c>
      <c r="GG236" s="7" t="e">
        <f t="shared" si="337"/>
        <v>#N/A</v>
      </c>
      <c r="GH236" t="e">
        <f t="shared" si="347"/>
        <v>#N/A</v>
      </c>
      <c r="GI236" s="8" t="e">
        <f t="shared" si="348"/>
        <v>#N/A</v>
      </c>
      <c r="GJ236" s="8" t="e">
        <f t="shared" si="349"/>
        <v>#N/A</v>
      </c>
      <c r="GK236" s="81" t="e">
        <f t="shared" si="350"/>
        <v>#N/A</v>
      </c>
      <c r="GL236" s="81"/>
      <c r="GM236" s="81"/>
      <c r="GP236" s="32">
        <f t="shared" si="395"/>
        <v>226</v>
      </c>
      <c r="GQ236" s="32">
        <f t="shared" si="396"/>
        <v>227</v>
      </c>
      <c r="GR236" s="32">
        <f t="shared" si="397"/>
        <v>2.3236630519246351</v>
      </c>
      <c r="GS236" s="32">
        <f t="shared" si="398"/>
        <v>2.6819031238439629E-2</v>
      </c>
      <c r="GT236" s="32" t="e">
        <f t="shared" si="399"/>
        <v>#N/A</v>
      </c>
      <c r="GU236" s="32" t="e">
        <f t="shared" si="400"/>
        <v>#N/A</v>
      </c>
      <c r="GV236" s="32" t="e">
        <f t="shared" si="401"/>
        <v>#N/A</v>
      </c>
      <c r="GW236" s="32" t="b">
        <f t="shared" si="402"/>
        <v>0</v>
      </c>
      <c r="GX236" s="32" t="b">
        <f t="shared" si="403"/>
        <v>1</v>
      </c>
      <c r="GY236" s="32" t="b">
        <f t="shared" si="404"/>
        <v>1</v>
      </c>
      <c r="GZ236" s="32" t="b">
        <f t="shared" si="405"/>
        <v>0</v>
      </c>
      <c r="HA236" s="32">
        <f t="shared" si="406"/>
        <v>2.6819031238439629E-2</v>
      </c>
      <c r="HB236" s="32">
        <f t="shared" si="407"/>
        <v>2.6819031238439629E-2</v>
      </c>
      <c r="HC236" s="32" t="e">
        <f t="shared" si="408"/>
        <v>#N/A</v>
      </c>
      <c r="HD236" s="45" t="str">
        <f t="shared" si="409"/>
        <v/>
      </c>
      <c r="HJ236" s="32">
        <f t="shared" si="410"/>
        <v>226</v>
      </c>
      <c r="HK236" s="32">
        <f t="shared" si="411"/>
        <v>227</v>
      </c>
      <c r="HL236" s="32">
        <f t="shared" si="412"/>
        <v>3.5982410385885135</v>
      </c>
      <c r="HM236" s="32" t="e">
        <f t="shared" si="413"/>
        <v>#N/A</v>
      </c>
      <c r="HN236" s="32">
        <f t="shared" si="414"/>
        <v>5.8385285622718358E-3</v>
      </c>
      <c r="HO236" s="32" t="e">
        <f t="shared" si="415"/>
        <v>#N/A</v>
      </c>
      <c r="HP236" s="32" t="e">
        <f t="shared" si="416"/>
        <v>#N/A</v>
      </c>
      <c r="HQ236" s="32" t="b">
        <f t="shared" si="417"/>
        <v>0</v>
      </c>
      <c r="HR236" s="32" t="b">
        <f t="shared" si="418"/>
        <v>1</v>
      </c>
      <c r="HS236" s="32" t="b">
        <f t="shared" si="419"/>
        <v>1</v>
      </c>
      <c r="HT236" s="32" t="b">
        <f t="shared" si="420"/>
        <v>0</v>
      </c>
      <c r="HU236" s="32">
        <f t="shared" si="421"/>
        <v>5.8385285622718358E-3</v>
      </c>
      <c r="HV236" s="32" t="e">
        <f t="shared" si="422"/>
        <v>#N/A</v>
      </c>
      <c r="HW236" s="32">
        <f t="shared" si="423"/>
        <v>5.8385285622718358E-3</v>
      </c>
      <c r="HX236" s="45" t="str">
        <f t="shared" si="424"/>
        <v/>
      </c>
    </row>
    <row r="237" spans="78:232" x14ac:dyDescent="0.2">
      <c r="BZ237" s="32">
        <f t="shared" si="351"/>
        <v>227</v>
      </c>
      <c r="CA237" s="32">
        <f>Eu_tabel_g[[#This Row],[Indeks]]+1</f>
        <v>228</v>
      </c>
      <c r="CB237" s="32">
        <f t="shared" si="352"/>
        <v>2.347618341119734</v>
      </c>
      <c r="CC237" s="32">
        <f t="shared" si="353"/>
        <v>2.5359687526847842E-2</v>
      </c>
      <c r="CD237" s="32" t="e">
        <f t="shared" si="354"/>
        <v>#N/A</v>
      </c>
      <c r="CE237" s="32" t="e">
        <f t="shared" si="355"/>
        <v>#N/A</v>
      </c>
      <c r="CF237" s="32" t="e">
        <f t="shared" si="356"/>
        <v>#N/A</v>
      </c>
      <c r="CG237" s="32" t="b">
        <f t="shared" si="357"/>
        <v>0</v>
      </c>
      <c r="CH237" s="32" t="b">
        <f t="shared" si="358"/>
        <v>1</v>
      </c>
      <c r="CI237" s="32" t="b">
        <f t="shared" si="359"/>
        <v>1</v>
      </c>
      <c r="CJ237" s="32" t="b">
        <f t="shared" si="360"/>
        <v>0</v>
      </c>
      <c r="CK237" s="32">
        <f t="shared" si="425"/>
        <v>2.5359687526847842E-2</v>
      </c>
      <c r="CL237" s="32">
        <f t="shared" si="361"/>
        <v>2.5359687526847842E-2</v>
      </c>
      <c r="CM237" s="32" t="e">
        <f t="shared" si="362"/>
        <v>#N/A</v>
      </c>
      <c r="CN237" s="45" t="str">
        <f t="shared" si="363"/>
        <v/>
      </c>
      <c r="CO237" s="32">
        <f>_xlfn.NORM.DIST(_xlfn.NORM.INV(1-Eu_g_konfidensniveau,0,1)-Eu_tabel_g[[#This Row],[x base]],0,1,TRUE)</f>
        <v>3.2694032375353574E-5</v>
      </c>
      <c r="CP237" s="32">
        <f>1-_xlfn.NORM.DIST(_xlfn.NORM.INV(Eu_g_konfidensniveau,0,1)-Eu_tabel_g[[#This Row],[x base]],0,1,TRUE)</f>
        <v>0.7588988047257339</v>
      </c>
      <c r="CQ237" s="32">
        <f>_xlfn.NORM.DIST(_xlfn.NORM.INV((1-Eu_g_konfidensniveau)/2,0,1)-Eu_tabel_g[[#This Row],[x base]],0,1,TRUE)+1-_xlfn.NORM.DIST(_xlfn.NORM.INV(1-(1-Eu_g_konfidensniveau)/2,0,1)-Eu_tabel_g[[#This Row],[x base]],0,1,TRUE)</f>
        <v>0.6508723336546951</v>
      </c>
      <c r="CR237" s="32" t="e" cm="1">
        <f t="array" ref="CR237">IF($CR$3,INDEX(Eu_tabel_g[[#This Row],[Styrke venstre]:[Styrke tosidet]],CR$7),NA())</f>
        <v>#N/A</v>
      </c>
      <c r="CS237" s="52" t="e">
        <f>Eu_tabel_g[[#This Row],[Falsk positiv
Nulhypotese accepteres
Fejltype 1]]</f>
        <v>#N/A</v>
      </c>
      <c r="CT237" s="52" t="e">
        <f>IF(CHOOSE(CR$7,Eu_tabel_g[[#This Row],[x base]]&gt;0,Eu_tabel_g[[#This Row],[x base]]&lt;0,Eu_tabel_g[[#This Row],[x base]]=0),Eu_tabel_g[[#This Row],[Styrke, aktiv]],NA())</f>
        <v>#N/A</v>
      </c>
      <c r="CU237" s="52" t="e">
        <f>IFERROR(IF($CR$3,Eu_tabel_g[[#This Row],[Styrke, aktiv]],NA()),NA())</f>
        <v>#N/A</v>
      </c>
      <c r="CV237" s="52" t="e">
        <f>IF(ISNA(Eu_tabel_g[[#This Row],[Sand negativ
Nulhypotese afvises
Korrekt]]),NA(),IF($CR$3,1,NA()))</f>
        <v>#N/A</v>
      </c>
      <c r="CW237" s="34" t="str" cm="1">
        <f t="array" ref="CW237">_xlfn.SWITCH(BZ237,_xlfn.IFNA(CU$2,-99),CU$5,_xlfn.IFNA(CU$3,-99),CU$6,_xlfn.IFNA(CU$4,-99),CU$7,"")</f>
        <v/>
      </c>
      <c r="DA237" s="7">
        <f t="shared" si="364"/>
        <v>0.8</v>
      </c>
      <c r="DB237">
        <f>IF(ROW(Styrkeberegning_G[[#This Row],[X base venstre]])=ROW(Styrkeberegning_G[[#Headers],[X base venstre]])+1,DB$7/(DA$7/$B$67),DB236/(DA236/$B$67))</f>
        <v>-2.8015817870135784</v>
      </c>
      <c r="DC237">
        <f>Styrkeberegning_G[[#This Row],[X base venstre]]*-1</f>
        <v>2.8015817870135784</v>
      </c>
      <c r="DN237" s="32">
        <f t="shared" si="365"/>
        <v>227</v>
      </c>
      <c r="DO237" s="32">
        <f t="shared" si="366"/>
        <v>228</v>
      </c>
      <c r="DP237" s="32">
        <f t="shared" si="367"/>
        <v>27.727937071312919</v>
      </c>
      <c r="DQ237" s="32" t="e">
        <f t="shared" si="368"/>
        <v>#N/A</v>
      </c>
      <c r="DR237" s="32" t="e">
        <f t="shared" si="369"/>
        <v>#N/A</v>
      </c>
      <c r="DS237" s="32">
        <f t="shared" si="370"/>
        <v>1.2518786815304316E-3</v>
      </c>
      <c r="DT237" s="32" t="e">
        <f t="shared" si="371"/>
        <v>#N/A</v>
      </c>
      <c r="DU237" s="32" t="b">
        <f t="shared" si="372"/>
        <v>0</v>
      </c>
      <c r="DV237" s="32" t="b">
        <f t="shared" si="373"/>
        <v>1</v>
      </c>
      <c r="DW237" s="32" t="b">
        <f t="shared" si="374"/>
        <v>1</v>
      </c>
      <c r="DX237" s="32" t="b">
        <f t="shared" si="375"/>
        <v>0</v>
      </c>
      <c r="DY237" s="32">
        <f t="shared" si="376"/>
        <v>1.2518786815304316E-3</v>
      </c>
      <c r="DZ237" s="32">
        <f t="shared" si="377"/>
        <v>1.2518786815304316E-3</v>
      </c>
      <c r="EA237" s="32" t="e">
        <f t="shared" si="378"/>
        <v>#N/A</v>
      </c>
      <c r="EB237" s="45" t="str">
        <f t="shared" si="379"/>
        <v/>
      </c>
      <c r="EG237" s="32">
        <f t="shared" si="380"/>
        <v>227</v>
      </c>
      <c r="EH237" s="32">
        <f t="shared" si="381"/>
        <v>228</v>
      </c>
      <c r="EI237" s="32">
        <f t="shared" si="382"/>
        <v>2.347618341119734</v>
      </c>
      <c r="EJ237" s="32">
        <f t="shared" si="383"/>
        <v>2.5359687526847842E-2</v>
      </c>
      <c r="EK237" s="32" t="e">
        <f t="shared" si="384"/>
        <v>#N/A</v>
      </c>
      <c r="EL237" s="32" t="e">
        <f t="shared" si="385"/>
        <v>#N/A</v>
      </c>
      <c r="EM237" s="32" t="e">
        <f t="shared" si="386"/>
        <v>#N/A</v>
      </c>
      <c r="EN237" s="32" t="b">
        <f t="shared" si="387"/>
        <v>0</v>
      </c>
      <c r="EO237" s="32" t="b">
        <f t="shared" si="388"/>
        <v>1</v>
      </c>
      <c r="EP237" s="32" t="b">
        <f t="shared" si="389"/>
        <v>1</v>
      </c>
      <c r="EQ237" s="32" t="b">
        <f t="shared" si="390"/>
        <v>0</v>
      </c>
      <c r="ER237" s="32">
        <f t="shared" si="391"/>
        <v>2.5359687526847842E-2</v>
      </c>
      <c r="ES237" s="32">
        <f t="shared" si="392"/>
        <v>2.5359687526847842E-2</v>
      </c>
      <c r="ET237" s="32" t="e">
        <f t="shared" si="393"/>
        <v>#N/A</v>
      </c>
      <c r="EU237" s="45" t="str">
        <f t="shared" si="394"/>
        <v/>
      </c>
      <c r="EV23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7" s="32" t="e" cm="1">
        <f t="array" ref="EY237">IF($CR$3,INDEX(Eu_tabel_a[[#This Row],[Styrke venstre]:[Styrke tosidet]],EY$7),NA())</f>
        <v>#N/A</v>
      </c>
      <c r="EZ237" s="32" t="e">
        <f>IF(EY$3,IF(CHOOSE(EY$7,Eu_tabel_a[[#This Row],[x base]]&gt;0,Eu_tabel_a[[#This Row],[x base]]&lt;0,Eu_tabel_a[[#This Row],[x base]]=0),1,NA()),NA())</f>
        <v>#N/A</v>
      </c>
      <c r="FA237" s="32" t="e">
        <f>IF(CHOOSE(EY$7,Eu_tabel_a[[#This Row],[x base]]&gt;0,Eu_tabel_a[[#This Row],[x base]]&lt;0,Eu_tabel_a[[#This Row],[x base]]=0),Eu_tabel_a[[#This Row],[Styrke, aktiv]],NA())</f>
        <v>#N/A</v>
      </c>
      <c r="FB237" s="32" t="e">
        <f>IFERROR(IF($EY$3,Eu_tabel_a[[#This Row],[Styrke, aktiv]],NA()),NA())</f>
        <v>#N/A</v>
      </c>
      <c r="FC237" s="32" t="e">
        <f>IF(ISNA(Eu_tabel_a[[#This Row],[Sand negativ
Nulhypotese afvises
Korrekt]]),NA(),IF(EY$3,1,NA()))</f>
        <v>#N/A</v>
      </c>
      <c r="FD237" s="33" t="str" cm="1">
        <f t="array" ref="FD237">IFERROR(_xlfn.SWITCH(Eu_tabel_a[[#This Row],[Indeks]],_xlfn.IFNA(FB$2,-99),FB$5,_xlfn.IFNA(FB$3,-99),FB$6,_xlfn.IFNA(FB$4,-99),FB$7,""),"")</f>
        <v/>
      </c>
      <c r="FE237" s="32">
        <f>Eu_tabel_a[[#This Row],[x base]]*SQRT(Eu_a_h0_x*(1-Eu_a_h0_x)/Eu_a_n_x)+Eu_a_h0_x</f>
        <v>0</v>
      </c>
      <c r="FJ237" s="74" t="e">
        <f t="shared" si="338"/>
        <v>#N/A</v>
      </c>
      <c r="FK237" s="82" t="e">
        <f t="shared" si="426"/>
        <v>#DIV/0!</v>
      </c>
      <c r="FL237" s="7" t="e">
        <f t="shared" si="332"/>
        <v>#DIV/0!</v>
      </c>
      <c r="FM237" t="e">
        <f t="shared" si="427"/>
        <v>#DIV/0!</v>
      </c>
      <c r="FN237" s="8" t="e">
        <f t="shared" si="428"/>
        <v>#DIV/0!</v>
      </c>
      <c r="FO237" s="8" t="e">
        <f t="shared" si="429"/>
        <v>#DIV/0!</v>
      </c>
      <c r="FP237" s="81" t="e">
        <f t="shared" si="430"/>
        <v>#DIV/0!</v>
      </c>
      <c r="FQ237" s="74" t="e">
        <f t="shared" ca="1" si="333"/>
        <v>#N/A</v>
      </c>
      <c r="FR237" s="82" t="e" vm="3">
        <f t="shared" ca="1" si="339"/>
        <v>#VALUE!</v>
      </c>
      <c r="FS237" s="7" t="e" vm="3">
        <f t="shared" ca="1" si="334"/>
        <v>#VALUE!</v>
      </c>
      <c r="FT237" t="e" vm="3">
        <f t="shared" ca="1" si="328"/>
        <v>#VALUE!</v>
      </c>
      <c r="FU237" s="8" t="e" vm="3">
        <f t="shared" ca="1" si="329"/>
        <v>#VALUE!</v>
      </c>
      <c r="FV237" s="8" t="e" vm="3">
        <f t="shared" ca="1" si="330"/>
        <v>#VALUE!</v>
      </c>
      <c r="FW237" s="81" t="e" vm="3">
        <f t="shared" ca="1" si="331"/>
        <v>#VALUE!</v>
      </c>
      <c r="FX237" s="74" t="e">
        <f t="shared" si="335"/>
        <v>#N/A</v>
      </c>
      <c r="FY237" s="82" t="e">
        <f t="shared" si="340"/>
        <v>#N/A</v>
      </c>
      <c r="FZ237" s="7" t="e">
        <f t="shared" si="336"/>
        <v>#N/A</v>
      </c>
      <c r="GA237" t="e">
        <f t="shared" si="341"/>
        <v>#N/A</v>
      </c>
      <c r="GB237" s="8" t="e">
        <f t="shared" si="342"/>
        <v>#N/A</v>
      </c>
      <c r="GC237" s="8" t="e">
        <f t="shared" si="343"/>
        <v>#N/A</v>
      </c>
      <c r="GD237" s="81" t="e">
        <f t="shared" si="344"/>
        <v>#N/A</v>
      </c>
      <c r="GE237" s="74" t="e">
        <f t="shared" si="345"/>
        <v>#N/A</v>
      </c>
      <c r="GF237" s="82" t="e">
        <f t="shared" si="346"/>
        <v>#N/A</v>
      </c>
      <c r="GG237" s="7" t="e">
        <f t="shared" si="337"/>
        <v>#N/A</v>
      </c>
      <c r="GH237" t="e">
        <f t="shared" si="347"/>
        <v>#N/A</v>
      </c>
      <c r="GI237" s="8" t="e">
        <f t="shared" si="348"/>
        <v>#N/A</v>
      </c>
      <c r="GJ237" s="8" t="e">
        <f t="shared" si="349"/>
        <v>#N/A</v>
      </c>
      <c r="GK237" s="81" t="e">
        <f t="shared" si="350"/>
        <v>#N/A</v>
      </c>
      <c r="GL237" s="81"/>
      <c r="GM237" s="81"/>
      <c r="GP237" s="32">
        <f t="shared" si="395"/>
        <v>227</v>
      </c>
      <c r="GQ237" s="32">
        <f t="shared" si="396"/>
        <v>228</v>
      </c>
      <c r="GR237" s="32">
        <f t="shared" si="397"/>
        <v>2.347618341119734</v>
      </c>
      <c r="GS237" s="32">
        <f t="shared" si="398"/>
        <v>2.5359687526847842E-2</v>
      </c>
      <c r="GT237" s="32" t="e">
        <f t="shared" si="399"/>
        <v>#N/A</v>
      </c>
      <c r="GU237" s="32" t="e">
        <f t="shared" si="400"/>
        <v>#N/A</v>
      </c>
      <c r="GV237" s="32" t="e">
        <f t="shared" si="401"/>
        <v>#N/A</v>
      </c>
      <c r="GW237" s="32" t="b">
        <f t="shared" si="402"/>
        <v>0</v>
      </c>
      <c r="GX237" s="32" t="b">
        <f t="shared" si="403"/>
        <v>1</v>
      </c>
      <c r="GY237" s="32" t="b">
        <f t="shared" si="404"/>
        <v>1</v>
      </c>
      <c r="GZ237" s="32" t="b">
        <f t="shared" si="405"/>
        <v>0</v>
      </c>
      <c r="HA237" s="32">
        <f t="shared" si="406"/>
        <v>2.5359687526847842E-2</v>
      </c>
      <c r="HB237" s="32">
        <f t="shared" si="407"/>
        <v>2.5359687526847842E-2</v>
      </c>
      <c r="HC237" s="32" t="e">
        <f t="shared" si="408"/>
        <v>#N/A</v>
      </c>
      <c r="HD237" s="45" t="str">
        <f t="shared" si="409"/>
        <v/>
      </c>
      <c r="HJ237" s="32">
        <f t="shared" si="410"/>
        <v>227</v>
      </c>
      <c r="HK237" s="32">
        <f t="shared" si="411"/>
        <v>228</v>
      </c>
      <c r="HL237" s="32">
        <f t="shared" si="412"/>
        <v>3.6353363070275719</v>
      </c>
      <c r="HM237" s="32" t="e">
        <f t="shared" si="413"/>
        <v>#N/A</v>
      </c>
      <c r="HN237" s="32">
        <f t="shared" si="414"/>
        <v>5.5346566224468846E-3</v>
      </c>
      <c r="HO237" s="32" t="e">
        <f t="shared" si="415"/>
        <v>#N/A</v>
      </c>
      <c r="HP237" s="32" t="e">
        <f t="shared" si="416"/>
        <v>#N/A</v>
      </c>
      <c r="HQ237" s="32" t="b">
        <f t="shared" si="417"/>
        <v>0</v>
      </c>
      <c r="HR237" s="32" t="b">
        <f t="shared" si="418"/>
        <v>1</v>
      </c>
      <c r="HS237" s="32" t="b">
        <f t="shared" si="419"/>
        <v>1</v>
      </c>
      <c r="HT237" s="32" t="b">
        <f t="shared" si="420"/>
        <v>0</v>
      </c>
      <c r="HU237" s="32">
        <f t="shared" si="421"/>
        <v>5.5346566224468846E-3</v>
      </c>
      <c r="HV237" s="32" t="e">
        <f t="shared" si="422"/>
        <v>#N/A</v>
      </c>
      <c r="HW237" s="32">
        <f t="shared" si="423"/>
        <v>5.5346566224468846E-3</v>
      </c>
      <c r="HX237" s="45" t="str">
        <f t="shared" si="424"/>
        <v/>
      </c>
    </row>
    <row r="238" spans="78:232" x14ac:dyDescent="0.2">
      <c r="BZ238" s="32">
        <f t="shared" si="351"/>
        <v>228</v>
      </c>
      <c r="CA238" s="32">
        <f>Eu_tabel_g[[#This Row],[Indeks]]+1</f>
        <v>229</v>
      </c>
      <c r="CB238" s="32">
        <f t="shared" si="352"/>
        <v>2.3715736303148329</v>
      </c>
      <c r="CC238" s="32">
        <f t="shared" si="353"/>
        <v>2.3965996273642022E-2</v>
      </c>
      <c r="CD238" s="32" t="e">
        <f t="shared" si="354"/>
        <v>#N/A</v>
      </c>
      <c r="CE238" s="32" t="e">
        <f t="shared" si="355"/>
        <v>#N/A</v>
      </c>
      <c r="CF238" s="32" t="e">
        <f t="shared" si="356"/>
        <v>#N/A</v>
      </c>
      <c r="CG238" s="32" t="b">
        <f t="shared" si="357"/>
        <v>0</v>
      </c>
      <c r="CH238" s="32" t="b">
        <f t="shared" si="358"/>
        <v>1</v>
      </c>
      <c r="CI238" s="32" t="b">
        <f t="shared" si="359"/>
        <v>1</v>
      </c>
      <c r="CJ238" s="32" t="b">
        <f t="shared" si="360"/>
        <v>0</v>
      </c>
      <c r="CK238" s="32">
        <f t="shared" si="425"/>
        <v>2.3965996273642022E-2</v>
      </c>
      <c r="CL238" s="32">
        <f t="shared" si="361"/>
        <v>2.3965996273642022E-2</v>
      </c>
      <c r="CM238" s="32" t="e">
        <f t="shared" si="362"/>
        <v>#N/A</v>
      </c>
      <c r="CN238" s="45" t="str">
        <f t="shared" si="363"/>
        <v/>
      </c>
      <c r="CO238" s="32">
        <f>_xlfn.NORM.DIST(_xlfn.NORM.INV(1-Eu_g_konfidensniveau,0,1)-Eu_tabel_g[[#This Row],[x base]],0,1,TRUE)</f>
        <v>2.9543545472232729E-5</v>
      </c>
      <c r="CP238" s="32">
        <f>1-_xlfn.NORM.DIST(_xlfn.NORM.INV(Eu_g_konfidensniveau,0,1)-Eu_tabel_g[[#This Row],[x base]],0,1,TRUE)</f>
        <v>0.76630125152424833</v>
      </c>
      <c r="CQ238" s="32">
        <f>_xlfn.NORM.DIST(_xlfn.NORM.INV((1-Eu_g_konfidensniveau)/2,0,1)-Eu_tabel_g[[#This Row],[x base]],0,1,TRUE)+1-_xlfn.NORM.DIST(_xlfn.NORM.INV(1-(1-Eu_g_konfidensniveau)/2,0,1)-Eu_tabel_g[[#This Row],[x base]],0,1,TRUE)</f>
        <v>0.65969462333628104</v>
      </c>
      <c r="CR238" s="32" t="e" cm="1">
        <f t="array" ref="CR238">IF($CR$3,INDEX(Eu_tabel_g[[#This Row],[Styrke venstre]:[Styrke tosidet]],CR$7),NA())</f>
        <v>#N/A</v>
      </c>
      <c r="CS238" s="52" t="e">
        <f>Eu_tabel_g[[#This Row],[Falsk positiv
Nulhypotese accepteres
Fejltype 1]]</f>
        <v>#N/A</v>
      </c>
      <c r="CT238" s="52" t="e">
        <f>IF(CHOOSE(CR$7,Eu_tabel_g[[#This Row],[x base]]&gt;0,Eu_tabel_g[[#This Row],[x base]]&lt;0,Eu_tabel_g[[#This Row],[x base]]=0),Eu_tabel_g[[#This Row],[Styrke, aktiv]],NA())</f>
        <v>#N/A</v>
      </c>
      <c r="CU238" s="52" t="e">
        <f>IFERROR(IF($CR$3,Eu_tabel_g[[#This Row],[Styrke, aktiv]],NA()),NA())</f>
        <v>#N/A</v>
      </c>
      <c r="CV238" s="52" t="e">
        <f>IF(ISNA(Eu_tabel_g[[#This Row],[Sand negativ
Nulhypotese afvises
Korrekt]]),NA(),IF($CR$3,1,NA()))</f>
        <v>#N/A</v>
      </c>
      <c r="CW238" s="34" t="str" cm="1">
        <f t="array" ref="CW238">_xlfn.SWITCH(BZ238,_xlfn.IFNA(CU$2,-99),CU$5,_xlfn.IFNA(CU$3,-99),CU$6,_xlfn.IFNA(CU$4,-99),CU$7,"")</f>
        <v/>
      </c>
      <c r="DA238" s="7">
        <f t="shared" si="364"/>
        <v>0.8</v>
      </c>
      <c r="DB238">
        <f>IF(ROW(Styrkeberegning_G[[#This Row],[X base venstre]])=ROW(Styrkeberegning_G[[#Headers],[X base venstre]])+1,DB$7/(DA$7/$B$67),DB237/(DA237/$B$67))</f>
        <v>-2.8015817870135784</v>
      </c>
      <c r="DC238">
        <f>Styrkeberegning_G[[#This Row],[X base venstre]]*-1</f>
        <v>2.8015817870135784</v>
      </c>
      <c r="DN238" s="32">
        <f t="shared" si="365"/>
        <v>228</v>
      </c>
      <c r="DO238" s="32">
        <f t="shared" si="366"/>
        <v>229</v>
      </c>
      <c r="DP238" s="32">
        <f t="shared" si="367"/>
        <v>27.84200792772992</v>
      </c>
      <c r="DQ238" s="32" t="e">
        <f t="shared" si="368"/>
        <v>#N/A</v>
      </c>
      <c r="DR238" s="32" t="e">
        <f t="shared" si="369"/>
        <v>#N/A</v>
      </c>
      <c r="DS238" s="32">
        <f t="shared" si="370"/>
        <v>1.2045242305972269E-3</v>
      </c>
      <c r="DT238" s="32" t="e">
        <f t="shared" si="371"/>
        <v>#N/A</v>
      </c>
      <c r="DU238" s="32" t="b">
        <f t="shared" si="372"/>
        <v>0</v>
      </c>
      <c r="DV238" s="32" t="b">
        <f t="shared" si="373"/>
        <v>1</v>
      </c>
      <c r="DW238" s="32" t="b">
        <f t="shared" si="374"/>
        <v>1</v>
      </c>
      <c r="DX238" s="32" t="b">
        <f t="shared" si="375"/>
        <v>0</v>
      </c>
      <c r="DY238" s="32">
        <f t="shared" si="376"/>
        <v>1.2045242305972269E-3</v>
      </c>
      <c r="DZ238" s="32">
        <f t="shared" si="377"/>
        <v>1.2045242305972269E-3</v>
      </c>
      <c r="EA238" s="32" t="e">
        <f t="shared" si="378"/>
        <v>#N/A</v>
      </c>
      <c r="EB238" s="45" t="str">
        <f t="shared" si="379"/>
        <v/>
      </c>
      <c r="EG238" s="32">
        <f t="shared" si="380"/>
        <v>228</v>
      </c>
      <c r="EH238" s="32">
        <f t="shared" si="381"/>
        <v>229</v>
      </c>
      <c r="EI238" s="32">
        <f t="shared" si="382"/>
        <v>2.3715736303148329</v>
      </c>
      <c r="EJ238" s="32">
        <f t="shared" si="383"/>
        <v>2.3965996273642022E-2</v>
      </c>
      <c r="EK238" s="32" t="e">
        <f t="shared" si="384"/>
        <v>#N/A</v>
      </c>
      <c r="EL238" s="32" t="e">
        <f t="shared" si="385"/>
        <v>#N/A</v>
      </c>
      <c r="EM238" s="32" t="e">
        <f t="shared" si="386"/>
        <v>#N/A</v>
      </c>
      <c r="EN238" s="32" t="b">
        <f t="shared" si="387"/>
        <v>0</v>
      </c>
      <c r="EO238" s="32" t="b">
        <f t="shared" si="388"/>
        <v>1</v>
      </c>
      <c r="EP238" s="32" t="b">
        <f t="shared" si="389"/>
        <v>1</v>
      </c>
      <c r="EQ238" s="32" t="b">
        <f t="shared" si="390"/>
        <v>0</v>
      </c>
      <c r="ER238" s="32">
        <f t="shared" si="391"/>
        <v>2.3965996273642022E-2</v>
      </c>
      <c r="ES238" s="32">
        <f t="shared" si="392"/>
        <v>2.3965996273642022E-2</v>
      </c>
      <c r="ET238" s="32" t="e">
        <f t="shared" si="393"/>
        <v>#N/A</v>
      </c>
      <c r="EU238" s="45" t="str">
        <f t="shared" si="394"/>
        <v/>
      </c>
      <c r="EV23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8" s="32" t="e" cm="1">
        <f t="array" ref="EY238">IF($CR$3,INDEX(Eu_tabel_a[[#This Row],[Styrke venstre]:[Styrke tosidet]],EY$7),NA())</f>
        <v>#N/A</v>
      </c>
      <c r="EZ238" s="32" t="e">
        <f>IF(EY$3,IF(CHOOSE(EY$7,Eu_tabel_a[[#This Row],[x base]]&gt;0,Eu_tabel_a[[#This Row],[x base]]&lt;0,Eu_tabel_a[[#This Row],[x base]]=0),1,NA()),NA())</f>
        <v>#N/A</v>
      </c>
      <c r="FA238" s="32" t="e">
        <f>IF(CHOOSE(EY$7,Eu_tabel_a[[#This Row],[x base]]&gt;0,Eu_tabel_a[[#This Row],[x base]]&lt;0,Eu_tabel_a[[#This Row],[x base]]=0),Eu_tabel_a[[#This Row],[Styrke, aktiv]],NA())</f>
        <v>#N/A</v>
      </c>
      <c r="FB238" s="32" t="e">
        <f>IFERROR(IF($EY$3,Eu_tabel_a[[#This Row],[Styrke, aktiv]],NA()),NA())</f>
        <v>#N/A</v>
      </c>
      <c r="FC238" s="32" t="e">
        <f>IF(ISNA(Eu_tabel_a[[#This Row],[Sand negativ
Nulhypotese afvises
Korrekt]]),NA(),IF(EY$3,1,NA()))</f>
        <v>#N/A</v>
      </c>
      <c r="FD238" s="33" t="str" cm="1">
        <f t="array" ref="FD238">IFERROR(_xlfn.SWITCH(Eu_tabel_a[[#This Row],[Indeks]],_xlfn.IFNA(FB$2,-99),FB$5,_xlfn.IFNA(FB$3,-99),FB$6,_xlfn.IFNA(FB$4,-99),FB$7,""),"")</f>
        <v/>
      </c>
      <c r="FE238" s="32">
        <f>Eu_tabel_a[[#This Row],[x base]]*SQRT(Eu_a_h0_x*(1-Eu_a_h0_x)/Eu_a_n_x)+Eu_a_h0_x</f>
        <v>0</v>
      </c>
      <c r="FJ238" s="74" t="e">
        <f t="shared" si="338"/>
        <v>#N/A</v>
      </c>
      <c r="FK238" s="82" t="e">
        <f t="shared" si="426"/>
        <v>#DIV/0!</v>
      </c>
      <c r="FL238" s="7" t="e">
        <f t="shared" si="332"/>
        <v>#DIV/0!</v>
      </c>
      <c r="FM238" t="e">
        <f t="shared" si="427"/>
        <v>#DIV/0!</v>
      </c>
      <c r="FN238" s="8" t="e">
        <f t="shared" si="428"/>
        <v>#DIV/0!</v>
      </c>
      <c r="FO238" s="8" t="e">
        <f t="shared" si="429"/>
        <v>#DIV/0!</v>
      </c>
      <c r="FP238" s="81" t="e">
        <f t="shared" si="430"/>
        <v>#DIV/0!</v>
      </c>
      <c r="FQ238" s="74" t="e">
        <f t="shared" ca="1" si="333"/>
        <v>#N/A</v>
      </c>
      <c r="FR238" s="82" t="e" vm="3">
        <f t="shared" ca="1" si="339"/>
        <v>#VALUE!</v>
      </c>
      <c r="FS238" s="7" t="e" vm="3">
        <f t="shared" ca="1" si="334"/>
        <v>#VALUE!</v>
      </c>
      <c r="FT238" t="e" vm="3">
        <f t="shared" ca="1" si="328"/>
        <v>#VALUE!</v>
      </c>
      <c r="FU238" s="8" t="e" vm="3">
        <f t="shared" ca="1" si="329"/>
        <v>#VALUE!</v>
      </c>
      <c r="FV238" s="8" t="e" vm="3">
        <f t="shared" ca="1" si="330"/>
        <v>#VALUE!</v>
      </c>
      <c r="FW238" s="81" t="e" vm="3">
        <f t="shared" ca="1" si="331"/>
        <v>#VALUE!</v>
      </c>
      <c r="FX238" s="74" t="e">
        <f t="shared" si="335"/>
        <v>#N/A</v>
      </c>
      <c r="FY238" s="82" t="e">
        <f t="shared" si="340"/>
        <v>#N/A</v>
      </c>
      <c r="FZ238" s="7" t="e">
        <f t="shared" si="336"/>
        <v>#N/A</v>
      </c>
      <c r="GA238" t="e">
        <f t="shared" si="341"/>
        <v>#N/A</v>
      </c>
      <c r="GB238" s="8" t="e">
        <f t="shared" si="342"/>
        <v>#N/A</v>
      </c>
      <c r="GC238" s="8" t="e">
        <f t="shared" si="343"/>
        <v>#N/A</v>
      </c>
      <c r="GD238" s="81" t="e">
        <f t="shared" si="344"/>
        <v>#N/A</v>
      </c>
      <c r="GE238" s="74" t="e">
        <f t="shared" si="345"/>
        <v>#N/A</v>
      </c>
      <c r="GF238" s="82" t="e">
        <f t="shared" si="346"/>
        <v>#N/A</v>
      </c>
      <c r="GG238" s="7" t="e">
        <f t="shared" si="337"/>
        <v>#N/A</v>
      </c>
      <c r="GH238" t="e">
        <f t="shared" si="347"/>
        <v>#N/A</v>
      </c>
      <c r="GI238" s="8" t="e">
        <f t="shared" si="348"/>
        <v>#N/A</v>
      </c>
      <c r="GJ238" s="8" t="e">
        <f t="shared" si="349"/>
        <v>#N/A</v>
      </c>
      <c r="GK238" s="81" t="e">
        <f t="shared" si="350"/>
        <v>#N/A</v>
      </c>
      <c r="GL238" s="81"/>
      <c r="GM238" s="81"/>
      <c r="GP238" s="32">
        <f t="shared" si="395"/>
        <v>228</v>
      </c>
      <c r="GQ238" s="32">
        <f t="shared" si="396"/>
        <v>229</v>
      </c>
      <c r="GR238" s="32">
        <f t="shared" si="397"/>
        <v>2.3715736303148329</v>
      </c>
      <c r="GS238" s="32">
        <f t="shared" si="398"/>
        <v>2.3965996273642022E-2</v>
      </c>
      <c r="GT238" s="32" t="e">
        <f t="shared" si="399"/>
        <v>#N/A</v>
      </c>
      <c r="GU238" s="32" t="e">
        <f t="shared" si="400"/>
        <v>#N/A</v>
      </c>
      <c r="GV238" s="32" t="e">
        <f t="shared" si="401"/>
        <v>#N/A</v>
      </c>
      <c r="GW238" s="32" t="b">
        <f t="shared" si="402"/>
        <v>0</v>
      </c>
      <c r="GX238" s="32" t="b">
        <f t="shared" si="403"/>
        <v>1</v>
      </c>
      <c r="GY238" s="32" t="b">
        <f t="shared" si="404"/>
        <v>1</v>
      </c>
      <c r="GZ238" s="32" t="b">
        <f t="shared" si="405"/>
        <v>0</v>
      </c>
      <c r="HA238" s="32">
        <f t="shared" si="406"/>
        <v>2.3965996273642022E-2</v>
      </c>
      <c r="HB238" s="32">
        <f t="shared" si="407"/>
        <v>2.3965996273642022E-2</v>
      </c>
      <c r="HC238" s="32" t="e">
        <f t="shared" si="408"/>
        <v>#N/A</v>
      </c>
      <c r="HD238" s="45" t="str">
        <f t="shared" si="409"/>
        <v/>
      </c>
      <c r="HJ238" s="32">
        <f t="shared" si="410"/>
        <v>228</v>
      </c>
      <c r="HK238" s="32">
        <f t="shared" si="411"/>
        <v>229</v>
      </c>
      <c r="HL238" s="32">
        <f t="shared" si="412"/>
        <v>3.6724315754666286</v>
      </c>
      <c r="HM238" s="32" t="e">
        <f t="shared" si="413"/>
        <v>#N/A</v>
      </c>
      <c r="HN238" s="32">
        <f t="shared" si="414"/>
        <v>5.2474784393453577E-3</v>
      </c>
      <c r="HO238" s="32" t="e">
        <f t="shared" si="415"/>
        <v>#N/A</v>
      </c>
      <c r="HP238" s="32" t="e">
        <f t="shared" si="416"/>
        <v>#N/A</v>
      </c>
      <c r="HQ238" s="32" t="b">
        <f t="shared" si="417"/>
        <v>0</v>
      </c>
      <c r="HR238" s="32" t="b">
        <f t="shared" si="418"/>
        <v>1</v>
      </c>
      <c r="HS238" s="32" t="b">
        <f t="shared" si="419"/>
        <v>1</v>
      </c>
      <c r="HT238" s="32" t="b">
        <f t="shared" si="420"/>
        <v>0</v>
      </c>
      <c r="HU238" s="32">
        <f t="shared" si="421"/>
        <v>5.2474784393453577E-3</v>
      </c>
      <c r="HV238" s="32" t="e">
        <f t="shared" si="422"/>
        <v>#N/A</v>
      </c>
      <c r="HW238" s="32">
        <f t="shared" si="423"/>
        <v>5.2474784393453577E-3</v>
      </c>
      <c r="HX238" s="45" t="str">
        <f t="shared" si="424"/>
        <v/>
      </c>
    </row>
    <row r="239" spans="78:232" x14ac:dyDescent="0.2">
      <c r="BZ239" s="32">
        <f t="shared" si="351"/>
        <v>229</v>
      </c>
      <c r="CA239" s="32">
        <f>Eu_tabel_g[[#This Row],[Indeks]]+1</f>
        <v>230</v>
      </c>
      <c r="CB239" s="32">
        <f t="shared" si="352"/>
        <v>2.3955289195099327</v>
      </c>
      <c r="CC239" s="32">
        <f t="shared" si="353"/>
        <v>2.2635904575720501E-2</v>
      </c>
      <c r="CD239" s="32" t="e">
        <f t="shared" si="354"/>
        <v>#N/A</v>
      </c>
      <c r="CE239" s="32" t="e">
        <f t="shared" si="355"/>
        <v>#N/A</v>
      </c>
      <c r="CF239" s="32" t="e">
        <f t="shared" si="356"/>
        <v>#N/A</v>
      </c>
      <c r="CG239" s="32" t="b">
        <f t="shared" si="357"/>
        <v>0</v>
      </c>
      <c r="CH239" s="32" t="b">
        <f t="shared" si="358"/>
        <v>1</v>
      </c>
      <c r="CI239" s="32" t="b">
        <f t="shared" si="359"/>
        <v>1</v>
      </c>
      <c r="CJ239" s="32" t="b">
        <f t="shared" si="360"/>
        <v>0</v>
      </c>
      <c r="CK239" s="32">
        <f t="shared" si="425"/>
        <v>2.2635904575720501E-2</v>
      </c>
      <c r="CL239" s="32">
        <f t="shared" si="361"/>
        <v>2.2635904575720501E-2</v>
      </c>
      <c r="CM239" s="32" t="e">
        <f t="shared" si="362"/>
        <v>#N/A</v>
      </c>
      <c r="CN239" s="45" t="str">
        <f t="shared" si="363"/>
        <v/>
      </c>
      <c r="CO239" s="32">
        <f>_xlfn.NORM.DIST(_xlfn.NORM.INV(1-Eu_g_konfidensniveau,0,1)-Eu_tabel_g[[#This Row],[x base]],0,1,TRUE)</f>
        <v>2.6682042684325417E-5</v>
      </c>
      <c r="CP239" s="32">
        <f>1-_xlfn.NORM.DIST(_xlfn.NORM.INV(Eu_g_konfidensniveau,0,1)-Eu_tabel_g[[#This Row],[x base]],0,1,TRUE)</f>
        <v>0.77357595198661899</v>
      </c>
      <c r="CQ239" s="32">
        <f>_xlfn.NORM.DIST(_xlfn.NORM.INV((1-Eu_g_konfidensniveau)/2,0,1)-Eu_tabel_g[[#This Row],[x base]],0,1,TRUE)+1-_xlfn.NORM.DIST(_xlfn.NORM.INV(1-(1-Eu_g_konfidensniveau)/2,0,1)-Eu_tabel_g[[#This Row],[x base]],0,1,TRUE)</f>
        <v>0.66843043014353232</v>
      </c>
      <c r="CR239" s="32" t="e" cm="1">
        <f t="array" ref="CR239">IF($CR$3,INDEX(Eu_tabel_g[[#This Row],[Styrke venstre]:[Styrke tosidet]],CR$7),NA())</f>
        <v>#N/A</v>
      </c>
      <c r="CS239" s="52" t="e">
        <f>Eu_tabel_g[[#This Row],[Falsk positiv
Nulhypotese accepteres
Fejltype 1]]</f>
        <v>#N/A</v>
      </c>
      <c r="CT239" s="52" t="e">
        <f>IF(CHOOSE(CR$7,Eu_tabel_g[[#This Row],[x base]]&gt;0,Eu_tabel_g[[#This Row],[x base]]&lt;0,Eu_tabel_g[[#This Row],[x base]]=0),Eu_tabel_g[[#This Row],[Styrke, aktiv]],NA())</f>
        <v>#N/A</v>
      </c>
      <c r="CU239" s="52" t="e">
        <f>IFERROR(IF($CR$3,Eu_tabel_g[[#This Row],[Styrke, aktiv]],NA()),NA())</f>
        <v>#N/A</v>
      </c>
      <c r="CV239" s="52" t="e">
        <f>IF(ISNA(Eu_tabel_g[[#This Row],[Sand negativ
Nulhypotese afvises
Korrekt]]),NA(),IF($CR$3,1,NA()))</f>
        <v>#N/A</v>
      </c>
      <c r="CW239" s="34" t="str" cm="1">
        <f t="array" ref="CW239">_xlfn.SWITCH(BZ239,_xlfn.IFNA(CU$2,-99),CU$5,_xlfn.IFNA(CU$3,-99),CU$6,_xlfn.IFNA(CU$4,-99),CU$7,"")</f>
        <v/>
      </c>
      <c r="DA239" s="7">
        <f t="shared" si="364"/>
        <v>0.8</v>
      </c>
      <c r="DB239">
        <f>IF(ROW(Styrkeberegning_G[[#This Row],[X base venstre]])=ROW(Styrkeberegning_G[[#Headers],[X base venstre]])+1,DB$7/(DA$7/$B$67),DB238/(DA238/$B$67))</f>
        <v>-2.8015817870135784</v>
      </c>
      <c r="DC239">
        <f>Styrkeberegning_G[[#This Row],[X base venstre]]*-1</f>
        <v>2.8015817870135784</v>
      </c>
      <c r="DN239" s="32">
        <f t="shared" si="365"/>
        <v>229</v>
      </c>
      <c r="DO239" s="32">
        <f t="shared" si="366"/>
        <v>230</v>
      </c>
      <c r="DP239" s="32">
        <f t="shared" si="367"/>
        <v>27.956078784146921</v>
      </c>
      <c r="DQ239" s="32" t="e">
        <f t="shared" si="368"/>
        <v>#N/A</v>
      </c>
      <c r="DR239" s="32" t="e">
        <f t="shared" si="369"/>
        <v>#N/A</v>
      </c>
      <c r="DS239" s="32">
        <f t="shared" si="370"/>
        <v>1.1588735006259946E-3</v>
      </c>
      <c r="DT239" s="32" t="e">
        <f t="shared" si="371"/>
        <v>#N/A</v>
      </c>
      <c r="DU239" s="32" t="b">
        <f t="shared" si="372"/>
        <v>0</v>
      </c>
      <c r="DV239" s="32" t="b">
        <f t="shared" si="373"/>
        <v>1</v>
      </c>
      <c r="DW239" s="32" t="b">
        <f t="shared" si="374"/>
        <v>1</v>
      </c>
      <c r="DX239" s="32" t="b">
        <f t="shared" si="375"/>
        <v>0</v>
      </c>
      <c r="DY239" s="32">
        <f t="shared" si="376"/>
        <v>1.1588735006259946E-3</v>
      </c>
      <c r="DZ239" s="32">
        <f t="shared" si="377"/>
        <v>1.1588735006259946E-3</v>
      </c>
      <c r="EA239" s="32" t="e">
        <f t="shared" si="378"/>
        <v>#N/A</v>
      </c>
      <c r="EB239" s="45" t="str">
        <f t="shared" si="379"/>
        <v/>
      </c>
      <c r="EG239" s="32">
        <f t="shared" si="380"/>
        <v>229</v>
      </c>
      <c r="EH239" s="32">
        <f t="shared" si="381"/>
        <v>230</v>
      </c>
      <c r="EI239" s="32">
        <f t="shared" si="382"/>
        <v>2.3955289195099327</v>
      </c>
      <c r="EJ239" s="32">
        <f t="shared" si="383"/>
        <v>2.2635904575720501E-2</v>
      </c>
      <c r="EK239" s="32" t="e">
        <f t="shared" si="384"/>
        <v>#N/A</v>
      </c>
      <c r="EL239" s="32" t="e">
        <f t="shared" si="385"/>
        <v>#N/A</v>
      </c>
      <c r="EM239" s="32" t="e">
        <f t="shared" si="386"/>
        <v>#N/A</v>
      </c>
      <c r="EN239" s="32" t="b">
        <f t="shared" si="387"/>
        <v>0</v>
      </c>
      <c r="EO239" s="32" t="b">
        <f t="shared" si="388"/>
        <v>1</v>
      </c>
      <c r="EP239" s="32" t="b">
        <f t="shared" si="389"/>
        <v>1</v>
      </c>
      <c r="EQ239" s="32" t="b">
        <f t="shared" si="390"/>
        <v>0</v>
      </c>
      <c r="ER239" s="32">
        <f t="shared" si="391"/>
        <v>2.2635904575720501E-2</v>
      </c>
      <c r="ES239" s="32">
        <f t="shared" si="392"/>
        <v>2.2635904575720501E-2</v>
      </c>
      <c r="ET239" s="32" t="e">
        <f t="shared" si="393"/>
        <v>#N/A</v>
      </c>
      <c r="EU239" s="45" t="str">
        <f t="shared" si="394"/>
        <v/>
      </c>
      <c r="EV23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9" s="32" t="e" cm="1">
        <f t="array" ref="EY239">IF($CR$3,INDEX(Eu_tabel_a[[#This Row],[Styrke venstre]:[Styrke tosidet]],EY$7),NA())</f>
        <v>#N/A</v>
      </c>
      <c r="EZ239" s="32" t="e">
        <f>IF(EY$3,IF(CHOOSE(EY$7,Eu_tabel_a[[#This Row],[x base]]&gt;0,Eu_tabel_a[[#This Row],[x base]]&lt;0,Eu_tabel_a[[#This Row],[x base]]=0),1,NA()),NA())</f>
        <v>#N/A</v>
      </c>
      <c r="FA239" s="32" t="e">
        <f>IF(CHOOSE(EY$7,Eu_tabel_a[[#This Row],[x base]]&gt;0,Eu_tabel_a[[#This Row],[x base]]&lt;0,Eu_tabel_a[[#This Row],[x base]]=0),Eu_tabel_a[[#This Row],[Styrke, aktiv]],NA())</f>
        <v>#N/A</v>
      </c>
      <c r="FB239" s="32" t="e">
        <f>IFERROR(IF($EY$3,Eu_tabel_a[[#This Row],[Styrke, aktiv]],NA()),NA())</f>
        <v>#N/A</v>
      </c>
      <c r="FC239" s="32" t="e">
        <f>IF(ISNA(Eu_tabel_a[[#This Row],[Sand negativ
Nulhypotese afvises
Korrekt]]),NA(),IF(EY$3,1,NA()))</f>
        <v>#N/A</v>
      </c>
      <c r="FD239" s="33" t="str" cm="1">
        <f t="array" ref="FD239">IFERROR(_xlfn.SWITCH(Eu_tabel_a[[#This Row],[Indeks]],_xlfn.IFNA(FB$2,-99),FB$5,_xlfn.IFNA(FB$3,-99),FB$6,_xlfn.IFNA(FB$4,-99),FB$7,""),"")</f>
        <v/>
      </c>
      <c r="FE239" s="32">
        <f>Eu_tabel_a[[#This Row],[x base]]*SQRT(Eu_a_h0_x*(1-Eu_a_h0_x)/Eu_a_n_x)+Eu_a_h0_x</f>
        <v>0</v>
      </c>
      <c r="FJ239" s="74" t="e">
        <f t="shared" si="338"/>
        <v>#N/A</v>
      </c>
      <c r="FK239" s="82" t="e">
        <f t="shared" si="426"/>
        <v>#DIV/0!</v>
      </c>
      <c r="FL239" s="7" t="e">
        <f t="shared" si="332"/>
        <v>#DIV/0!</v>
      </c>
      <c r="FM239" t="e">
        <f t="shared" si="427"/>
        <v>#DIV/0!</v>
      </c>
      <c r="FN239" s="8" t="e">
        <f t="shared" si="428"/>
        <v>#DIV/0!</v>
      </c>
      <c r="FO239" s="8" t="e">
        <f t="shared" si="429"/>
        <v>#DIV/0!</v>
      </c>
      <c r="FP239" s="81" t="e">
        <f t="shared" si="430"/>
        <v>#DIV/0!</v>
      </c>
      <c r="FQ239" s="74" t="e">
        <f t="shared" ca="1" si="333"/>
        <v>#N/A</v>
      </c>
      <c r="FR239" s="82" t="e" vm="3">
        <f t="shared" ca="1" si="339"/>
        <v>#VALUE!</v>
      </c>
      <c r="FS239" s="7" t="e" vm="3">
        <f t="shared" ca="1" si="334"/>
        <v>#VALUE!</v>
      </c>
      <c r="FT239" t="e" vm="3">
        <f t="shared" ca="1" si="328"/>
        <v>#VALUE!</v>
      </c>
      <c r="FU239" s="8" t="e" vm="3">
        <f t="shared" ca="1" si="329"/>
        <v>#VALUE!</v>
      </c>
      <c r="FV239" s="8" t="e" vm="3">
        <f t="shared" ca="1" si="330"/>
        <v>#VALUE!</v>
      </c>
      <c r="FW239" s="81" t="e" vm="3">
        <f t="shared" ca="1" si="331"/>
        <v>#VALUE!</v>
      </c>
      <c r="FX239" s="74" t="e">
        <f t="shared" si="335"/>
        <v>#N/A</v>
      </c>
      <c r="FY239" s="82" t="e">
        <f t="shared" si="340"/>
        <v>#N/A</v>
      </c>
      <c r="FZ239" s="7" t="e">
        <f t="shared" si="336"/>
        <v>#N/A</v>
      </c>
      <c r="GA239" t="e">
        <f t="shared" si="341"/>
        <v>#N/A</v>
      </c>
      <c r="GB239" s="8" t="e">
        <f t="shared" si="342"/>
        <v>#N/A</v>
      </c>
      <c r="GC239" s="8" t="e">
        <f t="shared" si="343"/>
        <v>#N/A</v>
      </c>
      <c r="GD239" s="81" t="e">
        <f t="shared" si="344"/>
        <v>#N/A</v>
      </c>
      <c r="GE239" s="74" t="e">
        <f t="shared" si="345"/>
        <v>#N/A</v>
      </c>
      <c r="GF239" s="82" t="e">
        <f t="shared" si="346"/>
        <v>#N/A</v>
      </c>
      <c r="GG239" s="7" t="e">
        <f t="shared" si="337"/>
        <v>#N/A</v>
      </c>
      <c r="GH239" t="e">
        <f t="shared" si="347"/>
        <v>#N/A</v>
      </c>
      <c r="GI239" s="8" t="e">
        <f t="shared" si="348"/>
        <v>#N/A</v>
      </c>
      <c r="GJ239" s="8" t="e">
        <f t="shared" si="349"/>
        <v>#N/A</v>
      </c>
      <c r="GK239" s="81" t="e">
        <f t="shared" si="350"/>
        <v>#N/A</v>
      </c>
      <c r="GL239" s="81"/>
      <c r="GM239" s="81"/>
      <c r="GP239" s="32">
        <f t="shared" si="395"/>
        <v>229</v>
      </c>
      <c r="GQ239" s="32">
        <f t="shared" si="396"/>
        <v>230</v>
      </c>
      <c r="GR239" s="32">
        <f t="shared" si="397"/>
        <v>2.3955289195099327</v>
      </c>
      <c r="GS239" s="32">
        <f t="shared" si="398"/>
        <v>2.2635904575720501E-2</v>
      </c>
      <c r="GT239" s="32" t="e">
        <f t="shared" si="399"/>
        <v>#N/A</v>
      </c>
      <c r="GU239" s="32" t="e">
        <f t="shared" si="400"/>
        <v>#N/A</v>
      </c>
      <c r="GV239" s="32" t="e">
        <f t="shared" si="401"/>
        <v>#N/A</v>
      </c>
      <c r="GW239" s="32" t="b">
        <f t="shared" si="402"/>
        <v>0</v>
      </c>
      <c r="GX239" s="32" t="b">
        <f t="shared" si="403"/>
        <v>1</v>
      </c>
      <c r="GY239" s="32" t="b">
        <f t="shared" si="404"/>
        <v>1</v>
      </c>
      <c r="GZ239" s="32" t="b">
        <f t="shared" si="405"/>
        <v>0</v>
      </c>
      <c r="HA239" s="32">
        <f t="shared" si="406"/>
        <v>2.2635904575720501E-2</v>
      </c>
      <c r="HB239" s="32">
        <f t="shared" si="407"/>
        <v>2.2635904575720501E-2</v>
      </c>
      <c r="HC239" s="32" t="e">
        <f t="shared" si="408"/>
        <v>#N/A</v>
      </c>
      <c r="HD239" s="45" t="str">
        <f t="shared" si="409"/>
        <v/>
      </c>
      <c r="HJ239" s="32">
        <f t="shared" si="410"/>
        <v>229</v>
      </c>
      <c r="HK239" s="32">
        <f t="shared" si="411"/>
        <v>230</v>
      </c>
      <c r="HL239" s="32">
        <f t="shared" si="412"/>
        <v>3.7095268439056852</v>
      </c>
      <c r="HM239" s="32" t="e">
        <f t="shared" si="413"/>
        <v>#N/A</v>
      </c>
      <c r="HN239" s="32">
        <f t="shared" si="414"/>
        <v>4.976047630397132E-3</v>
      </c>
      <c r="HO239" s="32" t="e">
        <f t="shared" si="415"/>
        <v>#N/A</v>
      </c>
      <c r="HP239" s="32" t="e">
        <f t="shared" si="416"/>
        <v>#N/A</v>
      </c>
      <c r="HQ239" s="32" t="b">
        <f t="shared" si="417"/>
        <v>0</v>
      </c>
      <c r="HR239" s="32" t="b">
        <f t="shared" si="418"/>
        <v>1</v>
      </c>
      <c r="HS239" s="32" t="b">
        <f t="shared" si="419"/>
        <v>1</v>
      </c>
      <c r="HT239" s="32" t="b">
        <f t="shared" si="420"/>
        <v>0</v>
      </c>
      <c r="HU239" s="32">
        <f t="shared" si="421"/>
        <v>4.976047630397132E-3</v>
      </c>
      <c r="HV239" s="32" t="e">
        <f t="shared" si="422"/>
        <v>#N/A</v>
      </c>
      <c r="HW239" s="32">
        <f t="shared" si="423"/>
        <v>4.976047630397132E-3</v>
      </c>
      <c r="HX239" s="45" t="str">
        <f t="shared" si="424"/>
        <v/>
      </c>
    </row>
    <row r="240" spans="78:232" x14ac:dyDescent="0.2">
      <c r="BZ240" s="32">
        <f t="shared" si="351"/>
        <v>230</v>
      </c>
      <c r="CA240" s="32">
        <f>Eu_tabel_g[[#This Row],[Indeks]]+1</f>
        <v>231</v>
      </c>
      <c r="CB240" s="32">
        <f t="shared" si="352"/>
        <v>2.4194842087050317</v>
      </c>
      <c r="CC240" s="32">
        <f t="shared" si="353"/>
        <v>2.136736648843357E-2</v>
      </c>
      <c r="CD240" s="32" t="e">
        <f t="shared" si="354"/>
        <v>#N/A</v>
      </c>
      <c r="CE240" s="32" t="e">
        <f t="shared" si="355"/>
        <v>#N/A</v>
      </c>
      <c r="CF240" s="32" t="e">
        <f t="shared" si="356"/>
        <v>#N/A</v>
      </c>
      <c r="CG240" s="32" t="b">
        <f t="shared" si="357"/>
        <v>0</v>
      </c>
      <c r="CH240" s="32" t="b">
        <f t="shared" si="358"/>
        <v>1</v>
      </c>
      <c r="CI240" s="32" t="b">
        <f t="shared" si="359"/>
        <v>1</v>
      </c>
      <c r="CJ240" s="32" t="b">
        <f t="shared" si="360"/>
        <v>0</v>
      </c>
      <c r="CK240" s="32">
        <f t="shared" si="425"/>
        <v>2.136736648843357E-2</v>
      </c>
      <c r="CL240" s="32">
        <f t="shared" si="361"/>
        <v>2.136736648843357E-2</v>
      </c>
      <c r="CM240" s="32" t="e">
        <f t="shared" si="362"/>
        <v>#N/A</v>
      </c>
      <c r="CN240" s="45" t="str">
        <f t="shared" si="363"/>
        <v/>
      </c>
      <c r="CO240" s="32">
        <f>_xlfn.NORM.DIST(_xlfn.NORM.INV(1-Eu_g_konfidensniveau,0,1)-Eu_tabel_g[[#This Row],[x base]],0,1,TRUE)</f>
        <v>2.4084507387846644E-5</v>
      </c>
      <c r="CP240" s="32">
        <f>1-_xlfn.NORM.DIST(_xlfn.NORM.INV(Eu_g_konfidensniveau,0,1)-Eu_tabel_g[[#This Row],[x base]],0,1,TRUE)</f>
        <v>0.780721009457505</v>
      </c>
      <c r="CQ240" s="32">
        <f>_xlfn.NORM.DIST(_xlfn.NORM.INV((1-Eu_g_konfidensniveau)/2,0,1)-Eu_tabel_g[[#This Row],[x base]],0,1,TRUE)+1-_xlfn.NORM.DIST(_xlfn.NORM.INV(1-(1-Eu_g_konfidensniveau)/2,0,1)-Eu_tabel_g[[#This Row],[x base]],0,1,TRUE)</f>
        <v>0.677075632875353</v>
      </c>
      <c r="CR240" s="32" t="e" cm="1">
        <f t="array" ref="CR240">IF($CR$3,INDEX(Eu_tabel_g[[#This Row],[Styrke venstre]:[Styrke tosidet]],CR$7),NA())</f>
        <v>#N/A</v>
      </c>
      <c r="CS240" s="52" t="e">
        <f>Eu_tabel_g[[#This Row],[Falsk positiv
Nulhypotese accepteres
Fejltype 1]]</f>
        <v>#N/A</v>
      </c>
      <c r="CT240" s="52" t="e">
        <f>IF(CHOOSE(CR$7,Eu_tabel_g[[#This Row],[x base]]&gt;0,Eu_tabel_g[[#This Row],[x base]]&lt;0,Eu_tabel_g[[#This Row],[x base]]=0),Eu_tabel_g[[#This Row],[Styrke, aktiv]],NA())</f>
        <v>#N/A</v>
      </c>
      <c r="CU240" s="52" t="e">
        <f>IFERROR(IF($CR$3,Eu_tabel_g[[#This Row],[Styrke, aktiv]],NA()),NA())</f>
        <v>#N/A</v>
      </c>
      <c r="CV240" s="52" t="e">
        <f>IF(ISNA(Eu_tabel_g[[#This Row],[Sand negativ
Nulhypotese afvises
Korrekt]]),NA(),IF($CR$3,1,NA()))</f>
        <v>#N/A</v>
      </c>
      <c r="CW240" s="34" t="str" cm="1">
        <f t="array" ref="CW240">_xlfn.SWITCH(BZ240,_xlfn.IFNA(CU$2,-99),CU$5,_xlfn.IFNA(CU$3,-99),CU$6,_xlfn.IFNA(CU$4,-99),CU$7,"")</f>
        <v/>
      </c>
      <c r="DA240" s="7">
        <f t="shared" si="364"/>
        <v>0.8</v>
      </c>
      <c r="DB240">
        <f>IF(ROW(Styrkeberegning_G[[#This Row],[X base venstre]])=ROW(Styrkeberegning_G[[#Headers],[X base venstre]])+1,DB$7/(DA$7/$B$67),DB239/(DA239/$B$67))</f>
        <v>-2.8015817870135784</v>
      </c>
      <c r="DC240">
        <f>Styrkeberegning_G[[#This Row],[X base venstre]]*-1</f>
        <v>2.8015817870135784</v>
      </c>
      <c r="DN240" s="32">
        <f t="shared" si="365"/>
        <v>230</v>
      </c>
      <c r="DO240" s="32">
        <f t="shared" si="366"/>
        <v>231</v>
      </c>
      <c r="DP240" s="32">
        <f t="shared" si="367"/>
        <v>28.070149640563923</v>
      </c>
      <c r="DQ240" s="32" t="e">
        <f t="shared" si="368"/>
        <v>#N/A</v>
      </c>
      <c r="DR240" s="32" t="e">
        <f t="shared" si="369"/>
        <v>#N/A</v>
      </c>
      <c r="DS240" s="32">
        <f t="shared" si="370"/>
        <v>1.1148693732606777E-3</v>
      </c>
      <c r="DT240" s="32" t="e">
        <f t="shared" si="371"/>
        <v>#N/A</v>
      </c>
      <c r="DU240" s="32" t="b">
        <f t="shared" si="372"/>
        <v>0</v>
      </c>
      <c r="DV240" s="32" t="b">
        <f t="shared" si="373"/>
        <v>1</v>
      </c>
      <c r="DW240" s="32" t="b">
        <f t="shared" si="374"/>
        <v>1</v>
      </c>
      <c r="DX240" s="32" t="b">
        <f t="shared" si="375"/>
        <v>0</v>
      </c>
      <c r="DY240" s="32">
        <f t="shared" si="376"/>
        <v>1.1148693732606777E-3</v>
      </c>
      <c r="DZ240" s="32">
        <f t="shared" si="377"/>
        <v>1.1148693732606777E-3</v>
      </c>
      <c r="EA240" s="32" t="e">
        <f t="shared" si="378"/>
        <v>#N/A</v>
      </c>
      <c r="EB240" s="45" t="str">
        <f t="shared" si="379"/>
        <v/>
      </c>
      <c r="EG240" s="32">
        <f t="shared" si="380"/>
        <v>230</v>
      </c>
      <c r="EH240" s="32">
        <f t="shared" si="381"/>
        <v>231</v>
      </c>
      <c r="EI240" s="32">
        <f t="shared" si="382"/>
        <v>2.4194842087050317</v>
      </c>
      <c r="EJ240" s="32">
        <f t="shared" si="383"/>
        <v>2.136736648843357E-2</v>
      </c>
      <c r="EK240" s="32" t="e">
        <f t="shared" si="384"/>
        <v>#N/A</v>
      </c>
      <c r="EL240" s="32" t="e">
        <f t="shared" si="385"/>
        <v>#N/A</v>
      </c>
      <c r="EM240" s="32" t="e">
        <f t="shared" si="386"/>
        <v>#N/A</v>
      </c>
      <c r="EN240" s="32" t="b">
        <f t="shared" si="387"/>
        <v>0</v>
      </c>
      <c r="EO240" s="32" t="b">
        <f t="shared" si="388"/>
        <v>1</v>
      </c>
      <c r="EP240" s="32" t="b">
        <f t="shared" si="389"/>
        <v>1</v>
      </c>
      <c r="EQ240" s="32" t="b">
        <f t="shared" si="390"/>
        <v>0</v>
      </c>
      <c r="ER240" s="32">
        <f t="shared" si="391"/>
        <v>2.136736648843357E-2</v>
      </c>
      <c r="ES240" s="32">
        <f t="shared" si="392"/>
        <v>2.136736648843357E-2</v>
      </c>
      <c r="ET240" s="32" t="e">
        <f t="shared" si="393"/>
        <v>#N/A</v>
      </c>
      <c r="EU240" s="45" t="str">
        <f t="shared" si="394"/>
        <v/>
      </c>
      <c r="EV24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0" s="32" t="e" cm="1">
        <f t="array" ref="EY240">IF($CR$3,INDEX(Eu_tabel_a[[#This Row],[Styrke venstre]:[Styrke tosidet]],EY$7),NA())</f>
        <v>#N/A</v>
      </c>
      <c r="EZ240" s="32" t="e">
        <f>IF(EY$3,IF(CHOOSE(EY$7,Eu_tabel_a[[#This Row],[x base]]&gt;0,Eu_tabel_a[[#This Row],[x base]]&lt;0,Eu_tabel_a[[#This Row],[x base]]=0),1,NA()),NA())</f>
        <v>#N/A</v>
      </c>
      <c r="FA240" s="32" t="e">
        <f>IF(CHOOSE(EY$7,Eu_tabel_a[[#This Row],[x base]]&gt;0,Eu_tabel_a[[#This Row],[x base]]&lt;0,Eu_tabel_a[[#This Row],[x base]]=0),Eu_tabel_a[[#This Row],[Styrke, aktiv]],NA())</f>
        <v>#N/A</v>
      </c>
      <c r="FB240" s="32" t="e">
        <f>IFERROR(IF($EY$3,Eu_tabel_a[[#This Row],[Styrke, aktiv]],NA()),NA())</f>
        <v>#N/A</v>
      </c>
      <c r="FC240" s="32" t="e">
        <f>IF(ISNA(Eu_tabel_a[[#This Row],[Sand negativ
Nulhypotese afvises
Korrekt]]),NA(),IF(EY$3,1,NA()))</f>
        <v>#N/A</v>
      </c>
      <c r="FD240" s="33" t="str" cm="1">
        <f t="array" ref="FD240">IFERROR(_xlfn.SWITCH(Eu_tabel_a[[#This Row],[Indeks]],_xlfn.IFNA(FB$2,-99),FB$5,_xlfn.IFNA(FB$3,-99),FB$6,_xlfn.IFNA(FB$4,-99),FB$7,""),"")</f>
        <v/>
      </c>
      <c r="FE240" s="32">
        <f>Eu_tabel_a[[#This Row],[x base]]*SQRT(Eu_a_h0_x*(1-Eu_a_h0_x)/Eu_a_n_x)+Eu_a_h0_x</f>
        <v>0</v>
      </c>
      <c r="FJ240" s="74" t="e">
        <f t="shared" si="338"/>
        <v>#N/A</v>
      </c>
      <c r="FK240" s="82" t="e">
        <f t="shared" si="426"/>
        <v>#DIV/0!</v>
      </c>
      <c r="FL240" s="7" t="e">
        <f t="shared" si="332"/>
        <v>#DIV/0!</v>
      </c>
      <c r="FM240" t="e">
        <f t="shared" si="427"/>
        <v>#DIV/0!</v>
      </c>
      <c r="FN240" s="8" t="e">
        <f t="shared" si="428"/>
        <v>#DIV/0!</v>
      </c>
      <c r="FO240" s="8" t="e">
        <f t="shared" si="429"/>
        <v>#DIV/0!</v>
      </c>
      <c r="FP240" s="81" t="e">
        <f t="shared" si="430"/>
        <v>#DIV/0!</v>
      </c>
      <c r="FQ240" s="74" t="e">
        <f t="shared" ca="1" si="333"/>
        <v>#N/A</v>
      </c>
      <c r="FR240" s="82" t="e" vm="3">
        <f t="shared" ca="1" si="339"/>
        <v>#VALUE!</v>
      </c>
      <c r="FS240" s="7" t="e" vm="3">
        <f t="shared" ca="1" si="334"/>
        <v>#VALUE!</v>
      </c>
      <c r="FT240" t="e" vm="3">
        <f t="shared" ca="1" si="328"/>
        <v>#VALUE!</v>
      </c>
      <c r="FU240" s="8" t="e" vm="3">
        <f t="shared" ca="1" si="329"/>
        <v>#VALUE!</v>
      </c>
      <c r="FV240" s="8" t="e" vm="3">
        <f t="shared" ca="1" si="330"/>
        <v>#VALUE!</v>
      </c>
      <c r="FW240" s="81" t="e" vm="3">
        <f t="shared" ca="1" si="331"/>
        <v>#VALUE!</v>
      </c>
      <c r="FX240" s="74" t="e">
        <f t="shared" si="335"/>
        <v>#N/A</v>
      </c>
      <c r="FY240" s="82" t="e">
        <f t="shared" si="340"/>
        <v>#N/A</v>
      </c>
      <c r="FZ240" s="7" t="e">
        <f t="shared" si="336"/>
        <v>#N/A</v>
      </c>
      <c r="GA240" t="e">
        <f t="shared" si="341"/>
        <v>#N/A</v>
      </c>
      <c r="GB240" s="8" t="e">
        <f t="shared" si="342"/>
        <v>#N/A</v>
      </c>
      <c r="GC240" s="8" t="e">
        <f t="shared" si="343"/>
        <v>#N/A</v>
      </c>
      <c r="GD240" s="81" t="e">
        <f t="shared" si="344"/>
        <v>#N/A</v>
      </c>
      <c r="GE240" s="74" t="e">
        <f t="shared" si="345"/>
        <v>#N/A</v>
      </c>
      <c r="GF240" s="82" t="e">
        <f t="shared" si="346"/>
        <v>#N/A</v>
      </c>
      <c r="GG240" s="7" t="e">
        <f t="shared" si="337"/>
        <v>#N/A</v>
      </c>
      <c r="GH240" t="e">
        <f t="shared" si="347"/>
        <v>#N/A</v>
      </c>
      <c r="GI240" s="8" t="e">
        <f t="shared" si="348"/>
        <v>#N/A</v>
      </c>
      <c r="GJ240" s="8" t="e">
        <f t="shared" si="349"/>
        <v>#N/A</v>
      </c>
      <c r="GK240" s="81" t="e">
        <f t="shared" si="350"/>
        <v>#N/A</v>
      </c>
      <c r="GL240" s="81"/>
      <c r="GM240" s="81"/>
      <c r="GP240" s="32">
        <f t="shared" si="395"/>
        <v>230</v>
      </c>
      <c r="GQ240" s="32">
        <f t="shared" si="396"/>
        <v>231</v>
      </c>
      <c r="GR240" s="32">
        <f t="shared" si="397"/>
        <v>2.4194842087050317</v>
      </c>
      <c r="GS240" s="32">
        <f t="shared" si="398"/>
        <v>2.136736648843357E-2</v>
      </c>
      <c r="GT240" s="32" t="e">
        <f t="shared" si="399"/>
        <v>#N/A</v>
      </c>
      <c r="GU240" s="32" t="e">
        <f t="shared" si="400"/>
        <v>#N/A</v>
      </c>
      <c r="GV240" s="32" t="e">
        <f t="shared" si="401"/>
        <v>#N/A</v>
      </c>
      <c r="GW240" s="32" t="b">
        <f t="shared" si="402"/>
        <v>0</v>
      </c>
      <c r="GX240" s="32" t="b">
        <f t="shared" si="403"/>
        <v>1</v>
      </c>
      <c r="GY240" s="32" t="b">
        <f t="shared" si="404"/>
        <v>1</v>
      </c>
      <c r="GZ240" s="32" t="b">
        <f t="shared" si="405"/>
        <v>0</v>
      </c>
      <c r="HA240" s="32">
        <f t="shared" si="406"/>
        <v>2.136736648843357E-2</v>
      </c>
      <c r="HB240" s="32">
        <f t="shared" si="407"/>
        <v>2.136736648843357E-2</v>
      </c>
      <c r="HC240" s="32" t="e">
        <f t="shared" si="408"/>
        <v>#N/A</v>
      </c>
      <c r="HD240" s="45" t="str">
        <f t="shared" si="409"/>
        <v/>
      </c>
      <c r="HJ240" s="32">
        <f t="shared" si="410"/>
        <v>230</v>
      </c>
      <c r="HK240" s="32">
        <f t="shared" si="411"/>
        <v>231</v>
      </c>
      <c r="HL240" s="32">
        <f t="shared" si="412"/>
        <v>3.7466221123447419</v>
      </c>
      <c r="HM240" s="32" t="e">
        <f t="shared" si="413"/>
        <v>#N/A</v>
      </c>
      <c r="HN240" s="32">
        <f t="shared" si="414"/>
        <v>4.7194716422334559E-3</v>
      </c>
      <c r="HO240" s="32" t="e">
        <f t="shared" si="415"/>
        <v>#N/A</v>
      </c>
      <c r="HP240" s="32" t="e">
        <f t="shared" si="416"/>
        <v>#N/A</v>
      </c>
      <c r="HQ240" s="32" t="b">
        <f t="shared" si="417"/>
        <v>0</v>
      </c>
      <c r="HR240" s="32" t="b">
        <f t="shared" si="418"/>
        <v>1</v>
      </c>
      <c r="HS240" s="32" t="b">
        <f t="shared" si="419"/>
        <v>1</v>
      </c>
      <c r="HT240" s="32" t="b">
        <f t="shared" si="420"/>
        <v>0</v>
      </c>
      <c r="HU240" s="32">
        <f t="shared" si="421"/>
        <v>4.7194716422334559E-3</v>
      </c>
      <c r="HV240" s="32" t="e">
        <f t="shared" si="422"/>
        <v>#N/A</v>
      </c>
      <c r="HW240" s="32">
        <f t="shared" si="423"/>
        <v>4.7194716422334559E-3</v>
      </c>
      <c r="HX240" s="45" t="str">
        <f t="shared" si="424"/>
        <v/>
      </c>
    </row>
    <row r="241" spans="78:232" x14ac:dyDescent="0.2">
      <c r="BZ241" s="32">
        <f t="shared" si="351"/>
        <v>231</v>
      </c>
      <c r="CA241" s="32">
        <f>Eu_tabel_g[[#This Row],[Indeks]]+1</f>
        <v>232</v>
      </c>
      <c r="CB241" s="32">
        <f t="shared" si="352"/>
        <v>2.4434394979001315</v>
      </c>
      <c r="CC241" s="32">
        <f t="shared" si="353"/>
        <v>2.0158347202276675E-2</v>
      </c>
      <c r="CD241" s="32" t="e">
        <f t="shared" si="354"/>
        <v>#N/A</v>
      </c>
      <c r="CE241" s="32" t="e">
        <f t="shared" si="355"/>
        <v>#N/A</v>
      </c>
      <c r="CF241" s="32" t="e">
        <f t="shared" si="356"/>
        <v>#N/A</v>
      </c>
      <c r="CG241" s="32" t="b">
        <f t="shared" si="357"/>
        <v>0</v>
      </c>
      <c r="CH241" s="32" t="b">
        <f t="shared" si="358"/>
        <v>1</v>
      </c>
      <c r="CI241" s="32" t="b">
        <f t="shared" si="359"/>
        <v>1</v>
      </c>
      <c r="CJ241" s="32" t="b">
        <f t="shared" si="360"/>
        <v>0</v>
      </c>
      <c r="CK241" s="32">
        <f t="shared" si="425"/>
        <v>2.0158347202276675E-2</v>
      </c>
      <c r="CL241" s="32">
        <f t="shared" si="361"/>
        <v>2.0158347202276675E-2</v>
      </c>
      <c r="CM241" s="32" t="e">
        <f t="shared" si="362"/>
        <v>#N/A</v>
      </c>
      <c r="CN241" s="45" t="str">
        <f t="shared" si="363"/>
        <v/>
      </c>
      <c r="CO241" s="32">
        <f>_xlfn.NORM.DIST(_xlfn.NORM.INV(1-Eu_g_konfidensniveau,0,1)-Eu_tabel_g[[#This Row],[x base]],0,1,TRUE)</f>
        <v>2.1727941800622994E-5</v>
      </c>
      <c r="CP241" s="32">
        <f>1-_xlfn.NORM.DIST(_xlfn.NORM.INV(Eu_g_konfidensniveau,0,1)-Eu_tabel_g[[#This Row],[x base]],0,1,TRUE)</f>
        <v>0.78773470849961547</v>
      </c>
      <c r="CQ241" s="32">
        <f>_xlfn.NORM.DIST(_xlfn.NORM.INV((1-Eu_g_konfidensniveau)/2,0,1)-Eu_tabel_g[[#This Row],[x base]],0,1,TRUE)+1-_xlfn.NORM.DIST(_xlfn.NORM.INV(1-(1-Eu_g_konfidensniveau)/2,0,1)-Eu_tabel_g[[#This Row],[x base]],0,1,TRUE)</f>
        <v>0.68562625721916726</v>
      </c>
      <c r="CR241" s="32" t="e" cm="1">
        <f t="array" ref="CR241">IF($CR$3,INDEX(Eu_tabel_g[[#This Row],[Styrke venstre]:[Styrke tosidet]],CR$7),NA())</f>
        <v>#N/A</v>
      </c>
      <c r="CS241" s="52" t="e">
        <f>Eu_tabel_g[[#This Row],[Falsk positiv
Nulhypotese accepteres
Fejltype 1]]</f>
        <v>#N/A</v>
      </c>
      <c r="CT241" s="52" t="e">
        <f>IF(CHOOSE(CR$7,Eu_tabel_g[[#This Row],[x base]]&gt;0,Eu_tabel_g[[#This Row],[x base]]&lt;0,Eu_tabel_g[[#This Row],[x base]]=0),Eu_tabel_g[[#This Row],[Styrke, aktiv]],NA())</f>
        <v>#N/A</v>
      </c>
      <c r="CU241" s="52" t="e">
        <f>IFERROR(IF($CR$3,Eu_tabel_g[[#This Row],[Styrke, aktiv]],NA()),NA())</f>
        <v>#N/A</v>
      </c>
      <c r="CV241" s="52" t="e">
        <f>IF(ISNA(Eu_tabel_g[[#This Row],[Sand negativ
Nulhypotese afvises
Korrekt]]),NA(),IF($CR$3,1,NA()))</f>
        <v>#N/A</v>
      </c>
      <c r="CW241" s="34" t="str" cm="1">
        <f t="array" ref="CW241">_xlfn.SWITCH(BZ241,_xlfn.IFNA(CU$2,-99),CU$5,_xlfn.IFNA(CU$3,-99),CU$6,_xlfn.IFNA(CU$4,-99),CU$7,"")</f>
        <v/>
      </c>
      <c r="DA241" s="7">
        <f t="shared" si="364"/>
        <v>0.8</v>
      </c>
      <c r="DB241">
        <f>IF(ROW(Styrkeberegning_G[[#This Row],[X base venstre]])=ROW(Styrkeberegning_G[[#Headers],[X base venstre]])+1,DB$7/(DA$7/$B$67),DB240/(DA240/$B$67))</f>
        <v>-2.8015817870135784</v>
      </c>
      <c r="DC241">
        <f>Styrkeberegning_G[[#This Row],[X base venstre]]*-1</f>
        <v>2.8015817870135784</v>
      </c>
      <c r="DN241" s="32">
        <f t="shared" si="365"/>
        <v>231</v>
      </c>
      <c r="DO241" s="32">
        <f t="shared" si="366"/>
        <v>232</v>
      </c>
      <c r="DP241" s="32">
        <f t="shared" si="367"/>
        <v>28.18422049698092</v>
      </c>
      <c r="DQ241" s="32" t="e">
        <f t="shared" si="368"/>
        <v>#N/A</v>
      </c>
      <c r="DR241" s="32" t="e">
        <f t="shared" si="369"/>
        <v>#N/A</v>
      </c>
      <c r="DS241" s="32">
        <f t="shared" si="370"/>
        <v>1.072456444701067E-3</v>
      </c>
      <c r="DT241" s="32" t="e">
        <f t="shared" si="371"/>
        <v>#N/A</v>
      </c>
      <c r="DU241" s="32" t="b">
        <f t="shared" si="372"/>
        <v>0</v>
      </c>
      <c r="DV241" s="32" t="b">
        <f t="shared" si="373"/>
        <v>1</v>
      </c>
      <c r="DW241" s="32" t="b">
        <f t="shared" si="374"/>
        <v>1</v>
      </c>
      <c r="DX241" s="32" t="b">
        <f t="shared" si="375"/>
        <v>0</v>
      </c>
      <c r="DY241" s="32">
        <f t="shared" si="376"/>
        <v>1.072456444701067E-3</v>
      </c>
      <c r="DZ241" s="32">
        <f t="shared" si="377"/>
        <v>1.072456444701067E-3</v>
      </c>
      <c r="EA241" s="32" t="e">
        <f t="shared" si="378"/>
        <v>#N/A</v>
      </c>
      <c r="EB241" s="45" t="str">
        <f t="shared" si="379"/>
        <v/>
      </c>
      <c r="EG241" s="32">
        <f t="shared" si="380"/>
        <v>231</v>
      </c>
      <c r="EH241" s="32">
        <f t="shared" si="381"/>
        <v>232</v>
      </c>
      <c r="EI241" s="32">
        <f t="shared" si="382"/>
        <v>2.4434394979001315</v>
      </c>
      <c r="EJ241" s="32">
        <f t="shared" si="383"/>
        <v>2.0158347202276675E-2</v>
      </c>
      <c r="EK241" s="32" t="e">
        <f t="shared" si="384"/>
        <v>#N/A</v>
      </c>
      <c r="EL241" s="32" t="e">
        <f t="shared" si="385"/>
        <v>#N/A</v>
      </c>
      <c r="EM241" s="32" t="e">
        <f t="shared" si="386"/>
        <v>#N/A</v>
      </c>
      <c r="EN241" s="32" t="b">
        <f t="shared" si="387"/>
        <v>0</v>
      </c>
      <c r="EO241" s="32" t="b">
        <f t="shared" si="388"/>
        <v>1</v>
      </c>
      <c r="EP241" s="32" t="b">
        <f t="shared" si="389"/>
        <v>1</v>
      </c>
      <c r="EQ241" s="32" t="b">
        <f t="shared" si="390"/>
        <v>0</v>
      </c>
      <c r="ER241" s="32">
        <f t="shared" si="391"/>
        <v>2.0158347202276675E-2</v>
      </c>
      <c r="ES241" s="32">
        <f t="shared" si="392"/>
        <v>2.0158347202276675E-2</v>
      </c>
      <c r="ET241" s="32" t="e">
        <f t="shared" si="393"/>
        <v>#N/A</v>
      </c>
      <c r="EU241" s="45" t="str">
        <f t="shared" si="394"/>
        <v/>
      </c>
      <c r="EV24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1" s="32" t="e" cm="1">
        <f t="array" ref="EY241">IF($CR$3,INDEX(Eu_tabel_a[[#This Row],[Styrke venstre]:[Styrke tosidet]],EY$7),NA())</f>
        <v>#N/A</v>
      </c>
      <c r="EZ241" s="32" t="e">
        <f>IF(EY$3,IF(CHOOSE(EY$7,Eu_tabel_a[[#This Row],[x base]]&gt;0,Eu_tabel_a[[#This Row],[x base]]&lt;0,Eu_tabel_a[[#This Row],[x base]]=0),1,NA()),NA())</f>
        <v>#N/A</v>
      </c>
      <c r="FA241" s="32" t="e">
        <f>IF(CHOOSE(EY$7,Eu_tabel_a[[#This Row],[x base]]&gt;0,Eu_tabel_a[[#This Row],[x base]]&lt;0,Eu_tabel_a[[#This Row],[x base]]=0),Eu_tabel_a[[#This Row],[Styrke, aktiv]],NA())</f>
        <v>#N/A</v>
      </c>
      <c r="FB241" s="32" t="e">
        <f>IFERROR(IF($EY$3,Eu_tabel_a[[#This Row],[Styrke, aktiv]],NA()),NA())</f>
        <v>#N/A</v>
      </c>
      <c r="FC241" s="32" t="e">
        <f>IF(ISNA(Eu_tabel_a[[#This Row],[Sand negativ
Nulhypotese afvises
Korrekt]]),NA(),IF(EY$3,1,NA()))</f>
        <v>#N/A</v>
      </c>
      <c r="FD241" s="33" t="str" cm="1">
        <f t="array" ref="FD241">IFERROR(_xlfn.SWITCH(Eu_tabel_a[[#This Row],[Indeks]],_xlfn.IFNA(FB$2,-99),FB$5,_xlfn.IFNA(FB$3,-99),FB$6,_xlfn.IFNA(FB$4,-99),FB$7,""),"")</f>
        <v/>
      </c>
      <c r="FE241" s="32">
        <f>Eu_tabel_a[[#This Row],[x base]]*SQRT(Eu_a_h0_x*(1-Eu_a_h0_x)/Eu_a_n_x)+Eu_a_h0_x</f>
        <v>0</v>
      </c>
      <c r="FJ241" s="74" t="e">
        <f t="shared" si="338"/>
        <v>#N/A</v>
      </c>
      <c r="FK241" s="82" t="e">
        <f t="shared" si="426"/>
        <v>#DIV/0!</v>
      </c>
      <c r="FL241" s="7" t="e">
        <f t="shared" si="332"/>
        <v>#DIV/0!</v>
      </c>
      <c r="FM241" t="e">
        <f t="shared" si="427"/>
        <v>#DIV/0!</v>
      </c>
      <c r="FN241" s="8" t="e">
        <f t="shared" si="428"/>
        <v>#DIV/0!</v>
      </c>
      <c r="FO241" s="8" t="e">
        <f t="shared" si="429"/>
        <v>#DIV/0!</v>
      </c>
      <c r="FP241" s="81" t="e">
        <f t="shared" si="430"/>
        <v>#DIV/0!</v>
      </c>
      <c r="FQ241" s="74" t="e">
        <f t="shared" ca="1" si="333"/>
        <v>#N/A</v>
      </c>
      <c r="FR241" s="82" t="e" vm="3">
        <f t="shared" ca="1" si="339"/>
        <v>#VALUE!</v>
      </c>
      <c r="FS241" s="7" t="e" vm="3">
        <f t="shared" ca="1" si="334"/>
        <v>#VALUE!</v>
      </c>
      <c r="FT241" t="e" vm="3">
        <f t="shared" ca="1" si="328"/>
        <v>#VALUE!</v>
      </c>
      <c r="FU241" s="8" t="e" vm="3">
        <f t="shared" ca="1" si="329"/>
        <v>#VALUE!</v>
      </c>
      <c r="FV241" s="8" t="e" vm="3">
        <f t="shared" ca="1" si="330"/>
        <v>#VALUE!</v>
      </c>
      <c r="FW241" s="81" t="e" vm="3">
        <f t="shared" ca="1" si="331"/>
        <v>#VALUE!</v>
      </c>
      <c r="FX241" s="74" t="e">
        <f t="shared" si="335"/>
        <v>#N/A</v>
      </c>
      <c r="FY241" s="82" t="e">
        <f t="shared" si="340"/>
        <v>#N/A</v>
      </c>
      <c r="FZ241" s="7" t="e">
        <f t="shared" si="336"/>
        <v>#N/A</v>
      </c>
      <c r="GA241" t="e">
        <f t="shared" si="341"/>
        <v>#N/A</v>
      </c>
      <c r="GB241" s="8" t="e">
        <f t="shared" si="342"/>
        <v>#N/A</v>
      </c>
      <c r="GC241" s="8" t="e">
        <f t="shared" si="343"/>
        <v>#N/A</v>
      </c>
      <c r="GD241" s="81" t="e">
        <f t="shared" si="344"/>
        <v>#N/A</v>
      </c>
      <c r="GE241" s="74" t="e">
        <f t="shared" si="345"/>
        <v>#N/A</v>
      </c>
      <c r="GF241" s="82" t="e">
        <f t="shared" si="346"/>
        <v>#N/A</v>
      </c>
      <c r="GG241" s="7" t="e">
        <f t="shared" si="337"/>
        <v>#N/A</v>
      </c>
      <c r="GH241" t="e">
        <f t="shared" si="347"/>
        <v>#N/A</v>
      </c>
      <c r="GI241" s="8" t="e">
        <f t="shared" si="348"/>
        <v>#N/A</v>
      </c>
      <c r="GJ241" s="8" t="e">
        <f t="shared" si="349"/>
        <v>#N/A</v>
      </c>
      <c r="GK241" s="81" t="e">
        <f t="shared" si="350"/>
        <v>#N/A</v>
      </c>
      <c r="GL241" s="81"/>
      <c r="GM241" s="81"/>
      <c r="GP241" s="32">
        <f t="shared" si="395"/>
        <v>231</v>
      </c>
      <c r="GQ241" s="32">
        <f t="shared" si="396"/>
        <v>232</v>
      </c>
      <c r="GR241" s="32">
        <f t="shared" si="397"/>
        <v>2.4434394979001315</v>
      </c>
      <c r="GS241" s="32">
        <f t="shared" si="398"/>
        <v>2.0158347202276675E-2</v>
      </c>
      <c r="GT241" s="32" t="e">
        <f t="shared" si="399"/>
        <v>#N/A</v>
      </c>
      <c r="GU241" s="32" t="e">
        <f t="shared" si="400"/>
        <v>#N/A</v>
      </c>
      <c r="GV241" s="32" t="e">
        <f t="shared" si="401"/>
        <v>#N/A</v>
      </c>
      <c r="GW241" s="32" t="b">
        <f t="shared" si="402"/>
        <v>0</v>
      </c>
      <c r="GX241" s="32" t="b">
        <f t="shared" si="403"/>
        <v>1</v>
      </c>
      <c r="GY241" s="32" t="b">
        <f t="shared" si="404"/>
        <v>1</v>
      </c>
      <c r="GZ241" s="32" t="b">
        <f t="shared" si="405"/>
        <v>0</v>
      </c>
      <c r="HA241" s="32">
        <f t="shared" si="406"/>
        <v>2.0158347202276675E-2</v>
      </c>
      <c r="HB241" s="32">
        <f t="shared" si="407"/>
        <v>2.0158347202276675E-2</v>
      </c>
      <c r="HC241" s="32" t="e">
        <f t="shared" si="408"/>
        <v>#N/A</v>
      </c>
      <c r="HD241" s="45" t="str">
        <f t="shared" si="409"/>
        <v/>
      </c>
      <c r="HJ241" s="32">
        <f t="shared" si="410"/>
        <v>231</v>
      </c>
      <c r="HK241" s="32">
        <f t="shared" si="411"/>
        <v>232</v>
      </c>
      <c r="HL241" s="32">
        <f t="shared" si="412"/>
        <v>3.7837173807837985</v>
      </c>
      <c r="HM241" s="32" t="e">
        <f t="shared" si="413"/>
        <v>#N/A</v>
      </c>
      <c r="HN241" s="32">
        <f t="shared" si="414"/>
        <v>4.4769088118036685E-3</v>
      </c>
      <c r="HO241" s="32" t="e">
        <f t="shared" si="415"/>
        <v>#N/A</v>
      </c>
      <c r="HP241" s="32" t="e">
        <f t="shared" si="416"/>
        <v>#N/A</v>
      </c>
      <c r="HQ241" s="32" t="b">
        <f t="shared" si="417"/>
        <v>0</v>
      </c>
      <c r="HR241" s="32" t="b">
        <f t="shared" si="418"/>
        <v>1</v>
      </c>
      <c r="HS241" s="32" t="b">
        <f t="shared" si="419"/>
        <v>1</v>
      </c>
      <c r="HT241" s="32" t="b">
        <f t="shared" si="420"/>
        <v>0</v>
      </c>
      <c r="HU241" s="32">
        <f t="shared" si="421"/>
        <v>4.4769088118036685E-3</v>
      </c>
      <c r="HV241" s="32" t="e">
        <f t="shared" si="422"/>
        <v>#N/A</v>
      </c>
      <c r="HW241" s="32">
        <f t="shared" si="423"/>
        <v>4.4769088118036685E-3</v>
      </c>
      <c r="HX241" s="45" t="str">
        <f t="shared" si="424"/>
        <v/>
      </c>
    </row>
    <row r="242" spans="78:232" x14ac:dyDescent="0.2">
      <c r="BZ242" s="32">
        <f t="shared" si="351"/>
        <v>232</v>
      </c>
      <c r="CA242" s="32">
        <f>Eu_tabel_g[[#This Row],[Indeks]]+1</f>
        <v>233</v>
      </c>
      <c r="CB242" s="32">
        <f t="shared" si="352"/>
        <v>2.4673947870952304</v>
      </c>
      <c r="CC242" s="32">
        <f t="shared" si="353"/>
        <v>1.9006826955669437E-2</v>
      </c>
      <c r="CD242" s="32" t="e">
        <f t="shared" si="354"/>
        <v>#N/A</v>
      </c>
      <c r="CE242" s="32" t="e">
        <f t="shared" si="355"/>
        <v>#N/A</v>
      </c>
      <c r="CF242" s="32" t="e">
        <f t="shared" si="356"/>
        <v>#N/A</v>
      </c>
      <c r="CG242" s="32" t="b">
        <f t="shared" si="357"/>
        <v>0</v>
      </c>
      <c r="CH242" s="32" t="b">
        <f t="shared" si="358"/>
        <v>1</v>
      </c>
      <c r="CI242" s="32" t="b">
        <f t="shared" si="359"/>
        <v>1</v>
      </c>
      <c r="CJ242" s="32" t="b">
        <f t="shared" si="360"/>
        <v>0</v>
      </c>
      <c r="CK242" s="32">
        <f t="shared" si="425"/>
        <v>1.9006826955669437E-2</v>
      </c>
      <c r="CL242" s="32">
        <f t="shared" si="361"/>
        <v>1.9006826955669437E-2</v>
      </c>
      <c r="CM242" s="32" t="e">
        <f t="shared" si="362"/>
        <v>#N/A</v>
      </c>
      <c r="CN242" s="45" t="str">
        <f t="shared" si="363"/>
        <v/>
      </c>
      <c r="CO242" s="32">
        <f>_xlfn.NORM.DIST(_xlfn.NORM.INV(1-Eu_g_konfidensniveau,0,1)-Eu_tabel_g[[#This Row],[x base]],0,1,TRUE)</f>
        <v>1.9591217965209483E-5</v>
      </c>
      <c r="CP242" s="32">
        <f>1-_xlfn.NORM.DIST(_xlfn.NORM.INV(Eu_g_konfidensniveau,0,1)-Eu_tabel_g[[#This Row],[x base]],0,1,TRUE)</f>
        <v>0.79461551453892709</v>
      </c>
      <c r="CQ242" s="32">
        <f>_xlfn.NORM.DIST(_xlfn.NORM.INV((1-Eu_g_konfidensniveau)/2,0,1)-Eu_tabel_g[[#This Row],[x base]],0,1,TRUE)+1-_xlfn.NORM.DIST(_xlfn.NORM.INV(1-(1-Eu_g_konfidensniveau)/2,0,1)-Eu_tabel_g[[#This Row],[x base]],0,1,TRUE)</f>
        <v>0.69407848092556357</v>
      </c>
      <c r="CR242" s="32" t="e" cm="1">
        <f t="array" ref="CR242">IF($CR$3,INDEX(Eu_tabel_g[[#This Row],[Styrke venstre]:[Styrke tosidet]],CR$7),NA())</f>
        <v>#N/A</v>
      </c>
      <c r="CS242" s="52" t="e">
        <f>Eu_tabel_g[[#This Row],[Falsk positiv
Nulhypotese accepteres
Fejltype 1]]</f>
        <v>#N/A</v>
      </c>
      <c r="CT242" s="52" t="e">
        <f>IF(CHOOSE(CR$7,Eu_tabel_g[[#This Row],[x base]]&gt;0,Eu_tabel_g[[#This Row],[x base]]&lt;0,Eu_tabel_g[[#This Row],[x base]]=0),Eu_tabel_g[[#This Row],[Styrke, aktiv]],NA())</f>
        <v>#N/A</v>
      </c>
      <c r="CU242" s="52" t="e">
        <f>IFERROR(IF($CR$3,Eu_tabel_g[[#This Row],[Styrke, aktiv]],NA()),NA())</f>
        <v>#N/A</v>
      </c>
      <c r="CV242" s="52" t="e">
        <f>IF(ISNA(Eu_tabel_g[[#This Row],[Sand negativ
Nulhypotese afvises
Korrekt]]),NA(),IF($CR$3,1,NA()))</f>
        <v>#N/A</v>
      </c>
      <c r="CW242" s="34" t="str" cm="1">
        <f t="array" ref="CW242">_xlfn.SWITCH(BZ242,_xlfn.IFNA(CU$2,-99),CU$5,_xlfn.IFNA(CU$3,-99),CU$6,_xlfn.IFNA(CU$4,-99),CU$7,"")</f>
        <v/>
      </c>
      <c r="DA242" s="7">
        <f t="shared" si="364"/>
        <v>0.8</v>
      </c>
      <c r="DB242">
        <f>IF(ROW(Styrkeberegning_G[[#This Row],[X base venstre]])=ROW(Styrkeberegning_G[[#Headers],[X base venstre]])+1,DB$7/(DA$7/$B$67),DB241/(DA241/$B$67))</f>
        <v>-2.8015817870135784</v>
      </c>
      <c r="DC242">
        <f>Styrkeberegning_G[[#This Row],[X base venstre]]*-1</f>
        <v>2.8015817870135784</v>
      </c>
      <c r="DN242" s="32">
        <f t="shared" si="365"/>
        <v>232</v>
      </c>
      <c r="DO242" s="32">
        <f t="shared" si="366"/>
        <v>233</v>
      </c>
      <c r="DP242" s="32">
        <f t="shared" si="367"/>
        <v>28.298291353397921</v>
      </c>
      <c r="DQ242" s="32" t="e">
        <f t="shared" si="368"/>
        <v>#N/A</v>
      </c>
      <c r="DR242" s="32" t="e">
        <f t="shared" si="369"/>
        <v>#N/A</v>
      </c>
      <c r="DS242" s="32">
        <f t="shared" si="370"/>
        <v>1.0315809840283814E-3</v>
      </c>
      <c r="DT242" s="32" t="e">
        <f t="shared" si="371"/>
        <v>#N/A</v>
      </c>
      <c r="DU242" s="32" t="b">
        <f t="shared" si="372"/>
        <v>0</v>
      </c>
      <c r="DV242" s="32" t="b">
        <f t="shared" si="373"/>
        <v>1</v>
      </c>
      <c r="DW242" s="32" t="b">
        <f t="shared" si="374"/>
        <v>1</v>
      </c>
      <c r="DX242" s="32" t="b">
        <f t="shared" si="375"/>
        <v>0</v>
      </c>
      <c r="DY242" s="32">
        <f t="shared" si="376"/>
        <v>1.0315809840283814E-3</v>
      </c>
      <c r="DZ242" s="32">
        <f t="shared" si="377"/>
        <v>1.0315809840283814E-3</v>
      </c>
      <c r="EA242" s="32" t="e">
        <f t="shared" si="378"/>
        <v>#N/A</v>
      </c>
      <c r="EB242" s="45" t="str">
        <f t="shared" si="379"/>
        <v/>
      </c>
      <c r="EG242" s="32">
        <f t="shared" si="380"/>
        <v>232</v>
      </c>
      <c r="EH242" s="32">
        <f t="shared" si="381"/>
        <v>233</v>
      </c>
      <c r="EI242" s="32">
        <f t="shared" si="382"/>
        <v>2.4673947870952304</v>
      </c>
      <c r="EJ242" s="32">
        <f t="shared" si="383"/>
        <v>1.9006826955669437E-2</v>
      </c>
      <c r="EK242" s="32" t="e">
        <f t="shared" si="384"/>
        <v>#N/A</v>
      </c>
      <c r="EL242" s="32" t="e">
        <f t="shared" si="385"/>
        <v>#N/A</v>
      </c>
      <c r="EM242" s="32" t="e">
        <f t="shared" si="386"/>
        <v>#N/A</v>
      </c>
      <c r="EN242" s="32" t="b">
        <f t="shared" si="387"/>
        <v>0</v>
      </c>
      <c r="EO242" s="32" t="b">
        <f t="shared" si="388"/>
        <v>1</v>
      </c>
      <c r="EP242" s="32" t="b">
        <f t="shared" si="389"/>
        <v>1</v>
      </c>
      <c r="EQ242" s="32" t="b">
        <f t="shared" si="390"/>
        <v>0</v>
      </c>
      <c r="ER242" s="32">
        <f t="shared" si="391"/>
        <v>1.9006826955669437E-2</v>
      </c>
      <c r="ES242" s="32">
        <f t="shared" si="392"/>
        <v>1.9006826955669437E-2</v>
      </c>
      <c r="ET242" s="32" t="e">
        <f t="shared" si="393"/>
        <v>#N/A</v>
      </c>
      <c r="EU242" s="45" t="str">
        <f t="shared" si="394"/>
        <v/>
      </c>
      <c r="EV24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2" s="32" t="e" cm="1">
        <f t="array" ref="EY242">IF($CR$3,INDEX(Eu_tabel_a[[#This Row],[Styrke venstre]:[Styrke tosidet]],EY$7),NA())</f>
        <v>#N/A</v>
      </c>
      <c r="EZ242" s="32" t="e">
        <f>IF(EY$3,IF(CHOOSE(EY$7,Eu_tabel_a[[#This Row],[x base]]&gt;0,Eu_tabel_a[[#This Row],[x base]]&lt;0,Eu_tabel_a[[#This Row],[x base]]=0),1,NA()),NA())</f>
        <v>#N/A</v>
      </c>
      <c r="FA242" s="32" t="e">
        <f>IF(CHOOSE(EY$7,Eu_tabel_a[[#This Row],[x base]]&gt;0,Eu_tabel_a[[#This Row],[x base]]&lt;0,Eu_tabel_a[[#This Row],[x base]]=0),Eu_tabel_a[[#This Row],[Styrke, aktiv]],NA())</f>
        <v>#N/A</v>
      </c>
      <c r="FB242" s="32" t="e">
        <f>IFERROR(IF($EY$3,Eu_tabel_a[[#This Row],[Styrke, aktiv]],NA()),NA())</f>
        <v>#N/A</v>
      </c>
      <c r="FC242" s="32" t="e">
        <f>IF(ISNA(Eu_tabel_a[[#This Row],[Sand negativ
Nulhypotese afvises
Korrekt]]),NA(),IF(EY$3,1,NA()))</f>
        <v>#N/A</v>
      </c>
      <c r="FD242" s="33" t="str" cm="1">
        <f t="array" ref="FD242">IFERROR(_xlfn.SWITCH(Eu_tabel_a[[#This Row],[Indeks]],_xlfn.IFNA(FB$2,-99),FB$5,_xlfn.IFNA(FB$3,-99),FB$6,_xlfn.IFNA(FB$4,-99),FB$7,""),"")</f>
        <v/>
      </c>
      <c r="FE242" s="32">
        <f>Eu_tabel_a[[#This Row],[x base]]*SQRT(Eu_a_h0_x*(1-Eu_a_h0_x)/Eu_a_n_x)+Eu_a_h0_x</f>
        <v>0</v>
      </c>
      <c r="FJ242" s="74" t="e">
        <f t="shared" si="338"/>
        <v>#N/A</v>
      </c>
      <c r="FK242" s="82" t="e">
        <f t="shared" si="426"/>
        <v>#DIV/0!</v>
      </c>
      <c r="FL242" s="7" t="e">
        <f t="shared" si="332"/>
        <v>#DIV/0!</v>
      </c>
      <c r="FM242" t="e">
        <f t="shared" si="427"/>
        <v>#DIV/0!</v>
      </c>
      <c r="FN242" s="8" t="e">
        <f t="shared" si="428"/>
        <v>#DIV/0!</v>
      </c>
      <c r="FO242" s="8" t="e">
        <f t="shared" si="429"/>
        <v>#DIV/0!</v>
      </c>
      <c r="FP242" s="81" t="e">
        <f t="shared" si="430"/>
        <v>#DIV/0!</v>
      </c>
      <c r="FQ242" s="74" t="e">
        <f t="shared" ca="1" si="333"/>
        <v>#N/A</v>
      </c>
      <c r="FR242" s="82" t="e" vm="3">
        <f t="shared" ca="1" si="339"/>
        <v>#VALUE!</v>
      </c>
      <c r="FS242" s="7" t="e" vm="3">
        <f t="shared" ca="1" si="334"/>
        <v>#VALUE!</v>
      </c>
      <c r="FT242" t="e" vm="3">
        <f t="shared" ca="1" si="328"/>
        <v>#VALUE!</v>
      </c>
      <c r="FU242" s="8" t="e" vm="3">
        <f t="shared" ca="1" si="329"/>
        <v>#VALUE!</v>
      </c>
      <c r="FV242" s="8" t="e" vm="3">
        <f t="shared" ca="1" si="330"/>
        <v>#VALUE!</v>
      </c>
      <c r="FW242" s="81" t="e" vm="3">
        <f t="shared" ca="1" si="331"/>
        <v>#VALUE!</v>
      </c>
      <c r="FX242" s="74" t="e">
        <f t="shared" si="335"/>
        <v>#N/A</v>
      </c>
      <c r="FY242" s="82" t="e">
        <f t="shared" si="340"/>
        <v>#N/A</v>
      </c>
      <c r="FZ242" s="7" t="e">
        <f t="shared" si="336"/>
        <v>#N/A</v>
      </c>
      <c r="GA242" t="e">
        <f t="shared" si="341"/>
        <v>#N/A</v>
      </c>
      <c r="GB242" s="8" t="e">
        <f t="shared" si="342"/>
        <v>#N/A</v>
      </c>
      <c r="GC242" s="8" t="e">
        <f t="shared" si="343"/>
        <v>#N/A</v>
      </c>
      <c r="GD242" s="81" t="e">
        <f t="shared" si="344"/>
        <v>#N/A</v>
      </c>
      <c r="GE242" s="74" t="e">
        <f t="shared" si="345"/>
        <v>#N/A</v>
      </c>
      <c r="GF242" s="82" t="e">
        <f t="shared" si="346"/>
        <v>#N/A</v>
      </c>
      <c r="GG242" s="7" t="e">
        <f t="shared" si="337"/>
        <v>#N/A</v>
      </c>
      <c r="GH242" t="e">
        <f t="shared" si="347"/>
        <v>#N/A</v>
      </c>
      <c r="GI242" s="8" t="e">
        <f t="shared" si="348"/>
        <v>#N/A</v>
      </c>
      <c r="GJ242" s="8" t="e">
        <f t="shared" si="349"/>
        <v>#N/A</v>
      </c>
      <c r="GK242" s="81" t="e">
        <f t="shared" si="350"/>
        <v>#N/A</v>
      </c>
      <c r="GL242" s="81"/>
      <c r="GM242" s="81"/>
      <c r="GP242" s="32">
        <f t="shared" si="395"/>
        <v>232</v>
      </c>
      <c r="GQ242" s="32">
        <f t="shared" si="396"/>
        <v>233</v>
      </c>
      <c r="GR242" s="32">
        <f t="shared" si="397"/>
        <v>2.4673947870952304</v>
      </c>
      <c r="GS242" s="32">
        <f t="shared" si="398"/>
        <v>1.9006826955669437E-2</v>
      </c>
      <c r="GT242" s="32" t="e">
        <f t="shared" si="399"/>
        <v>#N/A</v>
      </c>
      <c r="GU242" s="32" t="e">
        <f t="shared" si="400"/>
        <v>#N/A</v>
      </c>
      <c r="GV242" s="32" t="e">
        <f t="shared" si="401"/>
        <v>#N/A</v>
      </c>
      <c r="GW242" s="32" t="b">
        <f t="shared" si="402"/>
        <v>0</v>
      </c>
      <c r="GX242" s="32" t="b">
        <f t="shared" si="403"/>
        <v>1</v>
      </c>
      <c r="GY242" s="32" t="b">
        <f t="shared" si="404"/>
        <v>1</v>
      </c>
      <c r="GZ242" s="32" t="b">
        <f t="shared" si="405"/>
        <v>0</v>
      </c>
      <c r="HA242" s="32">
        <f t="shared" si="406"/>
        <v>1.9006826955669437E-2</v>
      </c>
      <c r="HB242" s="32">
        <f t="shared" si="407"/>
        <v>1.9006826955669437E-2</v>
      </c>
      <c r="HC242" s="32" t="e">
        <f t="shared" si="408"/>
        <v>#N/A</v>
      </c>
      <c r="HD242" s="45" t="str">
        <f t="shared" si="409"/>
        <v/>
      </c>
      <c r="HJ242" s="32">
        <f t="shared" si="410"/>
        <v>232</v>
      </c>
      <c r="HK242" s="32">
        <f t="shared" si="411"/>
        <v>233</v>
      </c>
      <c r="HL242" s="32">
        <f t="shared" si="412"/>
        <v>3.8208126492228551</v>
      </c>
      <c r="HM242" s="32" t="e">
        <f t="shared" si="413"/>
        <v>#N/A</v>
      </c>
      <c r="HN242" s="32">
        <f t="shared" si="414"/>
        <v>4.2475655672530406E-3</v>
      </c>
      <c r="HO242" s="32" t="e">
        <f t="shared" si="415"/>
        <v>#N/A</v>
      </c>
      <c r="HP242" s="32" t="e">
        <f t="shared" si="416"/>
        <v>#N/A</v>
      </c>
      <c r="HQ242" s="32" t="b">
        <f t="shared" si="417"/>
        <v>0</v>
      </c>
      <c r="HR242" s="32" t="b">
        <f t="shared" si="418"/>
        <v>1</v>
      </c>
      <c r="HS242" s="32" t="b">
        <f t="shared" si="419"/>
        <v>1</v>
      </c>
      <c r="HT242" s="32" t="b">
        <f t="shared" si="420"/>
        <v>0</v>
      </c>
      <c r="HU242" s="32">
        <f t="shared" si="421"/>
        <v>4.2475655672530406E-3</v>
      </c>
      <c r="HV242" s="32" t="e">
        <f t="shared" si="422"/>
        <v>#N/A</v>
      </c>
      <c r="HW242" s="32">
        <f t="shared" si="423"/>
        <v>4.2475655672530406E-3</v>
      </c>
      <c r="HX242" s="45" t="str">
        <f t="shared" si="424"/>
        <v/>
      </c>
    </row>
    <row r="243" spans="78:232" x14ac:dyDescent="0.2">
      <c r="BZ243" s="32">
        <f t="shared" si="351"/>
        <v>233</v>
      </c>
      <c r="CA243" s="32">
        <f>Eu_tabel_g[[#This Row],[Indeks]]+1</f>
        <v>234</v>
      </c>
      <c r="CB243" s="32">
        <f t="shared" si="352"/>
        <v>2.4913500762903302</v>
      </c>
      <c r="CC243" s="32">
        <f t="shared" si="353"/>
        <v>1.7910804685522155E-2</v>
      </c>
      <c r="CD243" s="32" t="e">
        <f t="shared" si="354"/>
        <v>#N/A</v>
      </c>
      <c r="CE243" s="32" t="e">
        <f t="shared" si="355"/>
        <v>#N/A</v>
      </c>
      <c r="CF243" s="32" t="e">
        <f t="shared" si="356"/>
        <v>#N/A</v>
      </c>
      <c r="CG243" s="32" t="b">
        <f t="shared" si="357"/>
        <v>0</v>
      </c>
      <c r="CH243" s="32" t="b">
        <f t="shared" si="358"/>
        <v>1</v>
      </c>
      <c r="CI243" s="32" t="b">
        <f t="shared" si="359"/>
        <v>1</v>
      </c>
      <c r="CJ243" s="32" t="b">
        <f t="shared" si="360"/>
        <v>0</v>
      </c>
      <c r="CK243" s="32">
        <f t="shared" si="425"/>
        <v>1.7910804685522155E-2</v>
      </c>
      <c r="CL243" s="32">
        <f t="shared" si="361"/>
        <v>1.7910804685522155E-2</v>
      </c>
      <c r="CM243" s="32" t="e">
        <f t="shared" si="362"/>
        <v>#N/A</v>
      </c>
      <c r="CN243" s="45" t="str">
        <f t="shared" si="363"/>
        <v/>
      </c>
      <c r="CO243" s="32">
        <f>_xlfn.NORM.DIST(_xlfn.NORM.INV(1-Eu_g_konfidensniveau,0,1)-Eu_tabel_g[[#This Row],[x base]],0,1,TRUE)</f>
        <v>1.7654938465766175E-5</v>
      </c>
      <c r="CP243" s="32">
        <f>1-_xlfn.NORM.DIST(_xlfn.NORM.INV(Eu_g_konfidensniveau,0,1)-Eu_tabel_g[[#This Row],[x base]],0,1,TRUE)</f>
        <v>0.80136207310529262</v>
      </c>
      <c r="CQ243" s="32">
        <f>_xlfn.NORM.DIST(_xlfn.NORM.INV((1-Eu_g_konfidensniveau)/2,0,1)-Eu_tabel_g[[#This Row],[x base]],0,1,TRUE)+1-_xlfn.NORM.DIST(_xlfn.NORM.INV(1-(1-Eu_g_konfidensniveau)/2,0,1)-Eu_tabel_g[[#This Row],[x base]],0,1,TRUE)</f>
        <v>0.7024286385844859</v>
      </c>
      <c r="CR243" s="32" t="e" cm="1">
        <f t="array" ref="CR243">IF($CR$3,INDEX(Eu_tabel_g[[#This Row],[Styrke venstre]:[Styrke tosidet]],CR$7),NA())</f>
        <v>#N/A</v>
      </c>
      <c r="CS243" s="52" t="e">
        <f>Eu_tabel_g[[#This Row],[Falsk positiv
Nulhypotese accepteres
Fejltype 1]]</f>
        <v>#N/A</v>
      </c>
      <c r="CT243" s="52" t="e">
        <f>IF(CHOOSE(CR$7,Eu_tabel_g[[#This Row],[x base]]&gt;0,Eu_tabel_g[[#This Row],[x base]]&lt;0,Eu_tabel_g[[#This Row],[x base]]=0),Eu_tabel_g[[#This Row],[Styrke, aktiv]],NA())</f>
        <v>#N/A</v>
      </c>
      <c r="CU243" s="52" t="e">
        <f>IFERROR(IF($CR$3,Eu_tabel_g[[#This Row],[Styrke, aktiv]],NA()),NA())</f>
        <v>#N/A</v>
      </c>
      <c r="CV243" s="52" t="e">
        <f>IF(ISNA(Eu_tabel_g[[#This Row],[Sand negativ
Nulhypotese afvises
Korrekt]]),NA(),IF($CR$3,1,NA()))</f>
        <v>#N/A</v>
      </c>
      <c r="CW243" s="34" t="str" cm="1">
        <f t="array" ref="CW243">_xlfn.SWITCH(BZ243,_xlfn.IFNA(CU$2,-99),CU$5,_xlfn.IFNA(CU$3,-99),CU$6,_xlfn.IFNA(CU$4,-99),CU$7,"")</f>
        <v/>
      </c>
      <c r="DA243" s="7">
        <f t="shared" si="364"/>
        <v>0.8</v>
      </c>
      <c r="DB243">
        <f>IF(ROW(Styrkeberegning_G[[#This Row],[X base venstre]])=ROW(Styrkeberegning_G[[#Headers],[X base venstre]])+1,DB$7/(DA$7/$B$67),DB242/(DA242/$B$67))</f>
        <v>-2.8015817870135784</v>
      </c>
      <c r="DC243">
        <f>Styrkeberegning_G[[#This Row],[X base venstre]]*-1</f>
        <v>2.8015817870135784</v>
      </c>
      <c r="DN243" s="32">
        <f t="shared" si="365"/>
        <v>233</v>
      </c>
      <c r="DO243" s="32">
        <f t="shared" si="366"/>
        <v>234</v>
      </c>
      <c r="DP243" s="32">
        <f t="shared" si="367"/>
        <v>28.412362209814923</v>
      </c>
      <c r="DQ243" s="32" t="e">
        <f t="shared" si="368"/>
        <v>#N/A</v>
      </c>
      <c r="DR243" s="32" t="e">
        <f t="shared" si="369"/>
        <v>#N/A</v>
      </c>
      <c r="DS243" s="32">
        <f t="shared" si="370"/>
        <v>9.9219089203870831E-4</v>
      </c>
      <c r="DT243" s="32" t="e">
        <f t="shared" si="371"/>
        <v>#N/A</v>
      </c>
      <c r="DU243" s="32" t="b">
        <f t="shared" si="372"/>
        <v>0</v>
      </c>
      <c r="DV243" s="32" t="b">
        <f t="shared" si="373"/>
        <v>1</v>
      </c>
      <c r="DW243" s="32" t="b">
        <f t="shared" si="374"/>
        <v>1</v>
      </c>
      <c r="DX243" s="32" t="b">
        <f t="shared" si="375"/>
        <v>0</v>
      </c>
      <c r="DY243" s="32">
        <f t="shared" si="376"/>
        <v>9.9219089203870831E-4</v>
      </c>
      <c r="DZ243" s="32">
        <f t="shared" si="377"/>
        <v>9.9219089203870831E-4</v>
      </c>
      <c r="EA243" s="32" t="e">
        <f t="shared" si="378"/>
        <v>#N/A</v>
      </c>
      <c r="EB243" s="45" t="str">
        <f t="shared" si="379"/>
        <v/>
      </c>
      <c r="EG243" s="32">
        <f t="shared" si="380"/>
        <v>233</v>
      </c>
      <c r="EH243" s="32">
        <f t="shared" si="381"/>
        <v>234</v>
      </c>
      <c r="EI243" s="32">
        <f t="shared" si="382"/>
        <v>2.4913500762903302</v>
      </c>
      <c r="EJ243" s="32">
        <f t="shared" si="383"/>
        <v>1.7910804685522155E-2</v>
      </c>
      <c r="EK243" s="32" t="e">
        <f t="shared" si="384"/>
        <v>#N/A</v>
      </c>
      <c r="EL243" s="32" t="e">
        <f t="shared" si="385"/>
        <v>#N/A</v>
      </c>
      <c r="EM243" s="32" t="e">
        <f t="shared" si="386"/>
        <v>#N/A</v>
      </c>
      <c r="EN243" s="32" t="b">
        <f t="shared" si="387"/>
        <v>0</v>
      </c>
      <c r="EO243" s="32" t="b">
        <f t="shared" si="388"/>
        <v>1</v>
      </c>
      <c r="EP243" s="32" t="b">
        <f t="shared" si="389"/>
        <v>1</v>
      </c>
      <c r="EQ243" s="32" t="b">
        <f t="shared" si="390"/>
        <v>0</v>
      </c>
      <c r="ER243" s="32">
        <f t="shared" si="391"/>
        <v>1.7910804685522155E-2</v>
      </c>
      <c r="ES243" s="32">
        <f t="shared" si="392"/>
        <v>1.7910804685522155E-2</v>
      </c>
      <c r="ET243" s="32" t="e">
        <f t="shared" si="393"/>
        <v>#N/A</v>
      </c>
      <c r="EU243" s="45" t="str">
        <f t="shared" si="394"/>
        <v/>
      </c>
      <c r="EV24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3" s="32" t="e" cm="1">
        <f t="array" ref="EY243">IF($CR$3,INDEX(Eu_tabel_a[[#This Row],[Styrke venstre]:[Styrke tosidet]],EY$7),NA())</f>
        <v>#N/A</v>
      </c>
      <c r="EZ243" s="32" t="e">
        <f>IF(EY$3,IF(CHOOSE(EY$7,Eu_tabel_a[[#This Row],[x base]]&gt;0,Eu_tabel_a[[#This Row],[x base]]&lt;0,Eu_tabel_a[[#This Row],[x base]]=0),1,NA()),NA())</f>
        <v>#N/A</v>
      </c>
      <c r="FA243" s="32" t="e">
        <f>IF(CHOOSE(EY$7,Eu_tabel_a[[#This Row],[x base]]&gt;0,Eu_tabel_a[[#This Row],[x base]]&lt;0,Eu_tabel_a[[#This Row],[x base]]=0),Eu_tabel_a[[#This Row],[Styrke, aktiv]],NA())</f>
        <v>#N/A</v>
      </c>
      <c r="FB243" s="32" t="e">
        <f>IFERROR(IF($EY$3,Eu_tabel_a[[#This Row],[Styrke, aktiv]],NA()),NA())</f>
        <v>#N/A</v>
      </c>
      <c r="FC243" s="32" t="e">
        <f>IF(ISNA(Eu_tabel_a[[#This Row],[Sand negativ
Nulhypotese afvises
Korrekt]]),NA(),IF(EY$3,1,NA()))</f>
        <v>#N/A</v>
      </c>
      <c r="FD243" s="33" t="str" cm="1">
        <f t="array" ref="FD243">IFERROR(_xlfn.SWITCH(Eu_tabel_a[[#This Row],[Indeks]],_xlfn.IFNA(FB$2,-99),FB$5,_xlfn.IFNA(FB$3,-99),FB$6,_xlfn.IFNA(FB$4,-99),FB$7,""),"")</f>
        <v/>
      </c>
      <c r="FE243" s="32">
        <f>Eu_tabel_a[[#This Row],[x base]]*SQRT(Eu_a_h0_x*(1-Eu_a_h0_x)/Eu_a_n_x)+Eu_a_h0_x</f>
        <v>0</v>
      </c>
      <c r="FJ243" s="74" t="e">
        <f t="shared" si="338"/>
        <v>#N/A</v>
      </c>
      <c r="FK243" s="82" t="e">
        <f t="shared" si="426"/>
        <v>#DIV/0!</v>
      </c>
      <c r="FL243" s="7" t="e">
        <f t="shared" si="332"/>
        <v>#DIV/0!</v>
      </c>
      <c r="FM243" t="e">
        <f t="shared" si="427"/>
        <v>#DIV/0!</v>
      </c>
      <c r="FN243" s="8" t="e">
        <f t="shared" si="428"/>
        <v>#DIV/0!</v>
      </c>
      <c r="FO243" s="8" t="e">
        <f t="shared" si="429"/>
        <v>#DIV/0!</v>
      </c>
      <c r="FP243" s="81" t="e">
        <f t="shared" si="430"/>
        <v>#DIV/0!</v>
      </c>
      <c r="FQ243" s="74" t="e">
        <f t="shared" ca="1" si="333"/>
        <v>#N/A</v>
      </c>
      <c r="FR243" s="82" t="e" vm="3">
        <f t="shared" ca="1" si="339"/>
        <v>#VALUE!</v>
      </c>
      <c r="FS243" s="7" t="e" vm="3">
        <f t="shared" ca="1" si="334"/>
        <v>#VALUE!</v>
      </c>
      <c r="FT243" t="e" vm="3">
        <f t="shared" ca="1" si="328"/>
        <v>#VALUE!</v>
      </c>
      <c r="FU243" s="8" t="e" vm="3">
        <f t="shared" ca="1" si="329"/>
        <v>#VALUE!</v>
      </c>
      <c r="FV243" s="8" t="e" vm="3">
        <f t="shared" ca="1" si="330"/>
        <v>#VALUE!</v>
      </c>
      <c r="FW243" s="81" t="e" vm="3">
        <f t="shared" ca="1" si="331"/>
        <v>#VALUE!</v>
      </c>
      <c r="FX243" s="74" t="e">
        <f t="shared" si="335"/>
        <v>#N/A</v>
      </c>
      <c r="FY243" s="82" t="e">
        <f t="shared" si="340"/>
        <v>#N/A</v>
      </c>
      <c r="FZ243" s="7" t="e">
        <f t="shared" si="336"/>
        <v>#N/A</v>
      </c>
      <c r="GA243" t="e">
        <f t="shared" si="341"/>
        <v>#N/A</v>
      </c>
      <c r="GB243" s="8" t="e">
        <f t="shared" si="342"/>
        <v>#N/A</v>
      </c>
      <c r="GC243" s="8" t="e">
        <f t="shared" si="343"/>
        <v>#N/A</v>
      </c>
      <c r="GD243" s="81" t="e">
        <f t="shared" si="344"/>
        <v>#N/A</v>
      </c>
      <c r="GE243" s="74" t="e">
        <f t="shared" si="345"/>
        <v>#N/A</v>
      </c>
      <c r="GF243" s="82" t="e">
        <f t="shared" si="346"/>
        <v>#N/A</v>
      </c>
      <c r="GG243" s="7" t="e">
        <f t="shared" si="337"/>
        <v>#N/A</v>
      </c>
      <c r="GH243" t="e">
        <f t="shared" si="347"/>
        <v>#N/A</v>
      </c>
      <c r="GI243" s="8" t="e">
        <f t="shared" si="348"/>
        <v>#N/A</v>
      </c>
      <c r="GJ243" s="8" t="e">
        <f t="shared" si="349"/>
        <v>#N/A</v>
      </c>
      <c r="GK243" s="81" t="e">
        <f t="shared" si="350"/>
        <v>#N/A</v>
      </c>
      <c r="GL243" s="81"/>
      <c r="GM243" s="81"/>
      <c r="GP243" s="32">
        <f t="shared" si="395"/>
        <v>233</v>
      </c>
      <c r="GQ243" s="32">
        <f t="shared" si="396"/>
        <v>234</v>
      </c>
      <c r="GR243" s="32">
        <f t="shared" si="397"/>
        <v>2.4913500762903302</v>
      </c>
      <c r="GS243" s="32">
        <f t="shared" si="398"/>
        <v>1.7910804685522155E-2</v>
      </c>
      <c r="GT243" s="32" t="e">
        <f t="shared" si="399"/>
        <v>#N/A</v>
      </c>
      <c r="GU243" s="32" t="e">
        <f t="shared" si="400"/>
        <v>#N/A</v>
      </c>
      <c r="GV243" s="32" t="e">
        <f t="shared" si="401"/>
        <v>#N/A</v>
      </c>
      <c r="GW243" s="32" t="b">
        <f t="shared" si="402"/>
        <v>0</v>
      </c>
      <c r="GX243" s="32" t="b">
        <f t="shared" si="403"/>
        <v>1</v>
      </c>
      <c r="GY243" s="32" t="b">
        <f t="shared" si="404"/>
        <v>1</v>
      </c>
      <c r="GZ243" s="32" t="b">
        <f t="shared" si="405"/>
        <v>0</v>
      </c>
      <c r="HA243" s="32">
        <f t="shared" si="406"/>
        <v>1.7910804685522155E-2</v>
      </c>
      <c r="HB243" s="32">
        <f t="shared" si="407"/>
        <v>1.7910804685522155E-2</v>
      </c>
      <c r="HC243" s="32" t="e">
        <f t="shared" si="408"/>
        <v>#N/A</v>
      </c>
      <c r="HD243" s="45" t="str">
        <f t="shared" si="409"/>
        <v/>
      </c>
      <c r="HJ243" s="32">
        <f t="shared" si="410"/>
        <v>233</v>
      </c>
      <c r="HK243" s="32">
        <f t="shared" si="411"/>
        <v>234</v>
      </c>
      <c r="HL243" s="32">
        <f t="shared" si="412"/>
        <v>3.8579079176619118</v>
      </c>
      <c r="HM243" s="32" t="e">
        <f t="shared" si="413"/>
        <v>#N/A</v>
      </c>
      <c r="HN243" s="32">
        <f t="shared" si="414"/>
        <v>4.0306937646998392E-3</v>
      </c>
      <c r="HO243" s="32" t="e">
        <f t="shared" si="415"/>
        <v>#N/A</v>
      </c>
      <c r="HP243" s="32" t="e">
        <f t="shared" si="416"/>
        <v>#N/A</v>
      </c>
      <c r="HQ243" s="32" t="b">
        <f t="shared" si="417"/>
        <v>0</v>
      </c>
      <c r="HR243" s="32" t="b">
        <f t="shared" si="418"/>
        <v>1</v>
      </c>
      <c r="HS243" s="32" t="b">
        <f t="shared" si="419"/>
        <v>1</v>
      </c>
      <c r="HT243" s="32" t="b">
        <f t="shared" si="420"/>
        <v>0</v>
      </c>
      <c r="HU243" s="32">
        <f t="shared" si="421"/>
        <v>4.0306937646998392E-3</v>
      </c>
      <c r="HV243" s="32" t="e">
        <f t="shared" si="422"/>
        <v>#N/A</v>
      </c>
      <c r="HW243" s="32">
        <f t="shared" si="423"/>
        <v>4.0306937646998392E-3</v>
      </c>
      <c r="HX243" s="45" t="str">
        <f t="shared" si="424"/>
        <v/>
      </c>
    </row>
    <row r="244" spans="78:232" x14ac:dyDescent="0.2">
      <c r="BZ244" s="32">
        <f t="shared" si="351"/>
        <v>234</v>
      </c>
      <c r="CA244" s="32">
        <f>Eu_tabel_g[[#This Row],[Indeks]]+1</f>
        <v>235</v>
      </c>
      <c r="CB244" s="32">
        <f t="shared" si="352"/>
        <v>2.5153053654854292</v>
      </c>
      <c r="CC244" s="32">
        <f t="shared" si="353"/>
        <v>1.6868301418220717E-2</v>
      </c>
      <c r="CD244" s="32" t="e">
        <f t="shared" si="354"/>
        <v>#N/A</v>
      </c>
      <c r="CE244" s="32" t="e">
        <f t="shared" si="355"/>
        <v>#N/A</v>
      </c>
      <c r="CF244" s="32" t="e">
        <f t="shared" si="356"/>
        <v>#N/A</v>
      </c>
      <c r="CG244" s="32" t="b">
        <f t="shared" si="357"/>
        <v>0</v>
      </c>
      <c r="CH244" s="32" t="b">
        <f t="shared" si="358"/>
        <v>1</v>
      </c>
      <c r="CI244" s="32" t="b">
        <f t="shared" si="359"/>
        <v>1</v>
      </c>
      <c r="CJ244" s="32" t="b">
        <f t="shared" si="360"/>
        <v>0</v>
      </c>
      <c r="CK244" s="32">
        <f t="shared" si="425"/>
        <v>1.6868301418220717E-2</v>
      </c>
      <c r="CL244" s="32">
        <f t="shared" si="361"/>
        <v>1.6868301418220717E-2</v>
      </c>
      <c r="CM244" s="32" t="e">
        <f t="shared" si="362"/>
        <v>#N/A</v>
      </c>
      <c r="CN244" s="45" t="str">
        <f t="shared" si="363"/>
        <v/>
      </c>
      <c r="CO244" s="32">
        <f>_xlfn.NORM.DIST(_xlfn.NORM.INV(1-Eu_g_konfidensniveau,0,1)-Eu_tabel_g[[#This Row],[x base]],0,1,TRUE)</f>
        <v>1.5901306353919218E-5</v>
      </c>
      <c r="CP244" s="32">
        <f>1-_xlfn.NORM.DIST(_xlfn.NORM.INV(Eu_g_konfidensniveau,0,1)-Eu_tabel_g[[#This Row],[x base]],0,1,TRUE)</f>
        <v>0.80797320867814038</v>
      </c>
      <c r="CQ244" s="32">
        <f>_xlfn.NORM.DIST(_xlfn.NORM.INV((1-Eu_g_konfidensniveau)/2,0,1)-Eu_tabel_g[[#This Row],[x base]],0,1,TRUE)+1-_xlfn.NORM.DIST(_xlfn.NORM.INV(1-(1-Eu_g_konfidensniveau)/2,0,1)-Eu_tabel_g[[#This Row],[x base]],0,1,TRUE)</f>
        <v>0.71067322599342742</v>
      </c>
      <c r="CR244" s="32" t="e" cm="1">
        <f t="array" ref="CR244">IF($CR$3,INDEX(Eu_tabel_g[[#This Row],[Styrke venstre]:[Styrke tosidet]],CR$7),NA())</f>
        <v>#N/A</v>
      </c>
      <c r="CS244" s="52" t="e">
        <f>Eu_tabel_g[[#This Row],[Falsk positiv
Nulhypotese accepteres
Fejltype 1]]</f>
        <v>#N/A</v>
      </c>
      <c r="CT244" s="52" t="e">
        <f>IF(CHOOSE(CR$7,Eu_tabel_g[[#This Row],[x base]]&gt;0,Eu_tabel_g[[#This Row],[x base]]&lt;0,Eu_tabel_g[[#This Row],[x base]]=0),Eu_tabel_g[[#This Row],[Styrke, aktiv]],NA())</f>
        <v>#N/A</v>
      </c>
      <c r="CU244" s="52" t="e">
        <f>IFERROR(IF($CR$3,Eu_tabel_g[[#This Row],[Styrke, aktiv]],NA()),NA())</f>
        <v>#N/A</v>
      </c>
      <c r="CV244" s="52" t="e">
        <f>IF(ISNA(Eu_tabel_g[[#This Row],[Sand negativ
Nulhypotese afvises
Korrekt]]),NA(),IF($CR$3,1,NA()))</f>
        <v>#N/A</v>
      </c>
      <c r="CW244" s="34" t="str" cm="1">
        <f t="array" ref="CW244">_xlfn.SWITCH(BZ244,_xlfn.IFNA(CU$2,-99),CU$5,_xlfn.IFNA(CU$3,-99),CU$6,_xlfn.IFNA(CU$4,-99),CU$7,"")</f>
        <v/>
      </c>
      <c r="DA244" s="7">
        <f t="shared" si="364"/>
        <v>0.8</v>
      </c>
      <c r="DB244">
        <f>IF(ROW(Styrkeberegning_G[[#This Row],[X base venstre]])=ROW(Styrkeberegning_G[[#Headers],[X base venstre]])+1,DB$7/(DA$7/$B$67),DB243/(DA243/$B$67))</f>
        <v>-2.8015817870135784</v>
      </c>
      <c r="DC244">
        <f>Styrkeberegning_G[[#This Row],[X base venstre]]*-1</f>
        <v>2.8015817870135784</v>
      </c>
      <c r="DN244" s="32">
        <f t="shared" si="365"/>
        <v>234</v>
      </c>
      <c r="DO244" s="32">
        <f t="shared" si="366"/>
        <v>235</v>
      </c>
      <c r="DP244" s="32">
        <f t="shared" si="367"/>
        <v>28.526433066231924</v>
      </c>
      <c r="DQ244" s="32" t="e">
        <f t="shared" si="368"/>
        <v>#N/A</v>
      </c>
      <c r="DR244" s="32" t="e">
        <f t="shared" si="369"/>
        <v>#N/A</v>
      </c>
      <c r="DS244" s="32">
        <f t="shared" si="370"/>
        <v>9.5423566060861794E-4</v>
      </c>
      <c r="DT244" s="32" t="e">
        <f t="shared" si="371"/>
        <v>#N/A</v>
      </c>
      <c r="DU244" s="32" t="b">
        <f t="shared" si="372"/>
        <v>0</v>
      </c>
      <c r="DV244" s="32" t="b">
        <f t="shared" si="373"/>
        <v>1</v>
      </c>
      <c r="DW244" s="32" t="b">
        <f t="shared" si="374"/>
        <v>1</v>
      </c>
      <c r="DX244" s="32" t="b">
        <f t="shared" si="375"/>
        <v>0</v>
      </c>
      <c r="DY244" s="32">
        <f t="shared" si="376"/>
        <v>9.5423566060861794E-4</v>
      </c>
      <c r="DZ244" s="32">
        <f t="shared" si="377"/>
        <v>9.5423566060861794E-4</v>
      </c>
      <c r="EA244" s="32" t="e">
        <f t="shared" si="378"/>
        <v>#N/A</v>
      </c>
      <c r="EB244" s="45" t="str">
        <f t="shared" si="379"/>
        <v/>
      </c>
      <c r="EG244" s="32">
        <f t="shared" si="380"/>
        <v>234</v>
      </c>
      <c r="EH244" s="32">
        <f t="shared" si="381"/>
        <v>235</v>
      </c>
      <c r="EI244" s="32">
        <f t="shared" si="382"/>
        <v>2.5153053654854292</v>
      </c>
      <c r="EJ244" s="32">
        <f t="shared" si="383"/>
        <v>1.6868301418220717E-2</v>
      </c>
      <c r="EK244" s="32" t="e">
        <f t="shared" si="384"/>
        <v>#N/A</v>
      </c>
      <c r="EL244" s="32" t="e">
        <f t="shared" si="385"/>
        <v>#N/A</v>
      </c>
      <c r="EM244" s="32" t="e">
        <f t="shared" si="386"/>
        <v>#N/A</v>
      </c>
      <c r="EN244" s="32" t="b">
        <f t="shared" si="387"/>
        <v>0</v>
      </c>
      <c r="EO244" s="32" t="b">
        <f t="shared" si="388"/>
        <v>1</v>
      </c>
      <c r="EP244" s="32" t="b">
        <f t="shared" si="389"/>
        <v>1</v>
      </c>
      <c r="EQ244" s="32" t="b">
        <f t="shared" si="390"/>
        <v>0</v>
      </c>
      <c r="ER244" s="32">
        <f t="shared" si="391"/>
        <v>1.6868301418220717E-2</v>
      </c>
      <c r="ES244" s="32">
        <f t="shared" si="392"/>
        <v>1.6868301418220717E-2</v>
      </c>
      <c r="ET244" s="32" t="e">
        <f t="shared" si="393"/>
        <v>#N/A</v>
      </c>
      <c r="EU244" s="45" t="str">
        <f t="shared" si="394"/>
        <v/>
      </c>
      <c r="EV24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4" s="32" t="e" cm="1">
        <f t="array" ref="EY244">IF($CR$3,INDEX(Eu_tabel_a[[#This Row],[Styrke venstre]:[Styrke tosidet]],EY$7),NA())</f>
        <v>#N/A</v>
      </c>
      <c r="EZ244" s="32" t="e">
        <f>IF(EY$3,IF(CHOOSE(EY$7,Eu_tabel_a[[#This Row],[x base]]&gt;0,Eu_tabel_a[[#This Row],[x base]]&lt;0,Eu_tabel_a[[#This Row],[x base]]=0),1,NA()),NA())</f>
        <v>#N/A</v>
      </c>
      <c r="FA244" s="32" t="e">
        <f>IF(CHOOSE(EY$7,Eu_tabel_a[[#This Row],[x base]]&gt;0,Eu_tabel_a[[#This Row],[x base]]&lt;0,Eu_tabel_a[[#This Row],[x base]]=0),Eu_tabel_a[[#This Row],[Styrke, aktiv]],NA())</f>
        <v>#N/A</v>
      </c>
      <c r="FB244" s="32" t="e">
        <f>IFERROR(IF($EY$3,Eu_tabel_a[[#This Row],[Styrke, aktiv]],NA()),NA())</f>
        <v>#N/A</v>
      </c>
      <c r="FC244" s="32" t="e">
        <f>IF(ISNA(Eu_tabel_a[[#This Row],[Sand negativ
Nulhypotese afvises
Korrekt]]),NA(),IF(EY$3,1,NA()))</f>
        <v>#N/A</v>
      </c>
      <c r="FD244" s="33" t="str" cm="1">
        <f t="array" ref="FD244">IFERROR(_xlfn.SWITCH(Eu_tabel_a[[#This Row],[Indeks]],_xlfn.IFNA(FB$2,-99),FB$5,_xlfn.IFNA(FB$3,-99),FB$6,_xlfn.IFNA(FB$4,-99),FB$7,""),"")</f>
        <v/>
      </c>
      <c r="FE244" s="32">
        <f>Eu_tabel_a[[#This Row],[x base]]*SQRT(Eu_a_h0_x*(1-Eu_a_h0_x)/Eu_a_n_x)+Eu_a_h0_x</f>
        <v>0</v>
      </c>
      <c r="FJ244" s="74" t="e">
        <f t="shared" si="338"/>
        <v>#N/A</v>
      </c>
      <c r="FK244" s="82" t="e">
        <f t="shared" si="426"/>
        <v>#DIV/0!</v>
      </c>
      <c r="FL244" s="7" t="e">
        <f t="shared" si="332"/>
        <v>#DIV/0!</v>
      </c>
      <c r="FM244" t="e">
        <f t="shared" si="427"/>
        <v>#DIV/0!</v>
      </c>
      <c r="FN244" s="8" t="e">
        <f t="shared" si="428"/>
        <v>#DIV/0!</v>
      </c>
      <c r="FO244" s="8" t="e">
        <f t="shared" si="429"/>
        <v>#DIV/0!</v>
      </c>
      <c r="FP244" s="81" t="e">
        <f t="shared" si="430"/>
        <v>#DIV/0!</v>
      </c>
      <c r="FQ244" s="74" t="e">
        <f t="shared" ca="1" si="333"/>
        <v>#N/A</v>
      </c>
      <c r="FR244" s="82" t="e" vm="3">
        <f t="shared" ca="1" si="339"/>
        <v>#VALUE!</v>
      </c>
      <c r="FS244" s="7" t="e" vm="3">
        <f t="shared" ca="1" si="334"/>
        <v>#VALUE!</v>
      </c>
      <c r="FT244" t="e" vm="3">
        <f t="shared" ca="1" si="328"/>
        <v>#VALUE!</v>
      </c>
      <c r="FU244" s="8" t="e" vm="3">
        <f t="shared" ca="1" si="329"/>
        <v>#VALUE!</v>
      </c>
      <c r="FV244" s="8" t="e" vm="3">
        <f t="shared" ca="1" si="330"/>
        <v>#VALUE!</v>
      </c>
      <c r="FW244" s="81" t="e" vm="3">
        <f t="shared" ca="1" si="331"/>
        <v>#VALUE!</v>
      </c>
      <c r="FX244" s="74" t="e">
        <f t="shared" si="335"/>
        <v>#N/A</v>
      </c>
      <c r="FY244" s="82" t="e">
        <f t="shared" si="340"/>
        <v>#N/A</v>
      </c>
      <c r="FZ244" s="7" t="e">
        <f t="shared" si="336"/>
        <v>#N/A</v>
      </c>
      <c r="GA244" t="e">
        <f t="shared" si="341"/>
        <v>#N/A</v>
      </c>
      <c r="GB244" s="8" t="e">
        <f t="shared" si="342"/>
        <v>#N/A</v>
      </c>
      <c r="GC244" s="8" t="e">
        <f t="shared" si="343"/>
        <v>#N/A</v>
      </c>
      <c r="GD244" s="81" t="e">
        <f t="shared" si="344"/>
        <v>#N/A</v>
      </c>
      <c r="GE244" s="74" t="e">
        <f t="shared" si="345"/>
        <v>#N/A</v>
      </c>
      <c r="GF244" s="82" t="e">
        <f t="shared" si="346"/>
        <v>#N/A</v>
      </c>
      <c r="GG244" s="7" t="e">
        <f t="shared" si="337"/>
        <v>#N/A</v>
      </c>
      <c r="GH244" t="e">
        <f t="shared" si="347"/>
        <v>#N/A</v>
      </c>
      <c r="GI244" s="8" t="e">
        <f t="shared" si="348"/>
        <v>#N/A</v>
      </c>
      <c r="GJ244" s="8" t="e">
        <f t="shared" si="349"/>
        <v>#N/A</v>
      </c>
      <c r="GK244" s="81" t="e">
        <f t="shared" si="350"/>
        <v>#N/A</v>
      </c>
      <c r="GL244" s="81"/>
      <c r="GM244" s="81"/>
      <c r="GP244" s="32">
        <f t="shared" si="395"/>
        <v>234</v>
      </c>
      <c r="GQ244" s="32">
        <f t="shared" si="396"/>
        <v>235</v>
      </c>
      <c r="GR244" s="32">
        <f t="shared" si="397"/>
        <v>2.5153053654854292</v>
      </c>
      <c r="GS244" s="32">
        <f t="shared" si="398"/>
        <v>1.6868301418220717E-2</v>
      </c>
      <c r="GT244" s="32" t="e">
        <f t="shared" si="399"/>
        <v>#N/A</v>
      </c>
      <c r="GU244" s="32" t="e">
        <f t="shared" si="400"/>
        <v>#N/A</v>
      </c>
      <c r="GV244" s="32" t="e">
        <f t="shared" si="401"/>
        <v>#N/A</v>
      </c>
      <c r="GW244" s="32" t="b">
        <f t="shared" si="402"/>
        <v>0</v>
      </c>
      <c r="GX244" s="32" t="b">
        <f t="shared" si="403"/>
        <v>1</v>
      </c>
      <c r="GY244" s="32" t="b">
        <f t="shared" si="404"/>
        <v>1</v>
      </c>
      <c r="GZ244" s="32" t="b">
        <f t="shared" si="405"/>
        <v>0</v>
      </c>
      <c r="HA244" s="32">
        <f t="shared" si="406"/>
        <v>1.6868301418220717E-2</v>
      </c>
      <c r="HB244" s="32">
        <f t="shared" si="407"/>
        <v>1.6868301418220717E-2</v>
      </c>
      <c r="HC244" s="32" t="e">
        <f t="shared" si="408"/>
        <v>#N/A</v>
      </c>
      <c r="HD244" s="45" t="str">
        <f t="shared" si="409"/>
        <v/>
      </c>
      <c r="HJ244" s="32">
        <f t="shared" si="410"/>
        <v>234</v>
      </c>
      <c r="HK244" s="32">
        <f t="shared" si="411"/>
        <v>235</v>
      </c>
      <c r="HL244" s="32">
        <f t="shared" si="412"/>
        <v>3.8950031861009684</v>
      </c>
      <c r="HM244" s="32" t="e">
        <f t="shared" si="413"/>
        <v>#N/A</v>
      </c>
      <c r="HN244" s="32">
        <f t="shared" si="414"/>
        <v>3.8255881567615399E-3</v>
      </c>
      <c r="HO244" s="32" t="e">
        <f t="shared" si="415"/>
        <v>#N/A</v>
      </c>
      <c r="HP244" s="32" t="e">
        <f t="shared" si="416"/>
        <v>#N/A</v>
      </c>
      <c r="HQ244" s="32" t="b">
        <f t="shared" si="417"/>
        <v>0</v>
      </c>
      <c r="HR244" s="32" t="b">
        <f t="shared" si="418"/>
        <v>1</v>
      </c>
      <c r="HS244" s="32" t="b">
        <f t="shared" si="419"/>
        <v>1</v>
      </c>
      <c r="HT244" s="32" t="b">
        <f t="shared" si="420"/>
        <v>0</v>
      </c>
      <c r="HU244" s="32">
        <f t="shared" si="421"/>
        <v>3.8255881567615399E-3</v>
      </c>
      <c r="HV244" s="32" t="e">
        <f t="shared" si="422"/>
        <v>#N/A</v>
      </c>
      <c r="HW244" s="32">
        <f t="shared" si="423"/>
        <v>3.8255881567615399E-3</v>
      </c>
      <c r="HX244" s="45" t="str">
        <f t="shared" si="424"/>
        <v/>
      </c>
    </row>
    <row r="245" spans="78:232" x14ac:dyDescent="0.2">
      <c r="BZ245" s="32">
        <f t="shared" si="351"/>
        <v>235</v>
      </c>
      <c r="CA245" s="32">
        <f>Eu_tabel_g[[#This Row],[Indeks]]+1</f>
        <v>236</v>
      </c>
      <c r="CB245" s="32">
        <f t="shared" si="352"/>
        <v>2.539260654680529</v>
      </c>
      <c r="CC245" s="32">
        <f t="shared" si="353"/>
        <v>1.5877363404520835E-2</v>
      </c>
      <c r="CD245" s="32" t="e">
        <f t="shared" si="354"/>
        <v>#N/A</v>
      </c>
      <c r="CE245" s="32" t="e">
        <f t="shared" si="355"/>
        <v>#N/A</v>
      </c>
      <c r="CF245" s="32" t="e">
        <f t="shared" si="356"/>
        <v>#N/A</v>
      </c>
      <c r="CG245" s="32" t="b">
        <f t="shared" si="357"/>
        <v>0</v>
      </c>
      <c r="CH245" s="32" t="b">
        <f t="shared" si="358"/>
        <v>1</v>
      </c>
      <c r="CI245" s="32" t="b">
        <f t="shared" si="359"/>
        <v>1</v>
      </c>
      <c r="CJ245" s="32" t="b">
        <f t="shared" si="360"/>
        <v>0</v>
      </c>
      <c r="CK245" s="32">
        <f t="shared" si="425"/>
        <v>1.5877363404520835E-2</v>
      </c>
      <c r="CL245" s="32">
        <f t="shared" si="361"/>
        <v>1.5877363404520835E-2</v>
      </c>
      <c r="CM245" s="32" t="e">
        <f t="shared" si="362"/>
        <v>#N/A</v>
      </c>
      <c r="CN245" s="45" t="str">
        <f t="shared" si="363"/>
        <v/>
      </c>
      <c r="CO245" s="32">
        <f>_xlfn.NORM.DIST(_xlfn.NORM.INV(1-Eu_g_konfidensniveau,0,1)-Eu_tabel_g[[#This Row],[x base]],0,1,TRUE)</f>
        <v>1.4314003777583852E-5</v>
      </c>
      <c r="CP245" s="32">
        <f>1-_xlfn.NORM.DIST(_xlfn.NORM.INV(Eu_g_konfidensniveau,0,1)-Eu_tabel_g[[#This Row],[x base]],0,1,TRUE)</f>
        <v>0.8144479231481434</v>
      </c>
      <c r="CQ245" s="32">
        <f>_xlfn.NORM.DIST(_xlfn.NORM.INV((1-Eu_g_konfidensniveau)/2,0,1)-Eu_tabel_g[[#This Row],[x base]],0,1,TRUE)+1-_xlfn.NORM.DIST(_xlfn.NORM.INV(1-(1-Eu_g_konfidensniveau)/2,0,1)-Eu_tabel_g[[#This Row],[x base]],0,1,TRUE)</f>
        <v>0.71880890410963227</v>
      </c>
      <c r="CR245" s="32" t="e" cm="1">
        <f t="array" ref="CR245">IF($CR$3,INDEX(Eu_tabel_g[[#This Row],[Styrke venstre]:[Styrke tosidet]],CR$7),NA())</f>
        <v>#N/A</v>
      </c>
      <c r="CS245" s="52" t="e">
        <f>Eu_tabel_g[[#This Row],[Falsk positiv
Nulhypotese accepteres
Fejltype 1]]</f>
        <v>#N/A</v>
      </c>
      <c r="CT245" s="52" t="e">
        <f>IF(CHOOSE(CR$7,Eu_tabel_g[[#This Row],[x base]]&gt;0,Eu_tabel_g[[#This Row],[x base]]&lt;0,Eu_tabel_g[[#This Row],[x base]]=0),Eu_tabel_g[[#This Row],[Styrke, aktiv]],NA())</f>
        <v>#N/A</v>
      </c>
      <c r="CU245" s="52" t="e">
        <f>IFERROR(IF($CR$3,Eu_tabel_g[[#This Row],[Styrke, aktiv]],NA()),NA())</f>
        <v>#N/A</v>
      </c>
      <c r="CV245" s="52" t="e">
        <f>IF(ISNA(Eu_tabel_g[[#This Row],[Sand negativ
Nulhypotese afvises
Korrekt]]),NA(),IF($CR$3,1,NA()))</f>
        <v>#N/A</v>
      </c>
      <c r="CW245" s="34" t="str" cm="1">
        <f t="array" ref="CW245">_xlfn.SWITCH(BZ245,_xlfn.IFNA(CU$2,-99),CU$5,_xlfn.IFNA(CU$3,-99),CU$6,_xlfn.IFNA(CU$4,-99),CU$7,"")</f>
        <v/>
      </c>
      <c r="DA245" s="7">
        <f t="shared" si="364"/>
        <v>0.8</v>
      </c>
      <c r="DB245">
        <f>IF(ROW(Styrkeberegning_G[[#This Row],[X base venstre]])=ROW(Styrkeberegning_G[[#Headers],[X base venstre]])+1,DB$7/(DA$7/$B$67),DB244/(DA244/$B$67))</f>
        <v>-2.8015817870135784</v>
      </c>
      <c r="DC245">
        <f>Styrkeberegning_G[[#This Row],[X base venstre]]*-1</f>
        <v>2.8015817870135784</v>
      </c>
      <c r="DN245" s="32">
        <f t="shared" si="365"/>
        <v>235</v>
      </c>
      <c r="DO245" s="32">
        <f t="shared" si="366"/>
        <v>236</v>
      </c>
      <c r="DP245" s="32">
        <f t="shared" si="367"/>
        <v>28.640503922648925</v>
      </c>
      <c r="DQ245" s="32" t="e">
        <f t="shared" si="368"/>
        <v>#N/A</v>
      </c>
      <c r="DR245" s="32" t="e">
        <f t="shared" si="369"/>
        <v>#N/A</v>
      </c>
      <c r="DS245" s="32">
        <f t="shared" si="370"/>
        <v>9.1766633261481496E-4</v>
      </c>
      <c r="DT245" s="32" t="e">
        <f t="shared" si="371"/>
        <v>#N/A</v>
      </c>
      <c r="DU245" s="32" t="b">
        <f t="shared" si="372"/>
        <v>0</v>
      </c>
      <c r="DV245" s="32" t="b">
        <f t="shared" si="373"/>
        <v>1</v>
      </c>
      <c r="DW245" s="32" t="b">
        <f t="shared" si="374"/>
        <v>1</v>
      </c>
      <c r="DX245" s="32" t="b">
        <f t="shared" si="375"/>
        <v>0</v>
      </c>
      <c r="DY245" s="32">
        <f t="shared" si="376"/>
        <v>9.1766633261481496E-4</v>
      </c>
      <c r="DZ245" s="32">
        <f t="shared" si="377"/>
        <v>9.1766633261481496E-4</v>
      </c>
      <c r="EA245" s="32" t="e">
        <f t="shared" si="378"/>
        <v>#N/A</v>
      </c>
      <c r="EB245" s="45" t="str">
        <f t="shared" si="379"/>
        <v/>
      </c>
      <c r="EG245" s="32">
        <f t="shared" si="380"/>
        <v>235</v>
      </c>
      <c r="EH245" s="32">
        <f t="shared" si="381"/>
        <v>236</v>
      </c>
      <c r="EI245" s="32">
        <f t="shared" si="382"/>
        <v>2.539260654680529</v>
      </c>
      <c r="EJ245" s="32">
        <f t="shared" si="383"/>
        <v>1.5877363404520835E-2</v>
      </c>
      <c r="EK245" s="32" t="e">
        <f t="shared" si="384"/>
        <v>#N/A</v>
      </c>
      <c r="EL245" s="32" t="e">
        <f t="shared" si="385"/>
        <v>#N/A</v>
      </c>
      <c r="EM245" s="32" t="e">
        <f t="shared" si="386"/>
        <v>#N/A</v>
      </c>
      <c r="EN245" s="32" t="b">
        <f t="shared" si="387"/>
        <v>0</v>
      </c>
      <c r="EO245" s="32" t="b">
        <f t="shared" si="388"/>
        <v>1</v>
      </c>
      <c r="EP245" s="32" t="b">
        <f t="shared" si="389"/>
        <v>1</v>
      </c>
      <c r="EQ245" s="32" t="b">
        <f t="shared" si="390"/>
        <v>0</v>
      </c>
      <c r="ER245" s="32">
        <f t="shared" si="391"/>
        <v>1.5877363404520835E-2</v>
      </c>
      <c r="ES245" s="32">
        <f t="shared" si="392"/>
        <v>1.5877363404520835E-2</v>
      </c>
      <c r="ET245" s="32" t="e">
        <f t="shared" si="393"/>
        <v>#N/A</v>
      </c>
      <c r="EU245" s="45" t="str">
        <f t="shared" si="394"/>
        <v/>
      </c>
      <c r="EV24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5" s="32" t="e" cm="1">
        <f t="array" ref="EY245">IF($CR$3,INDEX(Eu_tabel_a[[#This Row],[Styrke venstre]:[Styrke tosidet]],EY$7),NA())</f>
        <v>#N/A</v>
      </c>
      <c r="EZ245" s="32" t="e">
        <f>IF(EY$3,IF(CHOOSE(EY$7,Eu_tabel_a[[#This Row],[x base]]&gt;0,Eu_tabel_a[[#This Row],[x base]]&lt;0,Eu_tabel_a[[#This Row],[x base]]=0),1,NA()),NA())</f>
        <v>#N/A</v>
      </c>
      <c r="FA245" s="32" t="e">
        <f>IF(CHOOSE(EY$7,Eu_tabel_a[[#This Row],[x base]]&gt;0,Eu_tabel_a[[#This Row],[x base]]&lt;0,Eu_tabel_a[[#This Row],[x base]]=0),Eu_tabel_a[[#This Row],[Styrke, aktiv]],NA())</f>
        <v>#N/A</v>
      </c>
      <c r="FB245" s="32" t="e">
        <f>IFERROR(IF($EY$3,Eu_tabel_a[[#This Row],[Styrke, aktiv]],NA()),NA())</f>
        <v>#N/A</v>
      </c>
      <c r="FC245" s="32" t="e">
        <f>IF(ISNA(Eu_tabel_a[[#This Row],[Sand negativ
Nulhypotese afvises
Korrekt]]),NA(),IF(EY$3,1,NA()))</f>
        <v>#N/A</v>
      </c>
      <c r="FD245" s="33" t="str" cm="1">
        <f t="array" ref="FD245">IFERROR(_xlfn.SWITCH(Eu_tabel_a[[#This Row],[Indeks]],_xlfn.IFNA(FB$2,-99),FB$5,_xlfn.IFNA(FB$3,-99),FB$6,_xlfn.IFNA(FB$4,-99),FB$7,""),"")</f>
        <v/>
      </c>
      <c r="FE245" s="32">
        <f>Eu_tabel_a[[#This Row],[x base]]*SQRT(Eu_a_h0_x*(1-Eu_a_h0_x)/Eu_a_n_x)+Eu_a_h0_x</f>
        <v>0</v>
      </c>
      <c r="FJ245" s="74" t="e">
        <f t="shared" si="338"/>
        <v>#N/A</v>
      </c>
      <c r="FK245" s="82" t="e">
        <f t="shared" si="426"/>
        <v>#DIV/0!</v>
      </c>
      <c r="FL245" s="7" t="e">
        <f t="shared" si="332"/>
        <v>#DIV/0!</v>
      </c>
      <c r="FM245" t="e">
        <f t="shared" si="427"/>
        <v>#DIV/0!</v>
      </c>
      <c r="FN245" s="8" t="e">
        <f t="shared" si="428"/>
        <v>#DIV/0!</v>
      </c>
      <c r="FO245" s="8" t="e">
        <f t="shared" si="429"/>
        <v>#DIV/0!</v>
      </c>
      <c r="FP245" s="81" t="e">
        <f t="shared" si="430"/>
        <v>#DIV/0!</v>
      </c>
      <c r="FQ245" s="74" t="e">
        <f t="shared" ca="1" si="333"/>
        <v>#N/A</v>
      </c>
      <c r="FR245" s="82" t="e" vm="3">
        <f t="shared" ca="1" si="339"/>
        <v>#VALUE!</v>
      </c>
      <c r="FS245" s="7" t="e" vm="3">
        <f t="shared" ca="1" si="334"/>
        <v>#VALUE!</v>
      </c>
      <c r="FT245" t="e" vm="3">
        <f t="shared" ca="1" si="328"/>
        <v>#VALUE!</v>
      </c>
      <c r="FU245" s="8" t="e" vm="3">
        <f t="shared" ca="1" si="329"/>
        <v>#VALUE!</v>
      </c>
      <c r="FV245" s="8" t="e" vm="3">
        <f t="shared" ca="1" si="330"/>
        <v>#VALUE!</v>
      </c>
      <c r="FW245" s="81" t="e" vm="3">
        <f t="shared" ca="1" si="331"/>
        <v>#VALUE!</v>
      </c>
      <c r="FX245" s="74" t="e">
        <f t="shared" si="335"/>
        <v>#N/A</v>
      </c>
      <c r="FY245" s="82" t="e">
        <f t="shared" si="340"/>
        <v>#N/A</v>
      </c>
      <c r="FZ245" s="7" t="e">
        <f t="shared" si="336"/>
        <v>#N/A</v>
      </c>
      <c r="GA245" t="e">
        <f t="shared" si="341"/>
        <v>#N/A</v>
      </c>
      <c r="GB245" s="8" t="e">
        <f t="shared" si="342"/>
        <v>#N/A</v>
      </c>
      <c r="GC245" s="8" t="e">
        <f t="shared" si="343"/>
        <v>#N/A</v>
      </c>
      <c r="GD245" s="81" t="e">
        <f t="shared" si="344"/>
        <v>#N/A</v>
      </c>
      <c r="GE245" s="74" t="e">
        <f t="shared" si="345"/>
        <v>#N/A</v>
      </c>
      <c r="GF245" s="82" t="e">
        <f t="shared" si="346"/>
        <v>#N/A</v>
      </c>
      <c r="GG245" s="7" t="e">
        <f t="shared" si="337"/>
        <v>#N/A</v>
      </c>
      <c r="GH245" t="e">
        <f t="shared" si="347"/>
        <v>#N/A</v>
      </c>
      <c r="GI245" s="8" t="e">
        <f t="shared" si="348"/>
        <v>#N/A</v>
      </c>
      <c r="GJ245" s="8" t="e">
        <f t="shared" si="349"/>
        <v>#N/A</v>
      </c>
      <c r="GK245" s="81" t="e">
        <f t="shared" si="350"/>
        <v>#N/A</v>
      </c>
      <c r="GL245" s="81"/>
      <c r="GM245" s="81"/>
      <c r="GP245" s="32">
        <f t="shared" si="395"/>
        <v>235</v>
      </c>
      <c r="GQ245" s="32">
        <f t="shared" si="396"/>
        <v>236</v>
      </c>
      <c r="GR245" s="32">
        <f t="shared" si="397"/>
        <v>2.539260654680529</v>
      </c>
      <c r="GS245" s="32">
        <f t="shared" si="398"/>
        <v>1.5877363404520835E-2</v>
      </c>
      <c r="GT245" s="32" t="e">
        <f t="shared" si="399"/>
        <v>#N/A</v>
      </c>
      <c r="GU245" s="32" t="e">
        <f t="shared" si="400"/>
        <v>#N/A</v>
      </c>
      <c r="GV245" s="32" t="e">
        <f t="shared" si="401"/>
        <v>#N/A</v>
      </c>
      <c r="GW245" s="32" t="b">
        <f t="shared" si="402"/>
        <v>0</v>
      </c>
      <c r="GX245" s="32" t="b">
        <f t="shared" si="403"/>
        <v>1</v>
      </c>
      <c r="GY245" s="32" t="b">
        <f t="shared" si="404"/>
        <v>1</v>
      </c>
      <c r="GZ245" s="32" t="b">
        <f t="shared" si="405"/>
        <v>0</v>
      </c>
      <c r="HA245" s="32">
        <f t="shared" si="406"/>
        <v>1.5877363404520835E-2</v>
      </c>
      <c r="HB245" s="32">
        <f t="shared" si="407"/>
        <v>1.5877363404520835E-2</v>
      </c>
      <c r="HC245" s="32" t="e">
        <f t="shared" si="408"/>
        <v>#N/A</v>
      </c>
      <c r="HD245" s="45" t="str">
        <f t="shared" si="409"/>
        <v/>
      </c>
      <c r="HJ245" s="32">
        <f t="shared" si="410"/>
        <v>235</v>
      </c>
      <c r="HK245" s="32">
        <f t="shared" si="411"/>
        <v>236</v>
      </c>
      <c r="HL245" s="32">
        <f t="shared" si="412"/>
        <v>3.9320984545400268</v>
      </c>
      <c r="HM245" s="32" t="e">
        <f t="shared" si="413"/>
        <v>#N/A</v>
      </c>
      <c r="HN245" s="32">
        <f t="shared" si="414"/>
        <v>3.6315839884640327E-3</v>
      </c>
      <c r="HO245" s="32" t="e">
        <f t="shared" si="415"/>
        <v>#N/A</v>
      </c>
      <c r="HP245" s="32" t="e">
        <f t="shared" si="416"/>
        <v>#N/A</v>
      </c>
      <c r="HQ245" s="32" t="b">
        <f t="shared" si="417"/>
        <v>0</v>
      </c>
      <c r="HR245" s="32" t="b">
        <f t="shared" si="418"/>
        <v>1</v>
      </c>
      <c r="HS245" s="32" t="b">
        <f t="shared" si="419"/>
        <v>1</v>
      </c>
      <c r="HT245" s="32" t="b">
        <f t="shared" si="420"/>
        <v>0</v>
      </c>
      <c r="HU245" s="32">
        <f t="shared" si="421"/>
        <v>3.6315839884640327E-3</v>
      </c>
      <c r="HV245" s="32" t="e">
        <f t="shared" si="422"/>
        <v>#N/A</v>
      </c>
      <c r="HW245" s="32">
        <f t="shared" si="423"/>
        <v>3.6315839884640327E-3</v>
      </c>
      <c r="HX245" s="45" t="str">
        <f t="shared" si="424"/>
        <v/>
      </c>
    </row>
    <row r="246" spans="78:232" x14ac:dyDescent="0.2">
      <c r="BZ246" s="32">
        <f t="shared" si="351"/>
        <v>236</v>
      </c>
      <c r="CA246" s="32">
        <f>Eu_tabel_g[[#This Row],[Indeks]]+1</f>
        <v>237</v>
      </c>
      <c r="CB246" s="32">
        <f t="shared" si="352"/>
        <v>2.5632159438756279</v>
      </c>
      <c r="CC246" s="32">
        <f t="shared" si="353"/>
        <v>1.4936065002642981E-2</v>
      </c>
      <c r="CD246" s="32" t="e">
        <f t="shared" si="354"/>
        <v>#N/A</v>
      </c>
      <c r="CE246" s="32" t="e">
        <f t="shared" si="355"/>
        <v>#N/A</v>
      </c>
      <c r="CF246" s="32" t="e">
        <f t="shared" si="356"/>
        <v>#N/A</v>
      </c>
      <c r="CG246" s="32" t="b">
        <f t="shared" si="357"/>
        <v>0</v>
      </c>
      <c r="CH246" s="32" t="b">
        <f t="shared" si="358"/>
        <v>1</v>
      </c>
      <c r="CI246" s="32" t="b">
        <f t="shared" si="359"/>
        <v>1</v>
      </c>
      <c r="CJ246" s="32" t="b">
        <f t="shared" si="360"/>
        <v>0</v>
      </c>
      <c r="CK246" s="32">
        <f t="shared" si="425"/>
        <v>1.4936065002642981E-2</v>
      </c>
      <c r="CL246" s="32">
        <f t="shared" si="361"/>
        <v>1.4936065002642981E-2</v>
      </c>
      <c r="CM246" s="32" t="e">
        <f t="shared" si="362"/>
        <v>#N/A</v>
      </c>
      <c r="CN246" s="45" t="str">
        <f t="shared" si="363"/>
        <v/>
      </c>
      <c r="CO246" s="32">
        <f>_xlfn.NORM.DIST(_xlfn.NORM.INV(1-Eu_g_konfidensniveau,0,1)-Eu_tabel_g[[#This Row],[x base]],0,1,TRUE)</f>
        <v>1.2878078825668795E-5</v>
      </c>
      <c r="CP246" s="32">
        <f>1-_xlfn.NORM.DIST(_xlfn.NORM.INV(Eu_g_konfidensniveau,0,1)-Eu_tabel_g[[#This Row],[x base]],0,1,TRUE)</f>
        <v>0.82078539390681737</v>
      </c>
      <c r="CQ246" s="32">
        <f>_xlfn.NORM.DIST(_xlfn.NORM.INV((1-Eu_g_konfidensniveau)/2,0,1)-Eu_tabel_g[[#This Row],[x base]],0,1,TRUE)+1-_xlfn.NORM.DIST(_xlfn.NORM.INV(1-(1-Eu_g_konfidensniveau)/2,0,1)-Eu_tabel_g[[#This Row],[x base]],0,1,TRUE)</f>
        <v>0.72683250257983512</v>
      </c>
      <c r="CR246" s="32" t="e" cm="1">
        <f t="array" ref="CR246">IF($CR$3,INDEX(Eu_tabel_g[[#This Row],[Styrke venstre]:[Styrke tosidet]],CR$7),NA())</f>
        <v>#N/A</v>
      </c>
      <c r="CS246" s="52" t="e">
        <f>Eu_tabel_g[[#This Row],[Falsk positiv
Nulhypotese accepteres
Fejltype 1]]</f>
        <v>#N/A</v>
      </c>
      <c r="CT246" s="52" t="e">
        <f>IF(CHOOSE(CR$7,Eu_tabel_g[[#This Row],[x base]]&gt;0,Eu_tabel_g[[#This Row],[x base]]&lt;0,Eu_tabel_g[[#This Row],[x base]]=0),Eu_tabel_g[[#This Row],[Styrke, aktiv]],NA())</f>
        <v>#N/A</v>
      </c>
      <c r="CU246" s="52" t="e">
        <f>IFERROR(IF($CR$3,Eu_tabel_g[[#This Row],[Styrke, aktiv]],NA()),NA())</f>
        <v>#N/A</v>
      </c>
      <c r="CV246" s="52" t="e">
        <f>IF(ISNA(Eu_tabel_g[[#This Row],[Sand negativ
Nulhypotese afvises
Korrekt]]),NA(),IF($CR$3,1,NA()))</f>
        <v>#N/A</v>
      </c>
      <c r="CW246" s="34" t="str" cm="1">
        <f t="array" ref="CW246">_xlfn.SWITCH(BZ246,_xlfn.IFNA(CU$2,-99),CU$5,_xlfn.IFNA(CU$3,-99),CU$6,_xlfn.IFNA(CU$4,-99),CU$7,"")</f>
        <v/>
      </c>
      <c r="DA246" s="7">
        <f t="shared" si="364"/>
        <v>0.8</v>
      </c>
      <c r="DB246">
        <f>IF(ROW(Styrkeberegning_G[[#This Row],[X base venstre]])=ROW(Styrkeberegning_G[[#Headers],[X base venstre]])+1,DB$7/(DA$7/$B$67),DB245/(DA245/$B$67))</f>
        <v>-2.8015817870135784</v>
      </c>
      <c r="DC246">
        <f>Styrkeberegning_G[[#This Row],[X base venstre]]*-1</f>
        <v>2.8015817870135784</v>
      </c>
      <c r="DN246" s="32">
        <f t="shared" si="365"/>
        <v>236</v>
      </c>
      <c r="DO246" s="32">
        <f t="shared" si="366"/>
        <v>237</v>
      </c>
      <c r="DP246" s="32">
        <f t="shared" si="367"/>
        <v>28.754574779065926</v>
      </c>
      <c r="DQ246" s="32" t="e">
        <f t="shared" si="368"/>
        <v>#N/A</v>
      </c>
      <c r="DR246" s="32" t="e">
        <f t="shared" si="369"/>
        <v>#N/A</v>
      </c>
      <c r="DS246" s="32">
        <f t="shared" si="370"/>
        <v>8.8243546242745981E-4</v>
      </c>
      <c r="DT246" s="32" t="e">
        <f t="shared" si="371"/>
        <v>#N/A</v>
      </c>
      <c r="DU246" s="32" t="b">
        <f t="shared" si="372"/>
        <v>0</v>
      </c>
      <c r="DV246" s="32" t="b">
        <f t="shared" si="373"/>
        <v>1</v>
      </c>
      <c r="DW246" s="32" t="b">
        <f t="shared" si="374"/>
        <v>1</v>
      </c>
      <c r="DX246" s="32" t="b">
        <f t="shared" si="375"/>
        <v>0</v>
      </c>
      <c r="DY246" s="32">
        <f t="shared" si="376"/>
        <v>8.8243546242745981E-4</v>
      </c>
      <c r="DZ246" s="32">
        <f t="shared" si="377"/>
        <v>8.8243546242745981E-4</v>
      </c>
      <c r="EA246" s="32" t="e">
        <f t="shared" si="378"/>
        <v>#N/A</v>
      </c>
      <c r="EB246" s="45" t="str">
        <f t="shared" si="379"/>
        <v/>
      </c>
      <c r="EG246" s="32">
        <f t="shared" si="380"/>
        <v>236</v>
      </c>
      <c r="EH246" s="32">
        <f t="shared" si="381"/>
        <v>237</v>
      </c>
      <c r="EI246" s="32">
        <f t="shared" si="382"/>
        <v>2.5632159438756279</v>
      </c>
      <c r="EJ246" s="32">
        <f t="shared" si="383"/>
        <v>1.4936065002642981E-2</v>
      </c>
      <c r="EK246" s="32" t="e">
        <f t="shared" si="384"/>
        <v>#N/A</v>
      </c>
      <c r="EL246" s="32" t="e">
        <f t="shared" si="385"/>
        <v>#N/A</v>
      </c>
      <c r="EM246" s="32" t="e">
        <f t="shared" si="386"/>
        <v>#N/A</v>
      </c>
      <c r="EN246" s="32" t="b">
        <f t="shared" si="387"/>
        <v>0</v>
      </c>
      <c r="EO246" s="32" t="b">
        <f t="shared" si="388"/>
        <v>1</v>
      </c>
      <c r="EP246" s="32" t="b">
        <f t="shared" si="389"/>
        <v>1</v>
      </c>
      <c r="EQ246" s="32" t="b">
        <f t="shared" si="390"/>
        <v>0</v>
      </c>
      <c r="ER246" s="32">
        <f t="shared" si="391"/>
        <v>1.4936065002642981E-2</v>
      </c>
      <c r="ES246" s="32">
        <f t="shared" si="392"/>
        <v>1.4936065002642981E-2</v>
      </c>
      <c r="ET246" s="32" t="e">
        <f t="shared" si="393"/>
        <v>#N/A</v>
      </c>
      <c r="EU246" s="45" t="str">
        <f t="shared" si="394"/>
        <v/>
      </c>
      <c r="EV24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6" s="32" t="e" cm="1">
        <f t="array" ref="EY246">IF($CR$3,INDEX(Eu_tabel_a[[#This Row],[Styrke venstre]:[Styrke tosidet]],EY$7),NA())</f>
        <v>#N/A</v>
      </c>
      <c r="EZ246" s="32" t="e">
        <f>IF(EY$3,IF(CHOOSE(EY$7,Eu_tabel_a[[#This Row],[x base]]&gt;0,Eu_tabel_a[[#This Row],[x base]]&lt;0,Eu_tabel_a[[#This Row],[x base]]=0),1,NA()),NA())</f>
        <v>#N/A</v>
      </c>
      <c r="FA246" s="32" t="e">
        <f>IF(CHOOSE(EY$7,Eu_tabel_a[[#This Row],[x base]]&gt;0,Eu_tabel_a[[#This Row],[x base]]&lt;0,Eu_tabel_a[[#This Row],[x base]]=0),Eu_tabel_a[[#This Row],[Styrke, aktiv]],NA())</f>
        <v>#N/A</v>
      </c>
      <c r="FB246" s="32" t="e">
        <f>IFERROR(IF($EY$3,Eu_tabel_a[[#This Row],[Styrke, aktiv]],NA()),NA())</f>
        <v>#N/A</v>
      </c>
      <c r="FC246" s="32" t="e">
        <f>IF(ISNA(Eu_tabel_a[[#This Row],[Sand negativ
Nulhypotese afvises
Korrekt]]),NA(),IF(EY$3,1,NA()))</f>
        <v>#N/A</v>
      </c>
      <c r="FD246" s="33" t="str" cm="1">
        <f t="array" ref="FD246">IFERROR(_xlfn.SWITCH(Eu_tabel_a[[#This Row],[Indeks]],_xlfn.IFNA(FB$2,-99),FB$5,_xlfn.IFNA(FB$3,-99),FB$6,_xlfn.IFNA(FB$4,-99),FB$7,""),"")</f>
        <v/>
      </c>
      <c r="FE246" s="32">
        <f>Eu_tabel_a[[#This Row],[x base]]*SQRT(Eu_a_h0_x*(1-Eu_a_h0_x)/Eu_a_n_x)+Eu_a_h0_x</f>
        <v>0</v>
      </c>
      <c r="FJ246" s="74" t="e">
        <f t="shared" si="338"/>
        <v>#N/A</v>
      </c>
      <c r="FK246" s="82" t="e">
        <f t="shared" si="426"/>
        <v>#DIV/0!</v>
      </c>
      <c r="FL246" s="7" t="e">
        <f t="shared" si="332"/>
        <v>#DIV/0!</v>
      </c>
      <c r="FM246" t="e">
        <f t="shared" si="427"/>
        <v>#DIV/0!</v>
      </c>
      <c r="FN246" s="8" t="e">
        <f t="shared" si="428"/>
        <v>#DIV/0!</v>
      </c>
      <c r="FO246" s="8" t="e">
        <f t="shared" si="429"/>
        <v>#DIV/0!</v>
      </c>
      <c r="FP246" s="81" t="e">
        <f t="shared" si="430"/>
        <v>#DIV/0!</v>
      </c>
      <c r="FQ246" s="74" t="e">
        <f t="shared" ca="1" si="333"/>
        <v>#N/A</v>
      </c>
      <c r="FR246" s="82" t="e" vm="3">
        <f t="shared" ca="1" si="339"/>
        <v>#VALUE!</v>
      </c>
      <c r="FS246" s="7" t="e" vm="3">
        <f t="shared" ca="1" si="334"/>
        <v>#VALUE!</v>
      </c>
      <c r="FT246" t="e" vm="3">
        <f t="shared" ca="1" si="328"/>
        <v>#VALUE!</v>
      </c>
      <c r="FU246" s="8" t="e" vm="3">
        <f t="shared" ca="1" si="329"/>
        <v>#VALUE!</v>
      </c>
      <c r="FV246" s="8" t="e" vm="3">
        <f t="shared" ca="1" si="330"/>
        <v>#VALUE!</v>
      </c>
      <c r="FW246" s="81" t="e" vm="3">
        <f t="shared" ca="1" si="331"/>
        <v>#VALUE!</v>
      </c>
      <c r="FX246" s="74" t="e">
        <f t="shared" si="335"/>
        <v>#N/A</v>
      </c>
      <c r="FY246" s="82" t="e">
        <f t="shared" si="340"/>
        <v>#N/A</v>
      </c>
      <c r="FZ246" s="7" t="e">
        <f t="shared" si="336"/>
        <v>#N/A</v>
      </c>
      <c r="GA246" t="e">
        <f t="shared" si="341"/>
        <v>#N/A</v>
      </c>
      <c r="GB246" s="8" t="e">
        <f t="shared" si="342"/>
        <v>#N/A</v>
      </c>
      <c r="GC246" s="8" t="e">
        <f t="shared" si="343"/>
        <v>#N/A</v>
      </c>
      <c r="GD246" s="81" t="e">
        <f t="shared" si="344"/>
        <v>#N/A</v>
      </c>
      <c r="GE246" s="74" t="e">
        <f t="shared" si="345"/>
        <v>#N/A</v>
      </c>
      <c r="GF246" s="82" t="e">
        <f t="shared" si="346"/>
        <v>#N/A</v>
      </c>
      <c r="GG246" s="7" t="e">
        <f t="shared" si="337"/>
        <v>#N/A</v>
      </c>
      <c r="GH246" t="e">
        <f t="shared" si="347"/>
        <v>#N/A</v>
      </c>
      <c r="GI246" s="8" t="e">
        <f t="shared" si="348"/>
        <v>#N/A</v>
      </c>
      <c r="GJ246" s="8" t="e">
        <f t="shared" si="349"/>
        <v>#N/A</v>
      </c>
      <c r="GK246" s="81" t="e">
        <f t="shared" si="350"/>
        <v>#N/A</v>
      </c>
      <c r="GL246" s="81"/>
      <c r="GM246" s="81"/>
      <c r="GP246" s="32">
        <f t="shared" si="395"/>
        <v>236</v>
      </c>
      <c r="GQ246" s="32">
        <f t="shared" si="396"/>
        <v>237</v>
      </c>
      <c r="GR246" s="32">
        <f t="shared" si="397"/>
        <v>2.5632159438756279</v>
      </c>
      <c r="GS246" s="32">
        <f t="shared" si="398"/>
        <v>1.4936065002642981E-2</v>
      </c>
      <c r="GT246" s="32" t="e">
        <f t="shared" si="399"/>
        <v>#N/A</v>
      </c>
      <c r="GU246" s="32" t="e">
        <f t="shared" si="400"/>
        <v>#N/A</v>
      </c>
      <c r="GV246" s="32" t="e">
        <f t="shared" si="401"/>
        <v>#N/A</v>
      </c>
      <c r="GW246" s="32" t="b">
        <f t="shared" si="402"/>
        <v>0</v>
      </c>
      <c r="GX246" s="32" t="b">
        <f t="shared" si="403"/>
        <v>1</v>
      </c>
      <c r="GY246" s="32" t="b">
        <f t="shared" si="404"/>
        <v>1</v>
      </c>
      <c r="GZ246" s="32" t="b">
        <f t="shared" si="405"/>
        <v>0</v>
      </c>
      <c r="HA246" s="32">
        <f t="shared" si="406"/>
        <v>1.4936065002642981E-2</v>
      </c>
      <c r="HB246" s="32">
        <f t="shared" si="407"/>
        <v>1.4936065002642981E-2</v>
      </c>
      <c r="HC246" s="32" t="e">
        <f t="shared" si="408"/>
        <v>#N/A</v>
      </c>
      <c r="HD246" s="45" t="str">
        <f t="shared" si="409"/>
        <v/>
      </c>
      <c r="HJ246" s="32">
        <f t="shared" si="410"/>
        <v>236</v>
      </c>
      <c r="HK246" s="32">
        <f t="shared" si="411"/>
        <v>237</v>
      </c>
      <c r="HL246" s="32">
        <f t="shared" si="412"/>
        <v>3.9691937229790835</v>
      </c>
      <c r="HM246" s="32" t="e">
        <f t="shared" si="413"/>
        <v>#N/A</v>
      </c>
      <c r="HN246" s="32">
        <f t="shared" si="414"/>
        <v>3.4480547160141203E-3</v>
      </c>
      <c r="HO246" s="32" t="e">
        <f t="shared" si="415"/>
        <v>#N/A</v>
      </c>
      <c r="HP246" s="32" t="e">
        <f t="shared" si="416"/>
        <v>#N/A</v>
      </c>
      <c r="HQ246" s="32" t="b">
        <f t="shared" si="417"/>
        <v>0</v>
      </c>
      <c r="HR246" s="32" t="b">
        <f t="shared" si="418"/>
        <v>1</v>
      </c>
      <c r="HS246" s="32" t="b">
        <f t="shared" si="419"/>
        <v>1</v>
      </c>
      <c r="HT246" s="32" t="b">
        <f t="shared" si="420"/>
        <v>0</v>
      </c>
      <c r="HU246" s="32">
        <f t="shared" si="421"/>
        <v>3.4480547160141203E-3</v>
      </c>
      <c r="HV246" s="32" t="e">
        <f t="shared" si="422"/>
        <v>#N/A</v>
      </c>
      <c r="HW246" s="32">
        <f t="shared" si="423"/>
        <v>3.4480547160141203E-3</v>
      </c>
      <c r="HX246" s="45" t="str">
        <f t="shared" si="424"/>
        <v/>
      </c>
    </row>
    <row r="247" spans="78:232" x14ac:dyDescent="0.2">
      <c r="BZ247" s="32">
        <f t="shared" si="351"/>
        <v>237</v>
      </c>
      <c r="CA247" s="32">
        <f>Eu_tabel_g[[#This Row],[Indeks]]+1</f>
        <v>238</v>
      </c>
      <c r="CB247" s="32">
        <f t="shared" si="352"/>
        <v>2.5871712330707268</v>
      </c>
      <c r="CC247" s="32">
        <f t="shared" si="353"/>
        <v>1.4042511314589706E-2</v>
      </c>
      <c r="CD247" s="32" t="e">
        <f t="shared" si="354"/>
        <v>#N/A</v>
      </c>
      <c r="CE247" s="32" t="e">
        <f t="shared" si="355"/>
        <v>#N/A</v>
      </c>
      <c r="CF247" s="32" t="e">
        <f t="shared" si="356"/>
        <v>#N/A</v>
      </c>
      <c r="CG247" s="32" t="b">
        <f t="shared" si="357"/>
        <v>0</v>
      </c>
      <c r="CH247" s="32" t="b">
        <f t="shared" si="358"/>
        <v>1</v>
      </c>
      <c r="CI247" s="32" t="b">
        <f t="shared" si="359"/>
        <v>1</v>
      </c>
      <c r="CJ247" s="32" t="b">
        <f t="shared" si="360"/>
        <v>0</v>
      </c>
      <c r="CK247" s="32">
        <f t="shared" si="425"/>
        <v>1.4042511314589706E-2</v>
      </c>
      <c r="CL247" s="32">
        <f t="shared" si="361"/>
        <v>1.4042511314589706E-2</v>
      </c>
      <c r="CM247" s="32" t="e">
        <f t="shared" si="362"/>
        <v>#N/A</v>
      </c>
      <c r="CN247" s="45" t="str">
        <f t="shared" si="363"/>
        <v/>
      </c>
      <c r="CO247" s="32">
        <f>_xlfn.NORM.DIST(_xlfn.NORM.INV(1-Eu_g_konfidensniveau,0,1)-Eu_tabel_g[[#This Row],[x base]],0,1,TRUE)</f>
        <v>1.1579840120598073E-5</v>
      </c>
      <c r="CP247" s="32">
        <f>1-_xlfn.NORM.DIST(_xlfn.NORM.INV(Eu_g_konfidensniveau,0,1)-Eu_tabel_g[[#This Row],[x base]],0,1,TRUE)</f>
        <v>0.82698497157704665</v>
      </c>
      <c r="CQ247" s="32">
        <f>_xlfn.NORM.DIST(_xlfn.NORM.INV((1-Eu_g_konfidensniveau)/2,0,1)-Eu_tabel_g[[#This Row],[x base]],0,1,TRUE)+1-_xlfn.NORM.DIST(_xlfn.NORM.INV(1-(1-Eu_g_konfidensniveau)/2,0,1)-Eu_tabel_g[[#This Row],[x base]],0,1,TRUE)</f>
        <v>0.73474102284264009</v>
      </c>
      <c r="CR247" s="32" t="e" cm="1">
        <f t="array" ref="CR247">IF($CR$3,INDEX(Eu_tabel_g[[#This Row],[Styrke venstre]:[Styrke tosidet]],CR$7),NA())</f>
        <v>#N/A</v>
      </c>
      <c r="CS247" s="52" t="e">
        <f>Eu_tabel_g[[#This Row],[Falsk positiv
Nulhypotese accepteres
Fejltype 1]]</f>
        <v>#N/A</v>
      </c>
      <c r="CT247" s="52" t="e">
        <f>IF(CHOOSE(CR$7,Eu_tabel_g[[#This Row],[x base]]&gt;0,Eu_tabel_g[[#This Row],[x base]]&lt;0,Eu_tabel_g[[#This Row],[x base]]=0),Eu_tabel_g[[#This Row],[Styrke, aktiv]],NA())</f>
        <v>#N/A</v>
      </c>
      <c r="CU247" s="52" t="e">
        <f>IFERROR(IF($CR$3,Eu_tabel_g[[#This Row],[Styrke, aktiv]],NA()),NA())</f>
        <v>#N/A</v>
      </c>
      <c r="CV247" s="52" t="e">
        <f>IF(ISNA(Eu_tabel_g[[#This Row],[Sand negativ
Nulhypotese afvises
Korrekt]]),NA(),IF($CR$3,1,NA()))</f>
        <v>#N/A</v>
      </c>
      <c r="CW247" s="34" t="str" cm="1">
        <f t="array" ref="CW247">_xlfn.SWITCH(BZ247,_xlfn.IFNA(CU$2,-99),CU$5,_xlfn.IFNA(CU$3,-99),CU$6,_xlfn.IFNA(CU$4,-99),CU$7,"")</f>
        <v/>
      </c>
      <c r="DA247" s="7">
        <f t="shared" si="364"/>
        <v>0.8</v>
      </c>
      <c r="DB247">
        <f>IF(ROW(Styrkeberegning_G[[#This Row],[X base venstre]])=ROW(Styrkeberegning_G[[#Headers],[X base venstre]])+1,DB$7/(DA$7/$B$67),DB246/(DA246/$B$67))</f>
        <v>-2.8015817870135784</v>
      </c>
      <c r="DC247">
        <f>Styrkeberegning_G[[#This Row],[X base venstre]]*-1</f>
        <v>2.8015817870135784</v>
      </c>
      <c r="DN247" s="32">
        <f t="shared" si="365"/>
        <v>237</v>
      </c>
      <c r="DO247" s="32">
        <f t="shared" si="366"/>
        <v>238</v>
      </c>
      <c r="DP247" s="32">
        <f t="shared" si="367"/>
        <v>28.868645635482928</v>
      </c>
      <c r="DQ247" s="32" t="e">
        <f t="shared" si="368"/>
        <v>#N/A</v>
      </c>
      <c r="DR247" s="32" t="e">
        <f t="shared" si="369"/>
        <v>#N/A</v>
      </c>
      <c r="DS247" s="32">
        <f t="shared" si="370"/>
        <v>8.4849707699458045E-4</v>
      </c>
      <c r="DT247" s="32" t="e">
        <f t="shared" si="371"/>
        <v>#N/A</v>
      </c>
      <c r="DU247" s="32" t="b">
        <f t="shared" si="372"/>
        <v>0</v>
      </c>
      <c r="DV247" s="32" t="b">
        <f t="shared" si="373"/>
        <v>1</v>
      </c>
      <c r="DW247" s="32" t="b">
        <f t="shared" si="374"/>
        <v>1</v>
      </c>
      <c r="DX247" s="32" t="b">
        <f t="shared" si="375"/>
        <v>0</v>
      </c>
      <c r="DY247" s="32">
        <f t="shared" si="376"/>
        <v>8.4849707699458045E-4</v>
      </c>
      <c r="DZ247" s="32">
        <f t="shared" si="377"/>
        <v>8.4849707699458045E-4</v>
      </c>
      <c r="EA247" s="32" t="e">
        <f t="shared" si="378"/>
        <v>#N/A</v>
      </c>
      <c r="EB247" s="45" t="str">
        <f t="shared" si="379"/>
        <v/>
      </c>
      <c r="EG247" s="32">
        <f t="shared" si="380"/>
        <v>237</v>
      </c>
      <c r="EH247" s="32">
        <f t="shared" si="381"/>
        <v>238</v>
      </c>
      <c r="EI247" s="32">
        <f t="shared" si="382"/>
        <v>2.5871712330707268</v>
      </c>
      <c r="EJ247" s="32">
        <f t="shared" si="383"/>
        <v>1.4042511314589706E-2</v>
      </c>
      <c r="EK247" s="32" t="e">
        <f t="shared" si="384"/>
        <v>#N/A</v>
      </c>
      <c r="EL247" s="32" t="e">
        <f t="shared" si="385"/>
        <v>#N/A</v>
      </c>
      <c r="EM247" s="32" t="e">
        <f t="shared" si="386"/>
        <v>#N/A</v>
      </c>
      <c r="EN247" s="32" t="b">
        <f t="shared" si="387"/>
        <v>0</v>
      </c>
      <c r="EO247" s="32" t="b">
        <f t="shared" si="388"/>
        <v>1</v>
      </c>
      <c r="EP247" s="32" t="b">
        <f t="shared" si="389"/>
        <v>1</v>
      </c>
      <c r="EQ247" s="32" t="b">
        <f t="shared" si="390"/>
        <v>0</v>
      </c>
      <c r="ER247" s="32">
        <f t="shared" si="391"/>
        <v>1.4042511314589706E-2</v>
      </c>
      <c r="ES247" s="32">
        <f t="shared" si="392"/>
        <v>1.4042511314589706E-2</v>
      </c>
      <c r="ET247" s="32" t="e">
        <f t="shared" si="393"/>
        <v>#N/A</v>
      </c>
      <c r="EU247" s="45" t="str">
        <f t="shared" si="394"/>
        <v/>
      </c>
      <c r="EV24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7" s="32" t="e" cm="1">
        <f t="array" ref="EY247">IF($CR$3,INDEX(Eu_tabel_a[[#This Row],[Styrke venstre]:[Styrke tosidet]],EY$7),NA())</f>
        <v>#N/A</v>
      </c>
      <c r="EZ247" s="32" t="e">
        <f>IF(EY$3,IF(CHOOSE(EY$7,Eu_tabel_a[[#This Row],[x base]]&gt;0,Eu_tabel_a[[#This Row],[x base]]&lt;0,Eu_tabel_a[[#This Row],[x base]]=0),1,NA()),NA())</f>
        <v>#N/A</v>
      </c>
      <c r="FA247" s="32" t="e">
        <f>IF(CHOOSE(EY$7,Eu_tabel_a[[#This Row],[x base]]&gt;0,Eu_tabel_a[[#This Row],[x base]]&lt;0,Eu_tabel_a[[#This Row],[x base]]=0),Eu_tabel_a[[#This Row],[Styrke, aktiv]],NA())</f>
        <v>#N/A</v>
      </c>
      <c r="FB247" s="32" t="e">
        <f>IFERROR(IF($EY$3,Eu_tabel_a[[#This Row],[Styrke, aktiv]],NA()),NA())</f>
        <v>#N/A</v>
      </c>
      <c r="FC247" s="32" t="e">
        <f>IF(ISNA(Eu_tabel_a[[#This Row],[Sand negativ
Nulhypotese afvises
Korrekt]]),NA(),IF(EY$3,1,NA()))</f>
        <v>#N/A</v>
      </c>
      <c r="FD247" s="33" t="str" cm="1">
        <f t="array" ref="FD247">IFERROR(_xlfn.SWITCH(Eu_tabel_a[[#This Row],[Indeks]],_xlfn.IFNA(FB$2,-99),FB$5,_xlfn.IFNA(FB$3,-99),FB$6,_xlfn.IFNA(FB$4,-99),FB$7,""),"")</f>
        <v/>
      </c>
      <c r="FE247" s="32">
        <f>Eu_tabel_a[[#This Row],[x base]]*SQRT(Eu_a_h0_x*(1-Eu_a_h0_x)/Eu_a_n_x)+Eu_a_h0_x</f>
        <v>0</v>
      </c>
      <c r="FJ247" s="74" t="e">
        <f t="shared" si="338"/>
        <v>#N/A</v>
      </c>
      <c r="FK247" s="82" t="e">
        <f t="shared" si="426"/>
        <v>#DIV/0!</v>
      </c>
      <c r="FL247" s="7" t="e">
        <f t="shared" si="332"/>
        <v>#DIV/0!</v>
      </c>
      <c r="FM247" t="e">
        <f t="shared" si="427"/>
        <v>#DIV/0!</v>
      </c>
      <c r="FN247" s="8" t="e">
        <f t="shared" si="428"/>
        <v>#DIV/0!</v>
      </c>
      <c r="FO247" s="8" t="e">
        <f t="shared" si="429"/>
        <v>#DIV/0!</v>
      </c>
      <c r="FP247" s="81" t="e">
        <f t="shared" si="430"/>
        <v>#DIV/0!</v>
      </c>
      <c r="FQ247" s="74" t="e">
        <f t="shared" ca="1" si="333"/>
        <v>#N/A</v>
      </c>
      <c r="FR247" s="82" t="e" vm="3">
        <f t="shared" ca="1" si="339"/>
        <v>#VALUE!</v>
      </c>
      <c r="FS247" s="7" t="e" vm="3">
        <f t="shared" ca="1" si="334"/>
        <v>#VALUE!</v>
      </c>
      <c r="FT247" t="e" vm="3">
        <f t="shared" ca="1" si="328"/>
        <v>#VALUE!</v>
      </c>
      <c r="FU247" s="8" t="e" vm="3">
        <f t="shared" ca="1" si="329"/>
        <v>#VALUE!</v>
      </c>
      <c r="FV247" s="8" t="e" vm="3">
        <f t="shared" ca="1" si="330"/>
        <v>#VALUE!</v>
      </c>
      <c r="FW247" s="81" t="e" vm="3">
        <f t="shared" ca="1" si="331"/>
        <v>#VALUE!</v>
      </c>
      <c r="FX247" s="74" t="e">
        <f t="shared" si="335"/>
        <v>#N/A</v>
      </c>
      <c r="FY247" s="82" t="e">
        <f t="shared" si="340"/>
        <v>#N/A</v>
      </c>
      <c r="FZ247" s="7" t="e">
        <f t="shared" si="336"/>
        <v>#N/A</v>
      </c>
      <c r="GA247" t="e">
        <f t="shared" si="341"/>
        <v>#N/A</v>
      </c>
      <c r="GB247" s="8" t="e">
        <f t="shared" si="342"/>
        <v>#N/A</v>
      </c>
      <c r="GC247" s="8" t="e">
        <f t="shared" si="343"/>
        <v>#N/A</v>
      </c>
      <c r="GD247" s="81" t="e">
        <f t="shared" si="344"/>
        <v>#N/A</v>
      </c>
      <c r="GE247" s="74" t="e">
        <f t="shared" si="345"/>
        <v>#N/A</v>
      </c>
      <c r="GF247" s="82" t="e">
        <f t="shared" si="346"/>
        <v>#N/A</v>
      </c>
      <c r="GG247" s="7" t="e">
        <f t="shared" si="337"/>
        <v>#N/A</v>
      </c>
      <c r="GH247" t="e">
        <f t="shared" si="347"/>
        <v>#N/A</v>
      </c>
      <c r="GI247" s="8" t="e">
        <f t="shared" si="348"/>
        <v>#N/A</v>
      </c>
      <c r="GJ247" s="8" t="e">
        <f t="shared" si="349"/>
        <v>#N/A</v>
      </c>
      <c r="GK247" s="81" t="e">
        <f t="shared" si="350"/>
        <v>#N/A</v>
      </c>
      <c r="GL247" s="81"/>
      <c r="GM247" s="81"/>
      <c r="GP247" s="32">
        <f t="shared" si="395"/>
        <v>237</v>
      </c>
      <c r="GQ247" s="32">
        <f t="shared" si="396"/>
        <v>238</v>
      </c>
      <c r="GR247" s="32">
        <f t="shared" si="397"/>
        <v>2.5871712330707268</v>
      </c>
      <c r="GS247" s="32">
        <f t="shared" si="398"/>
        <v>1.4042511314589706E-2</v>
      </c>
      <c r="GT247" s="32" t="e">
        <f t="shared" si="399"/>
        <v>#N/A</v>
      </c>
      <c r="GU247" s="32" t="e">
        <f t="shared" si="400"/>
        <v>#N/A</v>
      </c>
      <c r="GV247" s="32" t="e">
        <f t="shared" si="401"/>
        <v>#N/A</v>
      </c>
      <c r="GW247" s="32" t="b">
        <f t="shared" si="402"/>
        <v>0</v>
      </c>
      <c r="GX247" s="32" t="b">
        <f t="shared" si="403"/>
        <v>1</v>
      </c>
      <c r="GY247" s="32" t="b">
        <f t="shared" si="404"/>
        <v>1</v>
      </c>
      <c r="GZ247" s="32" t="b">
        <f t="shared" si="405"/>
        <v>0</v>
      </c>
      <c r="HA247" s="32">
        <f t="shared" si="406"/>
        <v>1.4042511314589706E-2</v>
      </c>
      <c r="HB247" s="32">
        <f t="shared" si="407"/>
        <v>1.4042511314589706E-2</v>
      </c>
      <c r="HC247" s="32" t="e">
        <f t="shared" si="408"/>
        <v>#N/A</v>
      </c>
      <c r="HD247" s="45" t="str">
        <f t="shared" si="409"/>
        <v/>
      </c>
      <c r="HJ247" s="32">
        <f t="shared" si="410"/>
        <v>237</v>
      </c>
      <c r="HK247" s="32">
        <f t="shared" si="411"/>
        <v>238</v>
      </c>
      <c r="HL247" s="32">
        <f t="shared" si="412"/>
        <v>4.0062889914181401</v>
      </c>
      <c r="HM247" s="32" t="e">
        <f t="shared" si="413"/>
        <v>#N/A</v>
      </c>
      <c r="HN247" s="32">
        <f t="shared" si="414"/>
        <v>3.2744098438161427E-3</v>
      </c>
      <c r="HO247" s="32" t="e">
        <f t="shared" si="415"/>
        <v>#N/A</v>
      </c>
      <c r="HP247" s="32" t="e">
        <f t="shared" si="416"/>
        <v>#N/A</v>
      </c>
      <c r="HQ247" s="32" t="b">
        <f t="shared" si="417"/>
        <v>0</v>
      </c>
      <c r="HR247" s="32" t="b">
        <f t="shared" si="418"/>
        <v>1</v>
      </c>
      <c r="HS247" s="32" t="b">
        <f t="shared" si="419"/>
        <v>1</v>
      </c>
      <c r="HT247" s="32" t="b">
        <f t="shared" si="420"/>
        <v>0</v>
      </c>
      <c r="HU247" s="32">
        <f t="shared" si="421"/>
        <v>3.2744098438161427E-3</v>
      </c>
      <c r="HV247" s="32" t="e">
        <f t="shared" si="422"/>
        <v>#N/A</v>
      </c>
      <c r="HW247" s="32">
        <f t="shared" si="423"/>
        <v>3.2744098438161427E-3</v>
      </c>
      <c r="HX247" s="45" t="str">
        <f t="shared" si="424"/>
        <v/>
      </c>
    </row>
    <row r="248" spans="78:232" x14ac:dyDescent="0.2">
      <c r="BZ248" s="32">
        <f t="shared" si="351"/>
        <v>238</v>
      </c>
      <c r="CA248" s="32">
        <f>Eu_tabel_g[[#This Row],[Indeks]]+1</f>
        <v>239</v>
      </c>
      <c r="CB248" s="32">
        <f t="shared" si="352"/>
        <v>2.6111265222658266</v>
      </c>
      <c r="CC248" s="32">
        <f t="shared" si="353"/>
        <v>1.319484058137666E-2</v>
      </c>
      <c r="CD248" s="32" t="e">
        <f t="shared" si="354"/>
        <v>#N/A</v>
      </c>
      <c r="CE248" s="32" t="e">
        <f t="shared" si="355"/>
        <v>#N/A</v>
      </c>
      <c r="CF248" s="32" t="e">
        <f t="shared" si="356"/>
        <v>#N/A</v>
      </c>
      <c r="CG248" s="32" t="b">
        <f t="shared" si="357"/>
        <v>0</v>
      </c>
      <c r="CH248" s="32" t="b">
        <f t="shared" si="358"/>
        <v>1</v>
      </c>
      <c r="CI248" s="32" t="b">
        <f t="shared" si="359"/>
        <v>1</v>
      </c>
      <c r="CJ248" s="32" t="b">
        <f t="shared" si="360"/>
        <v>0</v>
      </c>
      <c r="CK248" s="32">
        <f t="shared" si="425"/>
        <v>1.319484058137666E-2</v>
      </c>
      <c r="CL248" s="32">
        <f t="shared" si="361"/>
        <v>1.319484058137666E-2</v>
      </c>
      <c r="CM248" s="32" t="e">
        <f t="shared" si="362"/>
        <v>#N/A</v>
      </c>
      <c r="CN248" s="45" t="str">
        <f t="shared" si="363"/>
        <v/>
      </c>
      <c r="CO248" s="32">
        <f>_xlfn.NORM.DIST(_xlfn.NORM.INV(1-Eu_g_konfidensniveau,0,1)-Eu_tabel_g[[#This Row],[x base]],0,1,TRUE)</f>
        <v>1.0406758709596886E-5</v>
      </c>
      <c r="CP248" s="32">
        <f>1-_xlfn.NORM.DIST(_xlfn.NORM.INV(Eu_g_konfidensniveau,0,1)-Eu_tabel_g[[#This Row],[x base]],0,1,TRUE)</f>
        <v>0.83304617739848219</v>
      </c>
      <c r="CQ248" s="32">
        <f>_xlfn.NORM.DIST(_xlfn.NORM.INV((1-Eu_g_konfidensniveau)/2,0,1)-Eu_tabel_g[[#This Row],[x base]],0,1,TRUE)+1-_xlfn.NORM.DIST(_xlfn.NORM.INV(1-(1-Eu_g_konfidensniveau)/2,0,1)-Eu_tabel_g[[#This Row],[x base]],0,1,TRUE)</f>
        <v>0.74253164080016687</v>
      </c>
      <c r="CR248" s="32" t="e" cm="1">
        <f t="array" ref="CR248">IF($CR$3,INDEX(Eu_tabel_g[[#This Row],[Styrke venstre]:[Styrke tosidet]],CR$7),NA())</f>
        <v>#N/A</v>
      </c>
      <c r="CS248" s="52" t="e">
        <f>Eu_tabel_g[[#This Row],[Falsk positiv
Nulhypotese accepteres
Fejltype 1]]</f>
        <v>#N/A</v>
      </c>
      <c r="CT248" s="52" t="e">
        <f>IF(CHOOSE(CR$7,Eu_tabel_g[[#This Row],[x base]]&gt;0,Eu_tabel_g[[#This Row],[x base]]&lt;0,Eu_tabel_g[[#This Row],[x base]]=0),Eu_tabel_g[[#This Row],[Styrke, aktiv]],NA())</f>
        <v>#N/A</v>
      </c>
      <c r="CU248" s="52" t="e">
        <f>IFERROR(IF($CR$3,Eu_tabel_g[[#This Row],[Styrke, aktiv]],NA()),NA())</f>
        <v>#N/A</v>
      </c>
      <c r="CV248" s="52" t="e">
        <f>IF(ISNA(Eu_tabel_g[[#This Row],[Sand negativ
Nulhypotese afvises
Korrekt]]),NA(),IF($CR$3,1,NA()))</f>
        <v>#N/A</v>
      </c>
      <c r="CW248" s="34" t="str" cm="1">
        <f t="array" ref="CW248">_xlfn.SWITCH(BZ248,_xlfn.IFNA(CU$2,-99),CU$5,_xlfn.IFNA(CU$3,-99),CU$6,_xlfn.IFNA(CU$4,-99),CU$7,"")</f>
        <v/>
      </c>
      <c r="DA248" s="7">
        <f t="shared" si="364"/>
        <v>0.8</v>
      </c>
      <c r="DB248">
        <f>IF(ROW(Styrkeberegning_G[[#This Row],[X base venstre]])=ROW(Styrkeberegning_G[[#Headers],[X base venstre]])+1,DB$7/(DA$7/$B$67),DB247/(DA247/$B$67))</f>
        <v>-2.8015817870135784</v>
      </c>
      <c r="DC248">
        <f>Styrkeberegning_G[[#This Row],[X base venstre]]*-1</f>
        <v>2.8015817870135784</v>
      </c>
      <c r="DN248" s="32">
        <f t="shared" si="365"/>
        <v>238</v>
      </c>
      <c r="DO248" s="32">
        <f t="shared" si="366"/>
        <v>239</v>
      </c>
      <c r="DP248" s="32">
        <f t="shared" si="367"/>
        <v>28.982716491899929</v>
      </c>
      <c r="DQ248" s="32" t="e">
        <f t="shared" si="368"/>
        <v>#N/A</v>
      </c>
      <c r="DR248" s="32" t="e">
        <f t="shared" si="369"/>
        <v>#N/A</v>
      </c>
      <c r="DS248" s="32">
        <f t="shared" si="370"/>
        <v>8.1580663753299219E-4</v>
      </c>
      <c r="DT248" s="32" t="e">
        <f t="shared" si="371"/>
        <v>#N/A</v>
      </c>
      <c r="DU248" s="32" t="b">
        <f t="shared" si="372"/>
        <v>0</v>
      </c>
      <c r="DV248" s="32" t="b">
        <f t="shared" si="373"/>
        <v>1</v>
      </c>
      <c r="DW248" s="32" t="b">
        <f t="shared" si="374"/>
        <v>1</v>
      </c>
      <c r="DX248" s="32" t="b">
        <f t="shared" si="375"/>
        <v>0</v>
      </c>
      <c r="DY248" s="32">
        <f t="shared" si="376"/>
        <v>8.1580663753299219E-4</v>
      </c>
      <c r="DZ248" s="32">
        <f t="shared" si="377"/>
        <v>8.1580663753299219E-4</v>
      </c>
      <c r="EA248" s="32" t="e">
        <f t="shared" si="378"/>
        <v>#N/A</v>
      </c>
      <c r="EB248" s="45" t="str">
        <f t="shared" si="379"/>
        <v/>
      </c>
      <c r="EG248" s="32">
        <f t="shared" si="380"/>
        <v>238</v>
      </c>
      <c r="EH248" s="32">
        <f t="shared" si="381"/>
        <v>239</v>
      </c>
      <c r="EI248" s="32">
        <f t="shared" si="382"/>
        <v>2.6111265222658266</v>
      </c>
      <c r="EJ248" s="32">
        <f t="shared" si="383"/>
        <v>1.319484058137666E-2</v>
      </c>
      <c r="EK248" s="32" t="e">
        <f t="shared" si="384"/>
        <v>#N/A</v>
      </c>
      <c r="EL248" s="32" t="e">
        <f t="shared" si="385"/>
        <v>#N/A</v>
      </c>
      <c r="EM248" s="32" t="e">
        <f t="shared" si="386"/>
        <v>#N/A</v>
      </c>
      <c r="EN248" s="32" t="b">
        <f t="shared" si="387"/>
        <v>0</v>
      </c>
      <c r="EO248" s="32" t="b">
        <f t="shared" si="388"/>
        <v>1</v>
      </c>
      <c r="EP248" s="32" t="b">
        <f t="shared" si="389"/>
        <v>1</v>
      </c>
      <c r="EQ248" s="32" t="b">
        <f t="shared" si="390"/>
        <v>0</v>
      </c>
      <c r="ER248" s="32">
        <f t="shared" si="391"/>
        <v>1.319484058137666E-2</v>
      </c>
      <c r="ES248" s="32">
        <f t="shared" si="392"/>
        <v>1.319484058137666E-2</v>
      </c>
      <c r="ET248" s="32" t="e">
        <f t="shared" si="393"/>
        <v>#N/A</v>
      </c>
      <c r="EU248" s="45" t="str">
        <f t="shared" si="394"/>
        <v/>
      </c>
      <c r="EV24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8" s="32" t="e" cm="1">
        <f t="array" ref="EY248">IF($CR$3,INDEX(Eu_tabel_a[[#This Row],[Styrke venstre]:[Styrke tosidet]],EY$7),NA())</f>
        <v>#N/A</v>
      </c>
      <c r="EZ248" s="32" t="e">
        <f>IF(EY$3,IF(CHOOSE(EY$7,Eu_tabel_a[[#This Row],[x base]]&gt;0,Eu_tabel_a[[#This Row],[x base]]&lt;0,Eu_tabel_a[[#This Row],[x base]]=0),1,NA()),NA())</f>
        <v>#N/A</v>
      </c>
      <c r="FA248" s="32" t="e">
        <f>IF(CHOOSE(EY$7,Eu_tabel_a[[#This Row],[x base]]&gt;0,Eu_tabel_a[[#This Row],[x base]]&lt;0,Eu_tabel_a[[#This Row],[x base]]=0),Eu_tabel_a[[#This Row],[Styrke, aktiv]],NA())</f>
        <v>#N/A</v>
      </c>
      <c r="FB248" s="32" t="e">
        <f>IFERROR(IF($EY$3,Eu_tabel_a[[#This Row],[Styrke, aktiv]],NA()),NA())</f>
        <v>#N/A</v>
      </c>
      <c r="FC248" s="32" t="e">
        <f>IF(ISNA(Eu_tabel_a[[#This Row],[Sand negativ
Nulhypotese afvises
Korrekt]]),NA(),IF(EY$3,1,NA()))</f>
        <v>#N/A</v>
      </c>
      <c r="FD248" s="33" t="str" cm="1">
        <f t="array" ref="FD248">IFERROR(_xlfn.SWITCH(Eu_tabel_a[[#This Row],[Indeks]],_xlfn.IFNA(FB$2,-99),FB$5,_xlfn.IFNA(FB$3,-99),FB$6,_xlfn.IFNA(FB$4,-99),FB$7,""),"")</f>
        <v/>
      </c>
      <c r="FE248" s="32">
        <f>Eu_tabel_a[[#This Row],[x base]]*SQRT(Eu_a_h0_x*(1-Eu_a_h0_x)/Eu_a_n_x)+Eu_a_h0_x</f>
        <v>0</v>
      </c>
      <c r="FJ248" s="74" t="e">
        <f t="shared" si="338"/>
        <v>#N/A</v>
      </c>
      <c r="FK248" s="82" t="e">
        <f t="shared" si="426"/>
        <v>#DIV/0!</v>
      </c>
      <c r="FL248" s="7" t="e">
        <f t="shared" si="332"/>
        <v>#DIV/0!</v>
      </c>
      <c r="FM248" t="e">
        <f t="shared" si="427"/>
        <v>#DIV/0!</v>
      </c>
      <c r="FN248" s="8" t="e">
        <f t="shared" si="428"/>
        <v>#DIV/0!</v>
      </c>
      <c r="FO248" s="8" t="e">
        <f t="shared" si="429"/>
        <v>#DIV/0!</v>
      </c>
      <c r="FP248" s="81" t="e">
        <f t="shared" si="430"/>
        <v>#DIV/0!</v>
      </c>
      <c r="FQ248" s="74" t="e">
        <f t="shared" ca="1" si="333"/>
        <v>#N/A</v>
      </c>
      <c r="FR248" s="82" t="e" vm="3">
        <f t="shared" ca="1" si="339"/>
        <v>#VALUE!</v>
      </c>
      <c r="FS248" s="7" t="e" vm="3">
        <f t="shared" ca="1" si="334"/>
        <v>#VALUE!</v>
      </c>
      <c r="FT248" t="e" vm="3">
        <f t="shared" ca="1" si="328"/>
        <v>#VALUE!</v>
      </c>
      <c r="FU248" s="8" t="e" vm="3">
        <f t="shared" ca="1" si="329"/>
        <v>#VALUE!</v>
      </c>
      <c r="FV248" s="8" t="e" vm="3">
        <f t="shared" ca="1" si="330"/>
        <v>#VALUE!</v>
      </c>
      <c r="FW248" s="81" t="e" vm="3">
        <f t="shared" ca="1" si="331"/>
        <v>#VALUE!</v>
      </c>
      <c r="FX248" s="74" t="e">
        <f t="shared" si="335"/>
        <v>#N/A</v>
      </c>
      <c r="FY248" s="82" t="e">
        <f t="shared" si="340"/>
        <v>#N/A</v>
      </c>
      <c r="FZ248" s="7" t="e">
        <f t="shared" si="336"/>
        <v>#N/A</v>
      </c>
      <c r="GA248" t="e">
        <f t="shared" si="341"/>
        <v>#N/A</v>
      </c>
      <c r="GB248" s="8" t="e">
        <f t="shared" si="342"/>
        <v>#N/A</v>
      </c>
      <c r="GC248" s="8" t="e">
        <f t="shared" si="343"/>
        <v>#N/A</v>
      </c>
      <c r="GD248" s="81" t="e">
        <f t="shared" si="344"/>
        <v>#N/A</v>
      </c>
      <c r="GE248" s="74" t="e">
        <f t="shared" si="345"/>
        <v>#N/A</v>
      </c>
      <c r="GF248" s="82" t="e">
        <f t="shared" si="346"/>
        <v>#N/A</v>
      </c>
      <c r="GG248" s="7" t="e">
        <f t="shared" si="337"/>
        <v>#N/A</v>
      </c>
      <c r="GH248" t="e">
        <f t="shared" si="347"/>
        <v>#N/A</v>
      </c>
      <c r="GI248" s="8" t="e">
        <f t="shared" si="348"/>
        <v>#N/A</v>
      </c>
      <c r="GJ248" s="8" t="e">
        <f t="shared" si="349"/>
        <v>#N/A</v>
      </c>
      <c r="GK248" s="81" t="e">
        <f t="shared" si="350"/>
        <v>#N/A</v>
      </c>
      <c r="GL248" s="81"/>
      <c r="GM248" s="81"/>
      <c r="GP248" s="32">
        <f t="shared" si="395"/>
        <v>238</v>
      </c>
      <c r="GQ248" s="32">
        <f t="shared" si="396"/>
        <v>239</v>
      </c>
      <c r="GR248" s="32">
        <f t="shared" si="397"/>
        <v>2.6111265222658266</v>
      </c>
      <c r="GS248" s="32">
        <f t="shared" si="398"/>
        <v>1.319484058137666E-2</v>
      </c>
      <c r="GT248" s="32" t="e">
        <f t="shared" si="399"/>
        <v>#N/A</v>
      </c>
      <c r="GU248" s="32" t="e">
        <f t="shared" si="400"/>
        <v>#N/A</v>
      </c>
      <c r="GV248" s="32" t="e">
        <f t="shared" si="401"/>
        <v>#N/A</v>
      </c>
      <c r="GW248" s="32" t="b">
        <f t="shared" si="402"/>
        <v>0</v>
      </c>
      <c r="GX248" s="32" t="b">
        <f t="shared" si="403"/>
        <v>1</v>
      </c>
      <c r="GY248" s="32" t="b">
        <f t="shared" si="404"/>
        <v>1</v>
      </c>
      <c r="GZ248" s="32" t="b">
        <f t="shared" si="405"/>
        <v>0</v>
      </c>
      <c r="HA248" s="32">
        <f t="shared" si="406"/>
        <v>1.319484058137666E-2</v>
      </c>
      <c r="HB248" s="32">
        <f t="shared" si="407"/>
        <v>1.319484058137666E-2</v>
      </c>
      <c r="HC248" s="32" t="e">
        <f t="shared" si="408"/>
        <v>#N/A</v>
      </c>
      <c r="HD248" s="45" t="str">
        <f t="shared" si="409"/>
        <v/>
      </c>
      <c r="HJ248" s="32">
        <f t="shared" si="410"/>
        <v>238</v>
      </c>
      <c r="HK248" s="32">
        <f t="shared" si="411"/>
        <v>239</v>
      </c>
      <c r="HL248" s="32">
        <f t="shared" si="412"/>
        <v>4.0433842598571967</v>
      </c>
      <c r="HM248" s="32" t="e">
        <f t="shared" si="413"/>
        <v>#N/A</v>
      </c>
      <c r="HN248" s="32">
        <f t="shared" si="414"/>
        <v>3.1100928750608632E-3</v>
      </c>
      <c r="HO248" s="32" t="e">
        <f t="shared" si="415"/>
        <v>#N/A</v>
      </c>
      <c r="HP248" s="32" t="e">
        <f t="shared" si="416"/>
        <v>#N/A</v>
      </c>
      <c r="HQ248" s="32" t="b">
        <f t="shared" si="417"/>
        <v>0</v>
      </c>
      <c r="HR248" s="32" t="b">
        <f t="shared" si="418"/>
        <v>1</v>
      </c>
      <c r="HS248" s="32" t="b">
        <f t="shared" si="419"/>
        <v>1</v>
      </c>
      <c r="HT248" s="32" t="b">
        <f t="shared" si="420"/>
        <v>0</v>
      </c>
      <c r="HU248" s="32">
        <f t="shared" si="421"/>
        <v>3.1100928750608632E-3</v>
      </c>
      <c r="HV248" s="32" t="e">
        <f t="shared" si="422"/>
        <v>#N/A</v>
      </c>
      <c r="HW248" s="32">
        <f t="shared" si="423"/>
        <v>3.1100928750608632E-3</v>
      </c>
      <c r="HX248" s="45" t="str">
        <f t="shared" si="424"/>
        <v/>
      </c>
    </row>
    <row r="249" spans="78:232" x14ac:dyDescent="0.2">
      <c r="BZ249" s="32">
        <f t="shared" si="351"/>
        <v>239</v>
      </c>
      <c r="CA249" s="32">
        <f>Eu_tabel_g[[#This Row],[Indeks]]+1</f>
        <v>240</v>
      </c>
      <c r="CB249" s="32">
        <f t="shared" si="352"/>
        <v>2.6350818114609256</v>
      </c>
      <c r="CC249" s="32">
        <f t="shared" si="353"/>
        <v>1.2391226343470832E-2</v>
      </c>
      <c r="CD249" s="32" t="e">
        <f t="shared" si="354"/>
        <v>#N/A</v>
      </c>
      <c r="CE249" s="32" t="e">
        <f t="shared" si="355"/>
        <v>#N/A</v>
      </c>
      <c r="CF249" s="32" t="e">
        <f t="shared" si="356"/>
        <v>#N/A</v>
      </c>
      <c r="CG249" s="32" t="b">
        <f t="shared" si="357"/>
        <v>0</v>
      </c>
      <c r="CH249" s="32" t="b">
        <f t="shared" si="358"/>
        <v>1</v>
      </c>
      <c r="CI249" s="32" t="b">
        <f t="shared" si="359"/>
        <v>1</v>
      </c>
      <c r="CJ249" s="32" t="b">
        <f t="shared" si="360"/>
        <v>0</v>
      </c>
      <c r="CK249" s="32">
        <f t="shared" si="425"/>
        <v>1.2391226343470832E-2</v>
      </c>
      <c r="CL249" s="32">
        <f t="shared" si="361"/>
        <v>1.2391226343470832E-2</v>
      </c>
      <c r="CM249" s="32" t="e">
        <f t="shared" si="362"/>
        <v>#N/A</v>
      </c>
      <c r="CN249" s="45" t="str">
        <f t="shared" si="363"/>
        <v/>
      </c>
      <c r="CO249" s="32">
        <f>_xlfn.NORM.DIST(_xlfn.NORM.INV(1-Eu_g_konfidensniveau,0,1)-Eu_tabel_g[[#This Row],[x base]],0,1,TRUE)</f>
        <v>9.3473768246039475E-6</v>
      </c>
      <c r="CP249" s="32">
        <f>1-_xlfn.NORM.DIST(_xlfn.NORM.INV(Eu_g_konfidensniveau,0,1)-Eu_tabel_g[[#This Row],[x base]],0,1,TRUE)</f>
        <v>0.83896870028264203</v>
      </c>
      <c r="CQ249" s="32">
        <f>_xlfn.NORM.DIST(_xlfn.NORM.INV((1-Eu_g_konfidensniveau)/2,0,1)-Eu_tabel_g[[#This Row],[x base]],0,1,TRUE)+1-_xlfn.NORM.DIST(_xlfn.NORM.INV(1-(1-Eu_g_konfidensniveau)/2,0,1)-Eu_tabel_g[[#This Row],[x base]],0,1,TRUE)</f>
        <v>0.75020170905714301</v>
      </c>
      <c r="CR249" s="32" t="e" cm="1">
        <f t="array" ref="CR249">IF($CR$3,INDEX(Eu_tabel_g[[#This Row],[Styrke venstre]:[Styrke tosidet]],CR$7),NA())</f>
        <v>#N/A</v>
      </c>
      <c r="CS249" s="52" t="e">
        <f>Eu_tabel_g[[#This Row],[Falsk positiv
Nulhypotese accepteres
Fejltype 1]]</f>
        <v>#N/A</v>
      </c>
      <c r="CT249" s="52" t="e">
        <f>IF(CHOOSE(CR$7,Eu_tabel_g[[#This Row],[x base]]&gt;0,Eu_tabel_g[[#This Row],[x base]]&lt;0,Eu_tabel_g[[#This Row],[x base]]=0),Eu_tabel_g[[#This Row],[Styrke, aktiv]],NA())</f>
        <v>#N/A</v>
      </c>
      <c r="CU249" s="52" t="e">
        <f>IFERROR(IF($CR$3,Eu_tabel_g[[#This Row],[Styrke, aktiv]],NA()),NA())</f>
        <v>#N/A</v>
      </c>
      <c r="CV249" s="52" t="e">
        <f>IF(ISNA(Eu_tabel_g[[#This Row],[Sand negativ
Nulhypotese afvises
Korrekt]]),NA(),IF($CR$3,1,NA()))</f>
        <v>#N/A</v>
      </c>
      <c r="CW249" s="34" t="str" cm="1">
        <f t="array" ref="CW249">_xlfn.SWITCH(BZ249,_xlfn.IFNA(CU$2,-99),CU$5,_xlfn.IFNA(CU$3,-99),CU$6,_xlfn.IFNA(CU$4,-99),CU$7,"")</f>
        <v/>
      </c>
      <c r="DA249" s="7">
        <f t="shared" si="364"/>
        <v>0.8</v>
      </c>
      <c r="DB249">
        <f>IF(ROW(Styrkeberegning_G[[#This Row],[X base venstre]])=ROW(Styrkeberegning_G[[#Headers],[X base venstre]])+1,DB$7/(DA$7/$B$67),DB248/(DA248/$B$67))</f>
        <v>-2.8015817870135784</v>
      </c>
      <c r="DC249">
        <f>Styrkeberegning_G[[#This Row],[X base venstre]]*-1</f>
        <v>2.8015817870135784</v>
      </c>
      <c r="DN249" s="32">
        <f t="shared" si="365"/>
        <v>239</v>
      </c>
      <c r="DO249" s="32">
        <f t="shared" si="366"/>
        <v>240</v>
      </c>
      <c r="DP249" s="32">
        <f t="shared" si="367"/>
        <v>29.09678734831693</v>
      </c>
      <c r="DQ249" s="32" t="e">
        <f t="shared" si="368"/>
        <v>#N/A</v>
      </c>
      <c r="DR249" s="32" t="e">
        <f t="shared" si="369"/>
        <v>#N/A</v>
      </c>
      <c r="DS249" s="32">
        <f t="shared" si="370"/>
        <v>7.8432100183917892E-4</v>
      </c>
      <c r="DT249" s="32" t="e">
        <f t="shared" si="371"/>
        <v>#N/A</v>
      </c>
      <c r="DU249" s="32" t="b">
        <f t="shared" si="372"/>
        <v>0</v>
      </c>
      <c r="DV249" s="32" t="b">
        <f t="shared" si="373"/>
        <v>1</v>
      </c>
      <c r="DW249" s="32" t="b">
        <f t="shared" si="374"/>
        <v>1</v>
      </c>
      <c r="DX249" s="32" t="b">
        <f t="shared" si="375"/>
        <v>0</v>
      </c>
      <c r="DY249" s="32">
        <f t="shared" si="376"/>
        <v>7.8432100183917892E-4</v>
      </c>
      <c r="DZ249" s="32">
        <f t="shared" si="377"/>
        <v>7.8432100183917892E-4</v>
      </c>
      <c r="EA249" s="32" t="e">
        <f t="shared" si="378"/>
        <v>#N/A</v>
      </c>
      <c r="EB249" s="45" t="str">
        <f t="shared" si="379"/>
        <v/>
      </c>
      <c r="EG249" s="32">
        <f t="shared" si="380"/>
        <v>239</v>
      </c>
      <c r="EH249" s="32">
        <f t="shared" si="381"/>
        <v>240</v>
      </c>
      <c r="EI249" s="32">
        <f t="shared" si="382"/>
        <v>2.6350818114609256</v>
      </c>
      <c r="EJ249" s="32">
        <f t="shared" si="383"/>
        <v>1.2391226343470832E-2</v>
      </c>
      <c r="EK249" s="32" t="e">
        <f t="shared" si="384"/>
        <v>#N/A</v>
      </c>
      <c r="EL249" s="32" t="e">
        <f t="shared" si="385"/>
        <v>#N/A</v>
      </c>
      <c r="EM249" s="32" t="e">
        <f t="shared" si="386"/>
        <v>#N/A</v>
      </c>
      <c r="EN249" s="32" t="b">
        <f t="shared" si="387"/>
        <v>0</v>
      </c>
      <c r="EO249" s="32" t="b">
        <f t="shared" si="388"/>
        <v>1</v>
      </c>
      <c r="EP249" s="32" t="b">
        <f t="shared" si="389"/>
        <v>1</v>
      </c>
      <c r="EQ249" s="32" t="b">
        <f t="shared" si="390"/>
        <v>0</v>
      </c>
      <c r="ER249" s="32">
        <f t="shared" si="391"/>
        <v>1.2391226343470832E-2</v>
      </c>
      <c r="ES249" s="32">
        <f t="shared" si="392"/>
        <v>1.2391226343470832E-2</v>
      </c>
      <c r="ET249" s="32" t="e">
        <f t="shared" si="393"/>
        <v>#N/A</v>
      </c>
      <c r="EU249" s="45" t="str">
        <f t="shared" si="394"/>
        <v/>
      </c>
      <c r="EV24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9" s="32" t="e" cm="1">
        <f t="array" ref="EY249">IF($CR$3,INDEX(Eu_tabel_a[[#This Row],[Styrke venstre]:[Styrke tosidet]],EY$7),NA())</f>
        <v>#N/A</v>
      </c>
      <c r="EZ249" s="32" t="e">
        <f>IF(EY$3,IF(CHOOSE(EY$7,Eu_tabel_a[[#This Row],[x base]]&gt;0,Eu_tabel_a[[#This Row],[x base]]&lt;0,Eu_tabel_a[[#This Row],[x base]]=0),1,NA()),NA())</f>
        <v>#N/A</v>
      </c>
      <c r="FA249" s="32" t="e">
        <f>IF(CHOOSE(EY$7,Eu_tabel_a[[#This Row],[x base]]&gt;0,Eu_tabel_a[[#This Row],[x base]]&lt;0,Eu_tabel_a[[#This Row],[x base]]=0),Eu_tabel_a[[#This Row],[Styrke, aktiv]],NA())</f>
        <v>#N/A</v>
      </c>
      <c r="FB249" s="32" t="e">
        <f>IFERROR(IF($EY$3,Eu_tabel_a[[#This Row],[Styrke, aktiv]],NA()),NA())</f>
        <v>#N/A</v>
      </c>
      <c r="FC249" s="32" t="e">
        <f>IF(ISNA(Eu_tabel_a[[#This Row],[Sand negativ
Nulhypotese afvises
Korrekt]]),NA(),IF(EY$3,1,NA()))</f>
        <v>#N/A</v>
      </c>
      <c r="FD249" s="33" t="str" cm="1">
        <f t="array" ref="FD249">IFERROR(_xlfn.SWITCH(Eu_tabel_a[[#This Row],[Indeks]],_xlfn.IFNA(FB$2,-99),FB$5,_xlfn.IFNA(FB$3,-99),FB$6,_xlfn.IFNA(FB$4,-99),FB$7,""),"")</f>
        <v/>
      </c>
      <c r="FE249" s="32">
        <f>Eu_tabel_a[[#This Row],[x base]]*SQRT(Eu_a_h0_x*(1-Eu_a_h0_x)/Eu_a_n_x)+Eu_a_h0_x</f>
        <v>0</v>
      </c>
      <c r="FJ249" s="74" t="e">
        <f t="shared" si="338"/>
        <v>#N/A</v>
      </c>
      <c r="FK249" s="82" t="e">
        <f t="shared" si="426"/>
        <v>#DIV/0!</v>
      </c>
      <c r="FL249" s="7" t="e">
        <f t="shared" si="332"/>
        <v>#DIV/0!</v>
      </c>
      <c r="FM249" t="e">
        <f t="shared" si="427"/>
        <v>#DIV/0!</v>
      </c>
      <c r="FN249" s="8" t="e">
        <f t="shared" si="428"/>
        <v>#DIV/0!</v>
      </c>
      <c r="FO249" s="8" t="e">
        <f t="shared" si="429"/>
        <v>#DIV/0!</v>
      </c>
      <c r="FP249" s="81" t="e">
        <f t="shared" si="430"/>
        <v>#DIV/0!</v>
      </c>
      <c r="FQ249" s="74" t="e">
        <f t="shared" ca="1" si="333"/>
        <v>#N/A</v>
      </c>
      <c r="FR249" s="82" t="e" vm="3">
        <f t="shared" ca="1" si="339"/>
        <v>#VALUE!</v>
      </c>
      <c r="FS249" s="7" t="e" vm="3">
        <f t="shared" ca="1" si="334"/>
        <v>#VALUE!</v>
      </c>
      <c r="FT249" t="e" vm="3">
        <f t="shared" ca="1" si="328"/>
        <v>#VALUE!</v>
      </c>
      <c r="FU249" s="8" t="e" vm="3">
        <f t="shared" ca="1" si="329"/>
        <v>#VALUE!</v>
      </c>
      <c r="FV249" s="8" t="e" vm="3">
        <f t="shared" ca="1" si="330"/>
        <v>#VALUE!</v>
      </c>
      <c r="FW249" s="81" t="e" vm="3">
        <f t="shared" ca="1" si="331"/>
        <v>#VALUE!</v>
      </c>
      <c r="FX249" s="74" t="e">
        <f t="shared" si="335"/>
        <v>#N/A</v>
      </c>
      <c r="FY249" s="82" t="e">
        <f t="shared" si="340"/>
        <v>#N/A</v>
      </c>
      <c r="FZ249" s="7" t="e">
        <f t="shared" si="336"/>
        <v>#N/A</v>
      </c>
      <c r="GA249" t="e">
        <f t="shared" si="341"/>
        <v>#N/A</v>
      </c>
      <c r="GB249" s="8" t="e">
        <f t="shared" si="342"/>
        <v>#N/A</v>
      </c>
      <c r="GC249" s="8" t="e">
        <f t="shared" si="343"/>
        <v>#N/A</v>
      </c>
      <c r="GD249" s="81" t="e">
        <f t="shared" si="344"/>
        <v>#N/A</v>
      </c>
      <c r="GE249" s="74" t="e">
        <f t="shared" si="345"/>
        <v>#N/A</v>
      </c>
      <c r="GF249" s="82" t="e">
        <f t="shared" si="346"/>
        <v>#N/A</v>
      </c>
      <c r="GG249" s="7" t="e">
        <f t="shared" si="337"/>
        <v>#N/A</v>
      </c>
      <c r="GH249" t="e">
        <f t="shared" si="347"/>
        <v>#N/A</v>
      </c>
      <c r="GI249" s="8" t="e">
        <f t="shared" si="348"/>
        <v>#N/A</v>
      </c>
      <c r="GJ249" s="8" t="e">
        <f t="shared" si="349"/>
        <v>#N/A</v>
      </c>
      <c r="GK249" s="81" t="e">
        <f t="shared" si="350"/>
        <v>#N/A</v>
      </c>
      <c r="GL249" s="81"/>
      <c r="GM249" s="81"/>
      <c r="GP249" s="32">
        <f t="shared" si="395"/>
        <v>239</v>
      </c>
      <c r="GQ249" s="32">
        <f t="shared" si="396"/>
        <v>240</v>
      </c>
      <c r="GR249" s="32">
        <f t="shared" si="397"/>
        <v>2.6350818114609256</v>
      </c>
      <c r="GS249" s="32">
        <f t="shared" si="398"/>
        <v>1.2391226343470832E-2</v>
      </c>
      <c r="GT249" s="32" t="e">
        <f t="shared" si="399"/>
        <v>#N/A</v>
      </c>
      <c r="GU249" s="32" t="e">
        <f t="shared" si="400"/>
        <v>#N/A</v>
      </c>
      <c r="GV249" s="32" t="e">
        <f t="shared" si="401"/>
        <v>#N/A</v>
      </c>
      <c r="GW249" s="32" t="b">
        <f t="shared" si="402"/>
        <v>0</v>
      </c>
      <c r="GX249" s="32" t="b">
        <f t="shared" si="403"/>
        <v>1</v>
      </c>
      <c r="GY249" s="32" t="b">
        <f t="shared" si="404"/>
        <v>1</v>
      </c>
      <c r="GZ249" s="32" t="b">
        <f t="shared" si="405"/>
        <v>0</v>
      </c>
      <c r="HA249" s="32">
        <f t="shared" si="406"/>
        <v>1.2391226343470832E-2</v>
      </c>
      <c r="HB249" s="32">
        <f t="shared" si="407"/>
        <v>1.2391226343470832E-2</v>
      </c>
      <c r="HC249" s="32" t="e">
        <f t="shared" si="408"/>
        <v>#N/A</v>
      </c>
      <c r="HD249" s="45" t="str">
        <f t="shared" si="409"/>
        <v/>
      </c>
      <c r="HJ249" s="32">
        <f t="shared" si="410"/>
        <v>239</v>
      </c>
      <c r="HK249" s="32">
        <f t="shared" si="411"/>
        <v>240</v>
      </c>
      <c r="HL249" s="32">
        <f t="shared" si="412"/>
        <v>4.0804795282962534</v>
      </c>
      <c r="HM249" s="32" t="e">
        <f t="shared" si="413"/>
        <v>#N/A</v>
      </c>
      <c r="HN249" s="32">
        <f t="shared" si="414"/>
        <v>2.9545793712011021E-3</v>
      </c>
      <c r="HO249" s="32" t="e">
        <f t="shared" si="415"/>
        <v>#N/A</v>
      </c>
      <c r="HP249" s="32" t="e">
        <f t="shared" si="416"/>
        <v>#N/A</v>
      </c>
      <c r="HQ249" s="32" t="b">
        <f t="shared" si="417"/>
        <v>0</v>
      </c>
      <c r="HR249" s="32" t="b">
        <f t="shared" si="418"/>
        <v>1</v>
      </c>
      <c r="HS249" s="32" t="b">
        <f t="shared" si="419"/>
        <v>1</v>
      </c>
      <c r="HT249" s="32" t="b">
        <f t="shared" si="420"/>
        <v>0</v>
      </c>
      <c r="HU249" s="32">
        <f t="shared" si="421"/>
        <v>2.9545793712011021E-3</v>
      </c>
      <c r="HV249" s="32" t="e">
        <f t="shared" si="422"/>
        <v>#N/A</v>
      </c>
      <c r="HW249" s="32">
        <f t="shared" si="423"/>
        <v>2.9545793712011021E-3</v>
      </c>
      <c r="HX249" s="45" t="str">
        <f t="shared" si="424"/>
        <v/>
      </c>
    </row>
    <row r="250" spans="78:232" x14ac:dyDescent="0.2">
      <c r="BZ250" s="32">
        <f t="shared" si="351"/>
        <v>240</v>
      </c>
      <c r="CA250" s="32">
        <f>Eu_tabel_g[[#This Row],[Indeks]]+1</f>
        <v>241</v>
      </c>
      <c r="CB250" s="32">
        <f t="shared" si="352"/>
        <v>2.6590371006560254</v>
      </c>
      <c r="CC250" s="32">
        <f t="shared" si="353"/>
        <v>1.1629879373268774E-2</v>
      </c>
      <c r="CD250" s="32" t="e">
        <f t="shared" si="354"/>
        <v>#N/A</v>
      </c>
      <c r="CE250" s="32" t="e">
        <f t="shared" si="355"/>
        <v>#N/A</v>
      </c>
      <c r="CF250" s="32" t="e">
        <f t="shared" si="356"/>
        <v>#N/A</v>
      </c>
      <c r="CG250" s="32" t="b">
        <f t="shared" si="357"/>
        <v>0</v>
      </c>
      <c r="CH250" s="32" t="b">
        <f t="shared" si="358"/>
        <v>1</v>
      </c>
      <c r="CI250" s="32" t="b">
        <f t="shared" si="359"/>
        <v>1</v>
      </c>
      <c r="CJ250" s="32" t="b">
        <f t="shared" si="360"/>
        <v>0</v>
      </c>
      <c r="CK250" s="32">
        <f t="shared" si="425"/>
        <v>1.1629879373268774E-2</v>
      </c>
      <c r="CL250" s="32">
        <f t="shared" si="361"/>
        <v>1.1629879373268774E-2</v>
      </c>
      <c r="CM250" s="32" t="e">
        <f t="shared" si="362"/>
        <v>#N/A</v>
      </c>
      <c r="CN250" s="45" t="str">
        <f t="shared" si="363"/>
        <v/>
      </c>
      <c r="CO250" s="32">
        <f>_xlfn.NORM.DIST(_xlfn.NORM.INV(1-Eu_g_konfidensniveau,0,1)-Eu_tabel_g[[#This Row],[x base]],0,1,TRUE)</f>
        <v>8.3912230994245577E-6</v>
      </c>
      <c r="CP250" s="32">
        <f>1-_xlfn.NORM.DIST(_xlfn.NORM.INV(Eu_g_konfidensniveau,0,1)-Eu_tabel_g[[#This Row],[x base]],0,1,TRUE)</f>
        <v>0.84475239355334408</v>
      </c>
      <c r="CQ250" s="32">
        <f>_xlfn.NORM.DIST(_xlfn.NORM.INV((1-Eu_g_konfidensniveau)/2,0,1)-Eu_tabel_g[[#This Row],[x base]],0,1,TRUE)+1-_xlfn.NORM.DIST(_xlfn.NORM.INV(1-(1-Eu_g_konfidensniveau)/2,0,1)-Eu_tabel_g[[#This Row],[x base]],0,1,TRUE)</f>
        <v>0.75774875872714709</v>
      </c>
      <c r="CR250" s="32" t="e" cm="1">
        <f t="array" ref="CR250">IF($CR$3,INDEX(Eu_tabel_g[[#This Row],[Styrke venstre]:[Styrke tosidet]],CR$7),NA())</f>
        <v>#N/A</v>
      </c>
      <c r="CS250" s="52" t="e">
        <f>Eu_tabel_g[[#This Row],[Falsk positiv
Nulhypotese accepteres
Fejltype 1]]</f>
        <v>#N/A</v>
      </c>
      <c r="CT250" s="52" t="e">
        <f>IF(CHOOSE(CR$7,Eu_tabel_g[[#This Row],[x base]]&gt;0,Eu_tabel_g[[#This Row],[x base]]&lt;0,Eu_tabel_g[[#This Row],[x base]]=0),Eu_tabel_g[[#This Row],[Styrke, aktiv]],NA())</f>
        <v>#N/A</v>
      </c>
      <c r="CU250" s="52" t="e">
        <f>IFERROR(IF($CR$3,Eu_tabel_g[[#This Row],[Styrke, aktiv]],NA()),NA())</f>
        <v>#N/A</v>
      </c>
      <c r="CV250" s="52" t="e">
        <f>IF(ISNA(Eu_tabel_g[[#This Row],[Sand negativ
Nulhypotese afvises
Korrekt]]),NA(),IF($CR$3,1,NA()))</f>
        <v>#N/A</v>
      </c>
      <c r="CW250" s="34" t="str" cm="1">
        <f t="array" ref="CW250">_xlfn.SWITCH(BZ250,_xlfn.IFNA(CU$2,-99),CU$5,_xlfn.IFNA(CU$3,-99),CU$6,_xlfn.IFNA(CU$4,-99),CU$7,"")</f>
        <v/>
      </c>
      <c r="DA250" s="7">
        <f t="shared" si="364"/>
        <v>0.8</v>
      </c>
      <c r="DB250">
        <f>IF(ROW(Styrkeberegning_G[[#This Row],[X base venstre]])=ROW(Styrkeberegning_G[[#Headers],[X base venstre]])+1,DB$7/(DA$7/$B$67),DB249/(DA249/$B$67))</f>
        <v>-2.8015817870135784</v>
      </c>
      <c r="DC250">
        <f>Styrkeberegning_G[[#This Row],[X base venstre]]*-1</f>
        <v>2.8015817870135784</v>
      </c>
      <c r="DN250" s="32">
        <f t="shared" si="365"/>
        <v>240</v>
      </c>
      <c r="DO250" s="32">
        <f t="shared" si="366"/>
        <v>241</v>
      </c>
      <c r="DP250" s="32">
        <f t="shared" si="367"/>
        <v>29.210858204733931</v>
      </c>
      <c r="DQ250" s="32" t="e">
        <f t="shared" si="368"/>
        <v>#N/A</v>
      </c>
      <c r="DR250" s="32" t="e">
        <f t="shared" si="369"/>
        <v>#N/A</v>
      </c>
      <c r="DS250" s="32">
        <f t="shared" si="370"/>
        <v>7.539983872317963E-4</v>
      </c>
      <c r="DT250" s="32" t="e">
        <f t="shared" si="371"/>
        <v>#N/A</v>
      </c>
      <c r="DU250" s="32" t="b">
        <f t="shared" si="372"/>
        <v>0</v>
      </c>
      <c r="DV250" s="32" t="b">
        <f t="shared" si="373"/>
        <v>1</v>
      </c>
      <c r="DW250" s="32" t="b">
        <f t="shared" si="374"/>
        <v>1</v>
      </c>
      <c r="DX250" s="32" t="b">
        <f t="shared" si="375"/>
        <v>0</v>
      </c>
      <c r="DY250" s="32">
        <f t="shared" si="376"/>
        <v>7.539983872317963E-4</v>
      </c>
      <c r="DZ250" s="32">
        <f t="shared" si="377"/>
        <v>7.539983872317963E-4</v>
      </c>
      <c r="EA250" s="32" t="e">
        <f t="shared" si="378"/>
        <v>#N/A</v>
      </c>
      <c r="EB250" s="45" t="str">
        <f t="shared" si="379"/>
        <v/>
      </c>
      <c r="EG250" s="32">
        <f t="shared" si="380"/>
        <v>240</v>
      </c>
      <c r="EH250" s="32">
        <f t="shared" si="381"/>
        <v>241</v>
      </c>
      <c r="EI250" s="32">
        <f t="shared" si="382"/>
        <v>2.6590371006560254</v>
      </c>
      <c r="EJ250" s="32">
        <f t="shared" si="383"/>
        <v>1.1629879373268774E-2</v>
      </c>
      <c r="EK250" s="32" t="e">
        <f t="shared" si="384"/>
        <v>#N/A</v>
      </c>
      <c r="EL250" s="32" t="e">
        <f t="shared" si="385"/>
        <v>#N/A</v>
      </c>
      <c r="EM250" s="32" t="e">
        <f t="shared" si="386"/>
        <v>#N/A</v>
      </c>
      <c r="EN250" s="32" t="b">
        <f t="shared" si="387"/>
        <v>0</v>
      </c>
      <c r="EO250" s="32" t="b">
        <f t="shared" si="388"/>
        <v>1</v>
      </c>
      <c r="EP250" s="32" t="b">
        <f t="shared" si="389"/>
        <v>1</v>
      </c>
      <c r="EQ250" s="32" t="b">
        <f t="shared" si="390"/>
        <v>0</v>
      </c>
      <c r="ER250" s="32">
        <f t="shared" si="391"/>
        <v>1.1629879373268774E-2</v>
      </c>
      <c r="ES250" s="32">
        <f t="shared" si="392"/>
        <v>1.1629879373268774E-2</v>
      </c>
      <c r="ET250" s="32" t="e">
        <f t="shared" si="393"/>
        <v>#N/A</v>
      </c>
      <c r="EU250" s="45" t="str">
        <f t="shared" si="394"/>
        <v/>
      </c>
      <c r="EV25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0" s="32" t="e" cm="1">
        <f t="array" ref="EY250">IF($CR$3,INDEX(Eu_tabel_a[[#This Row],[Styrke venstre]:[Styrke tosidet]],EY$7),NA())</f>
        <v>#N/A</v>
      </c>
      <c r="EZ250" s="32" t="e">
        <f>IF(EY$3,IF(CHOOSE(EY$7,Eu_tabel_a[[#This Row],[x base]]&gt;0,Eu_tabel_a[[#This Row],[x base]]&lt;0,Eu_tabel_a[[#This Row],[x base]]=0),1,NA()),NA())</f>
        <v>#N/A</v>
      </c>
      <c r="FA250" s="32" t="e">
        <f>IF(CHOOSE(EY$7,Eu_tabel_a[[#This Row],[x base]]&gt;0,Eu_tabel_a[[#This Row],[x base]]&lt;0,Eu_tabel_a[[#This Row],[x base]]=0),Eu_tabel_a[[#This Row],[Styrke, aktiv]],NA())</f>
        <v>#N/A</v>
      </c>
      <c r="FB250" s="32" t="e">
        <f>IFERROR(IF($EY$3,Eu_tabel_a[[#This Row],[Styrke, aktiv]],NA()),NA())</f>
        <v>#N/A</v>
      </c>
      <c r="FC250" s="32" t="e">
        <f>IF(ISNA(Eu_tabel_a[[#This Row],[Sand negativ
Nulhypotese afvises
Korrekt]]),NA(),IF(EY$3,1,NA()))</f>
        <v>#N/A</v>
      </c>
      <c r="FD250" s="33" t="str" cm="1">
        <f t="array" ref="FD250">IFERROR(_xlfn.SWITCH(Eu_tabel_a[[#This Row],[Indeks]],_xlfn.IFNA(FB$2,-99),FB$5,_xlfn.IFNA(FB$3,-99),FB$6,_xlfn.IFNA(FB$4,-99),FB$7,""),"")</f>
        <v/>
      </c>
      <c r="FE250" s="32">
        <f>Eu_tabel_a[[#This Row],[x base]]*SQRT(Eu_a_h0_x*(1-Eu_a_h0_x)/Eu_a_n_x)+Eu_a_h0_x</f>
        <v>0</v>
      </c>
      <c r="FJ250" s="74" t="e">
        <f t="shared" si="338"/>
        <v>#N/A</v>
      </c>
      <c r="FK250" s="82" t="e">
        <f t="shared" si="426"/>
        <v>#DIV/0!</v>
      </c>
      <c r="FL250" s="7" t="e">
        <f t="shared" si="332"/>
        <v>#DIV/0!</v>
      </c>
      <c r="FM250" t="e">
        <f t="shared" si="427"/>
        <v>#DIV/0!</v>
      </c>
      <c r="FN250" s="8" t="e">
        <f t="shared" si="428"/>
        <v>#DIV/0!</v>
      </c>
      <c r="FO250" s="8" t="e">
        <f t="shared" si="429"/>
        <v>#DIV/0!</v>
      </c>
      <c r="FP250" s="81" t="e">
        <f t="shared" si="430"/>
        <v>#DIV/0!</v>
      </c>
      <c r="FQ250" s="74" t="e">
        <f t="shared" ca="1" si="333"/>
        <v>#N/A</v>
      </c>
      <c r="FR250" s="82" t="e" vm="3">
        <f t="shared" ca="1" si="339"/>
        <v>#VALUE!</v>
      </c>
      <c r="FS250" s="7" t="e" vm="3">
        <f t="shared" ca="1" si="334"/>
        <v>#VALUE!</v>
      </c>
      <c r="FT250" t="e" vm="3">
        <f t="shared" ca="1" si="328"/>
        <v>#VALUE!</v>
      </c>
      <c r="FU250" s="8" t="e" vm="3">
        <f t="shared" ca="1" si="329"/>
        <v>#VALUE!</v>
      </c>
      <c r="FV250" s="8" t="e" vm="3">
        <f t="shared" ca="1" si="330"/>
        <v>#VALUE!</v>
      </c>
      <c r="FW250" s="81" t="e" vm="3">
        <f t="shared" ca="1" si="331"/>
        <v>#VALUE!</v>
      </c>
      <c r="FX250" s="74" t="e">
        <f t="shared" si="335"/>
        <v>#N/A</v>
      </c>
      <c r="FY250" s="82" t="e">
        <f t="shared" si="340"/>
        <v>#N/A</v>
      </c>
      <c r="FZ250" s="7" t="e">
        <f t="shared" si="336"/>
        <v>#N/A</v>
      </c>
      <c r="GA250" t="e">
        <f t="shared" si="341"/>
        <v>#N/A</v>
      </c>
      <c r="GB250" s="8" t="e">
        <f t="shared" si="342"/>
        <v>#N/A</v>
      </c>
      <c r="GC250" s="8" t="e">
        <f t="shared" si="343"/>
        <v>#N/A</v>
      </c>
      <c r="GD250" s="81" t="e">
        <f t="shared" si="344"/>
        <v>#N/A</v>
      </c>
      <c r="GE250" s="74" t="e">
        <f t="shared" si="345"/>
        <v>#N/A</v>
      </c>
      <c r="GF250" s="82" t="e">
        <f t="shared" si="346"/>
        <v>#N/A</v>
      </c>
      <c r="GG250" s="7" t="e">
        <f t="shared" si="337"/>
        <v>#N/A</v>
      </c>
      <c r="GH250" t="e">
        <f t="shared" si="347"/>
        <v>#N/A</v>
      </c>
      <c r="GI250" s="8" t="e">
        <f t="shared" si="348"/>
        <v>#N/A</v>
      </c>
      <c r="GJ250" s="8" t="e">
        <f t="shared" si="349"/>
        <v>#N/A</v>
      </c>
      <c r="GK250" s="81" t="e">
        <f t="shared" si="350"/>
        <v>#N/A</v>
      </c>
      <c r="GL250" s="81"/>
      <c r="GM250" s="81"/>
      <c r="GP250" s="32">
        <f t="shared" si="395"/>
        <v>240</v>
      </c>
      <c r="GQ250" s="32">
        <f t="shared" si="396"/>
        <v>241</v>
      </c>
      <c r="GR250" s="32">
        <f t="shared" si="397"/>
        <v>2.6590371006560254</v>
      </c>
      <c r="GS250" s="32">
        <f t="shared" si="398"/>
        <v>1.1629879373268774E-2</v>
      </c>
      <c r="GT250" s="32" t="e">
        <f t="shared" si="399"/>
        <v>#N/A</v>
      </c>
      <c r="GU250" s="32" t="e">
        <f t="shared" si="400"/>
        <v>#N/A</v>
      </c>
      <c r="GV250" s="32" t="e">
        <f t="shared" si="401"/>
        <v>#N/A</v>
      </c>
      <c r="GW250" s="32" t="b">
        <f t="shared" si="402"/>
        <v>0</v>
      </c>
      <c r="GX250" s="32" t="b">
        <f t="shared" si="403"/>
        <v>1</v>
      </c>
      <c r="GY250" s="32" t="b">
        <f t="shared" si="404"/>
        <v>1</v>
      </c>
      <c r="GZ250" s="32" t="b">
        <f t="shared" si="405"/>
        <v>0</v>
      </c>
      <c r="HA250" s="32">
        <f t="shared" si="406"/>
        <v>1.1629879373268774E-2</v>
      </c>
      <c r="HB250" s="32">
        <f t="shared" si="407"/>
        <v>1.1629879373268774E-2</v>
      </c>
      <c r="HC250" s="32" t="e">
        <f t="shared" si="408"/>
        <v>#N/A</v>
      </c>
      <c r="HD250" s="45" t="str">
        <f t="shared" si="409"/>
        <v/>
      </c>
      <c r="HJ250" s="32">
        <f t="shared" si="410"/>
        <v>240</v>
      </c>
      <c r="HK250" s="32">
        <f t="shared" si="411"/>
        <v>241</v>
      </c>
      <c r="HL250" s="32">
        <f t="shared" si="412"/>
        <v>4.11757479673531</v>
      </c>
      <c r="HM250" s="32" t="e">
        <f t="shared" si="413"/>
        <v>#N/A</v>
      </c>
      <c r="HN250" s="32">
        <f t="shared" si="414"/>
        <v>2.8073751156491695E-3</v>
      </c>
      <c r="HO250" s="32" t="e">
        <f t="shared" si="415"/>
        <v>#N/A</v>
      </c>
      <c r="HP250" s="32" t="e">
        <f t="shared" si="416"/>
        <v>#N/A</v>
      </c>
      <c r="HQ250" s="32" t="b">
        <f t="shared" si="417"/>
        <v>0</v>
      </c>
      <c r="HR250" s="32" t="b">
        <f t="shared" si="418"/>
        <v>1</v>
      </c>
      <c r="HS250" s="32" t="b">
        <f t="shared" si="419"/>
        <v>1</v>
      </c>
      <c r="HT250" s="32" t="b">
        <f t="shared" si="420"/>
        <v>0</v>
      </c>
      <c r="HU250" s="32">
        <f t="shared" si="421"/>
        <v>2.8073751156491695E-3</v>
      </c>
      <c r="HV250" s="32" t="e">
        <f t="shared" si="422"/>
        <v>#N/A</v>
      </c>
      <c r="HW250" s="32">
        <f t="shared" si="423"/>
        <v>2.8073751156491695E-3</v>
      </c>
      <c r="HX250" s="45" t="str">
        <f t="shared" si="424"/>
        <v/>
      </c>
    </row>
    <row r="251" spans="78:232" x14ac:dyDescent="0.2">
      <c r="BZ251" s="32">
        <f t="shared" si="351"/>
        <v>241</v>
      </c>
      <c r="CA251" s="32">
        <f>Eu_tabel_g[[#This Row],[Indeks]]+1</f>
        <v>242</v>
      </c>
      <c r="CB251" s="32">
        <f t="shared" si="352"/>
        <v>2.6829923898511243</v>
      </c>
      <c r="CC251" s="32">
        <f t="shared" si="353"/>
        <v>1.0909049386925553E-2</v>
      </c>
      <c r="CD251" s="32" t="e">
        <f t="shared" si="354"/>
        <v>#N/A</v>
      </c>
      <c r="CE251" s="32" t="e">
        <f t="shared" si="355"/>
        <v>#N/A</v>
      </c>
      <c r="CF251" s="32" t="e">
        <f t="shared" si="356"/>
        <v>#N/A</v>
      </c>
      <c r="CG251" s="32" t="b">
        <f t="shared" si="357"/>
        <v>0</v>
      </c>
      <c r="CH251" s="32" t="b">
        <f t="shared" si="358"/>
        <v>1</v>
      </c>
      <c r="CI251" s="32" t="b">
        <f t="shared" si="359"/>
        <v>1</v>
      </c>
      <c r="CJ251" s="32" t="b">
        <f t="shared" si="360"/>
        <v>0</v>
      </c>
      <c r="CK251" s="32">
        <f t="shared" si="425"/>
        <v>1.0909049386925553E-2</v>
      </c>
      <c r="CL251" s="32">
        <f t="shared" si="361"/>
        <v>1.0909049386925553E-2</v>
      </c>
      <c r="CM251" s="32" t="e">
        <f t="shared" si="362"/>
        <v>#N/A</v>
      </c>
      <c r="CN251" s="45" t="str">
        <f t="shared" si="363"/>
        <v/>
      </c>
      <c r="CO251" s="32">
        <f>_xlfn.NORM.DIST(_xlfn.NORM.INV(1-Eu_g_konfidensniveau,0,1)-Eu_tabel_g[[#This Row],[x base]],0,1,TRUE)</f>
        <v>7.5287338512584709E-6</v>
      </c>
      <c r="CP251" s="32">
        <f>1-_xlfn.NORM.DIST(_xlfn.NORM.INV(Eu_g_konfidensniveau,0,1)-Eu_tabel_g[[#This Row],[x base]],0,1,TRUE)</f>
        <v>0.85039727138881704</v>
      </c>
      <c r="CQ251" s="32">
        <f>_xlfn.NORM.DIST(_xlfn.NORM.INV((1-Eu_g_konfidensniveau)/2,0,1)-Eu_tabel_g[[#This Row],[x base]],0,1,TRUE)+1-_xlfn.NORM.DIST(_xlfn.NORM.INV(1-(1-Eu_g_konfidensniveau)/2,0,1)-Eu_tabel_g[[#This Row],[x base]],0,1,TRUE)</f>
        <v>0.76517050080719207</v>
      </c>
      <c r="CR251" s="32" t="e" cm="1">
        <f t="array" ref="CR251">IF($CR$3,INDEX(Eu_tabel_g[[#This Row],[Styrke venstre]:[Styrke tosidet]],CR$7),NA())</f>
        <v>#N/A</v>
      </c>
      <c r="CS251" s="52" t="e">
        <f>Eu_tabel_g[[#This Row],[Falsk positiv
Nulhypotese accepteres
Fejltype 1]]</f>
        <v>#N/A</v>
      </c>
      <c r="CT251" s="52" t="e">
        <f>IF(CHOOSE(CR$7,Eu_tabel_g[[#This Row],[x base]]&gt;0,Eu_tabel_g[[#This Row],[x base]]&lt;0,Eu_tabel_g[[#This Row],[x base]]=0),Eu_tabel_g[[#This Row],[Styrke, aktiv]],NA())</f>
        <v>#N/A</v>
      </c>
      <c r="CU251" s="52" t="e">
        <f>IFERROR(IF($CR$3,Eu_tabel_g[[#This Row],[Styrke, aktiv]],NA()),NA())</f>
        <v>#N/A</v>
      </c>
      <c r="CV251" s="52" t="e">
        <f>IF(ISNA(Eu_tabel_g[[#This Row],[Sand negativ
Nulhypotese afvises
Korrekt]]),NA(),IF($CR$3,1,NA()))</f>
        <v>#N/A</v>
      </c>
      <c r="CW251" s="34" t="str" cm="1">
        <f t="array" ref="CW251">_xlfn.SWITCH(BZ251,_xlfn.IFNA(CU$2,-99),CU$5,_xlfn.IFNA(CU$3,-99),CU$6,_xlfn.IFNA(CU$4,-99),CU$7,"")</f>
        <v/>
      </c>
      <c r="DA251" s="7">
        <f t="shared" si="364"/>
        <v>0.8</v>
      </c>
      <c r="DB251">
        <f>IF(ROW(Styrkeberegning_G[[#This Row],[X base venstre]])=ROW(Styrkeberegning_G[[#Headers],[X base venstre]])+1,DB$7/(DA$7/$B$67),DB250/(DA250/$B$67))</f>
        <v>-2.8015817870135784</v>
      </c>
      <c r="DC251">
        <f>Styrkeberegning_G[[#This Row],[X base venstre]]*-1</f>
        <v>2.8015817870135784</v>
      </c>
      <c r="DN251" s="32">
        <f t="shared" si="365"/>
        <v>241</v>
      </c>
      <c r="DO251" s="32">
        <f t="shared" si="366"/>
        <v>242</v>
      </c>
      <c r="DP251" s="32">
        <f t="shared" si="367"/>
        <v>29.324929061150932</v>
      </c>
      <c r="DQ251" s="32" t="e">
        <f t="shared" si="368"/>
        <v>#N/A</v>
      </c>
      <c r="DR251" s="32" t="e">
        <f t="shared" si="369"/>
        <v>#N/A</v>
      </c>
      <c r="DS251" s="32">
        <f t="shared" si="370"/>
        <v>7.2479833413572193E-4</v>
      </c>
      <c r="DT251" s="32" t="e">
        <f t="shared" si="371"/>
        <v>#N/A</v>
      </c>
      <c r="DU251" s="32" t="b">
        <f t="shared" si="372"/>
        <v>0</v>
      </c>
      <c r="DV251" s="32" t="b">
        <f t="shared" si="373"/>
        <v>1</v>
      </c>
      <c r="DW251" s="32" t="b">
        <f t="shared" si="374"/>
        <v>1</v>
      </c>
      <c r="DX251" s="32" t="b">
        <f t="shared" si="375"/>
        <v>0</v>
      </c>
      <c r="DY251" s="32">
        <f t="shared" si="376"/>
        <v>7.2479833413572193E-4</v>
      </c>
      <c r="DZ251" s="32">
        <f t="shared" si="377"/>
        <v>7.2479833413572193E-4</v>
      </c>
      <c r="EA251" s="32" t="e">
        <f t="shared" si="378"/>
        <v>#N/A</v>
      </c>
      <c r="EB251" s="45" t="str">
        <f t="shared" si="379"/>
        <v/>
      </c>
      <c r="EG251" s="32">
        <f t="shared" si="380"/>
        <v>241</v>
      </c>
      <c r="EH251" s="32">
        <f t="shared" si="381"/>
        <v>242</v>
      </c>
      <c r="EI251" s="32">
        <f t="shared" si="382"/>
        <v>2.6829923898511243</v>
      </c>
      <c r="EJ251" s="32">
        <f t="shared" si="383"/>
        <v>1.0909049386925553E-2</v>
      </c>
      <c r="EK251" s="32" t="e">
        <f t="shared" si="384"/>
        <v>#N/A</v>
      </c>
      <c r="EL251" s="32" t="e">
        <f t="shared" si="385"/>
        <v>#N/A</v>
      </c>
      <c r="EM251" s="32" t="e">
        <f t="shared" si="386"/>
        <v>#N/A</v>
      </c>
      <c r="EN251" s="32" t="b">
        <f t="shared" si="387"/>
        <v>0</v>
      </c>
      <c r="EO251" s="32" t="b">
        <f t="shared" si="388"/>
        <v>1</v>
      </c>
      <c r="EP251" s="32" t="b">
        <f t="shared" si="389"/>
        <v>1</v>
      </c>
      <c r="EQ251" s="32" t="b">
        <f t="shared" si="390"/>
        <v>0</v>
      </c>
      <c r="ER251" s="32">
        <f t="shared" si="391"/>
        <v>1.0909049386925553E-2</v>
      </c>
      <c r="ES251" s="32">
        <f t="shared" si="392"/>
        <v>1.0909049386925553E-2</v>
      </c>
      <c r="ET251" s="32" t="e">
        <f t="shared" si="393"/>
        <v>#N/A</v>
      </c>
      <c r="EU251" s="45" t="str">
        <f t="shared" si="394"/>
        <v/>
      </c>
      <c r="EV25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1" s="32" t="e" cm="1">
        <f t="array" ref="EY251">IF($CR$3,INDEX(Eu_tabel_a[[#This Row],[Styrke venstre]:[Styrke tosidet]],EY$7),NA())</f>
        <v>#N/A</v>
      </c>
      <c r="EZ251" s="32" t="e">
        <f>IF(EY$3,IF(CHOOSE(EY$7,Eu_tabel_a[[#This Row],[x base]]&gt;0,Eu_tabel_a[[#This Row],[x base]]&lt;0,Eu_tabel_a[[#This Row],[x base]]=0),1,NA()),NA())</f>
        <v>#N/A</v>
      </c>
      <c r="FA251" s="32" t="e">
        <f>IF(CHOOSE(EY$7,Eu_tabel_a[[#This Row],[x base]]&gt;0,Eu_tabel_a[[#This Row],[x base]]&lt;0,Eu_tabel_a[[#This Row],[x base]]=0),Eu_tabel_a[[#This Row],[Styrke, aktiv]],NA())</f>
        <v>#N/A</v>
      </c>
      <c r="FB251" s="32" t="e">
        <f>IFERROR(IF($EY$3,Eu_tabel_a[[#This Row],[Styrke, aktiv]],NA()),NA())</f>
        <v>#N/A</v>
      </c>
      <c r="FC251" s="32" t="e">
        <f>IF(ISNA(Eu_tabel_a[[#This Row],[Sand negativ
Nulhypotese afvises
Korrekt]]),NA(),IF(EY$3,1,NA()))</f>
        <v>#N/A</v>
      </c>
      <c r="FD251" s="33" t="str" cm="1">
        <f t="array" ref="FD251">IFERROR(_xlfn.SWITCH(Eu_tabel_a[[#This Row],[Indeks]],_xlfn.IFNA(FB$2,-99),FB$5,_xlfn.IFNA(FB$3,-99),FB$6,_xlfn.IFNA(FB$4,-99),FB$7,""),"")</f>
        <v/>
      </c>
      <c r="FE251" s="32">
        <f>Eu_tabel_a[[#This Row],[x base]]*SQRT(Eu_a_h0_x*(1-Eu_a_h0_x)/Eu_a_n_x)+Eu_a_h0_x</f>
        <v>0</v>
      </c>
      <c r="FJ251" s="74" t="e">
        <f t="shared" si="338"/>
        <v>#N/A</v>
      </c>
      <c r="FK251" s="82" t="e">
        <f t="shared" si="426"/>
        <v>#DIV/0!</v>
      </c>
      <c r="FL251" s="7" t="e">
        <f t="shared" si="332"/>
        <v>#DIV/0!</v>
      </c>
      <c r="FM251" t="e">
        <f t="shared" si="427"/>
        <v>#DIV/0!</v>
      </c>
      <c r="FN251" s="8" t="e">
        <f t="shared" si="428"/>
        <v>#DIV/0!</v>
      </c>
      <c r="FO251" s="8" t="e">
        <f t="shared" si="429"/>
        <v>#DIV/0!</v>
      </c>
      <c r="FP251" s="81" t="e">
        <f t="shared" si="430"/>
        <v>#DIV/0!</v>
      </c>
      <c r="FQ251" s="74" t="e">
        <f t="shared" ca="1" si="333"/>
        <v>#N/A</v>
      </c>
      <c r="FR251" s="82" t="e" vm="3">
        <f t="shared" ca="1" si="339"/>
        <v>#VALUE!</v>
      </c>
      <c r="FS251" s="7" t="e" vm="3">
        <f t="shared" ca="1" si="334"/>
        <v>#VALUE!</v>
      </c>
      <c r="FT251" t="e" vm="3">
        <f t="shared" ca="1" si="328"/>
        <v>#VALUE!</v>
      </c>
      <c r="FU251" s="8" t="e" vm="3">
        <f t="shared" ca="1" si="329"/>
        <v>#VALUE!</v>
      </c>
      <c r="FV251" s="8" t="e" vm="3">
        <f t="shared" ca="1" si="330"/>
        <v>#VALUE!</v>
      </c>
      <c r="FW251" s="81" t="e" vm="3">
        <f t="shared" ca="1" si="331"/>
        <v>#VALUE!</v>
      </c>
      <c r="FX251" s="74" t="e">
        <f t="shared" si="335"/>
        <v>#N/A</v>
      </c>
      <c r="FY251" s="82" t="e">
        <f t="shared" si="340"/>
        <v>#N/A</v>
      </c>
      <c r="FZ251" s="7" t="e">
        <f t="shared" si="336"/>
        <v>#N/A</v>
      </c>
      <c r="GA251" t="e">
        <f t="shared" si="341"/>
        <v>#N/A</v>
      </c>
      <c r="GB251" s="8" t="e">
        <f t="shared" si="342"/>
        <v>#N/A</v>
      </c>
      <c r="GC251" s="8" t="e">
        <f t="shared" si="343"/>
        <v>#N/A</v>
      </c>
      <c r="GD251" s="81" t="e">
        <f t="shared" si="344"/>
        <v>#N/A</v>
      </c>
      <c r="GE251" s="74" t="e">
        <f t="shared" si="345"/>
        <v>#N/A</v>
      </c>
      <c r="GF251" s="82" t="e">
        <f t="shared" si="346"/>
        <v>#N/A</v>
      </c>
      <c r="GG251" s="7" t="e">
        <f t="shared" si="337"/>
        <v>#N/A</v>
      </c>
      <c r="GH251" t="e">
        <f t="shared" si="347"/>
        <v>#N/A</v>
      </c>
      <c r="GI251" s="8" t="e">
        <f t="shared" si="348"/>
        <v>#N/A</v>
      </c>
      <c r="GJ251" s="8" t="e">
        <f t="shared" si="349"/>
        <v>#N/A</v>
      </c>
      <c r="GK251" s="81" t="e">
        <f t="shared" si="350"/>
        <v>#N/A</v>
      </c>
      <c r="GL251" s="81"/>
      <c r="GM251" s="81"/>
      <c r="GP251" s="32">
        <f t="shared" si="395"/>
        <v>241</v>
      </c>
      <c r="GQ251" s="32">
        <f t="shared" si="396"/>
        <v>242</v>
      </c>
      <c r="GR251" s="32">
        <f t="shared" si="397"/>
        <v>2.6829923898511243</v>
      </c>
      <c r="GS251" s="32">
        <f t="shared" si="398"/>
        <v>1.0909049386925553E-2</v>
      </c>
      <c r="GT251" s="32" t="e">
        <f t="shared" si="399"/>
        <v>#N/A</v>
      </c>
      <c r="GU251" s="32" t="e">
        <f t="shared" si="400"/>
        <v>#N/A</v>
      </c>
      <c r="GV251" s="32" t="e">
        <f t="shared" si="401"/>
        <v>#N/A</v>
      </c>
      <c r="GW251" s="32" t="b">
        <f t="shared" si="402"/>
        <v>0</v>
      </c>
      <c r="GX251" s="32" t="b">
        <f t="shared" si="403"/>
        <v>1</v>
      </c>
      <c r="GY251" s="32" t="b">
        <f t="shared" si="404"/>
        <v>1</v>
      </c>
      <c r="GZ251" s="32" t="b">
        <f t="shared" si="405"/>
        <v>0</v>
      </c>
      <c r="HA251" s="32">
        <f t="shared" si="406"/>
        <v>1.0909049386925553E-2</v>
      </c>
      <c r="HB251" s="32">
        <f t="shared" si="407"/>
        <v>1.0909049386925553E-2</v>
      </c>
      <c r="HC251" s="32" t="e">
        <f t="shared" si="408"/>
        <v>#N/A</v>
      </c>
      <c r="HD251" s="45" t="str">
        <f t="shared" si="409"/>
        <v/>
      </c>
      <c r="HJ251" s="32">
        <f t="shared" si="410"/>
        <v>241</v>
      </c>
      <c r="HK251" s="32">
        <f t="shared" si="411"/>
        <v>242</v>
      </c>
      <c r="HL251" s="32">
        <f t="shared" si="412"/>
        <v>4.1546700651743667</v>
      </c>
      <c r="HM251" s="32" t="e">
        <f t="shared" si="413"/>
        <v>#N/A</v>
      </c>
      <c r="HN251" s="32">
        <f t="shared" si="414"/>
        <v>2.6680143770795384E-3</v>
      </c>
      <c r="HO251" s="32" t="e">
        <f t="shared" si="415"/>
        <v>#N/A</v>
      </c>
      <c r="HP251" s="32" t="e">
        <f t="shared" si="416"/>
        <v>#N/A</v>
      </c>
      <c r="HQ251" s="32" t="b">
        <f t="shared" si="417"/>
        <v>0</v>
      </c>
      <c r="HR251" s="32" t="b">
        <f t="shared" si="418"/>
        <v>1</v>
      </c>
      <c r="HS251" s="32" t="b">
        <f t="shared" si="419"/>
        <v>1</v>
      </c>
      <c r="HT251" s="32" t="b">
        <f t="shared" si="420"/>
        <v>0</v>
      </c>
      <c r="HU251" s="32">
        <f t="shared" si="421"/>
        <v>2.6680143770795384E-3</v>
      </c>
      <c r="HV251" s="32" t="e">
        <f t="shared" si="422"/>
        <v>#N/A</v>
      </c>
      <c r="HW251" s="32">
        <f t="shared" si="423"/>
        <v>2.6680143770795384E-3</v>
      </c>
      <c r="HX251" s="45" t="str">
        <f t="shared" si="424"/>
        <v/>
      </c>
    </row>
    <row r="252" spans="78:232" x14ac:dyDescent="0.2">
      <c r="BZ252" s="32">
        <f t="shared" si="351"/>
        <v>242</v>
      </c>
      <c r="CA252" s="32">
        <f>Eu_tabel_g[[#This Row],[Indeks]]+1</f>
        <v>243</v>
      </c>
      <c r="CB252" s="32">
        <f t="shared" si="352"/>
        <v>2.7069476790462241</v>
      </c>
      <c r="CC252" s="32">
        <f t="shared" si="353"/>
        <v>1.0227026543258957E-2</v>
      </c>
      <c r="CD252" s="32" t="e">
        <f t="shared" si="354"/>
        <v>#N/A</v>
      </c>
      <c r="CE252" s="32" t="e">
        <f t="shared" si="355"/>
        <v>#N/A</v>
      </c>
      <c r="CF252" s="32" t="e">
        <f t="shared" si="356"/>
        <v>#N/A</v>
      </c>
      <c r="CG252" s="32" t="b">
        <f t="shared" si="357"/>
        <v>0</v>
      </c>
      <c r="CH252" s="32" t="b">
        <f t="shared" si="358"/>
        <v>1</v>
      </c>
      <c r="CI252" s="32" t="b">
        <f t="shared" si="359"/>
        <v>1</v>
      </c>
      <c r="CJ252" s="32" t="b">
        <f t="shared" si="360"/>
        <v>0</v>
      </c>
      <c r="CK252" s="32">
        <f t="shared" si="425"/>
        <v>1.0227026543258957E-2</v>
      </c>
      <c r="CL252" s="32">
        <f t="shared" si="361"/>
        <v>1.0227026543258957E-2</v>
      </c>
      <c r="CM252" s="32" t="e">
        <f t="shared" si="362"/>
        <v>#N/A</v>
      </c>
      <c r="CN252" s="45" t="str">
        <f t="shared" si="363"/>
        <v/>
      </c>
      <c r="CO252" s="32">
        <f>_xlfn.NORM.DIST(_xlfn.NORM.INV(1-Eu_g_konfidensniveau,0,1)-Eu_tabel_g[[#This Row],[x base]],0,1,TRUE)</f>
        <v>6.7511800519646735E-6</v>
      </c>
      <c r="CP252" s="32">
        <f>1-_xlfn.NORM.DIST(_xlfn.NORM.INV(Eu_g_konfidensniveau,0,1)-Eu_tabel_g[[#This Row],[x base]],0,1,TRUE)</f>
        <v>0.85590350498249024</v>
      </c>
      <c r="CQ252" s="32">
        <f>_xlfn.NORM.DIST(_xlfn.NORM.INV((1-Eu_g_konfidensniveau)/2,0,1)-Eu_tabel_g[[#This Row],[x base]],0,1,TRUE)+1-_xlfn.NORM.DIST(_xlfn.NORM.INV(1-(1-Eu_g_konfidensniveau)/2,0,1)-Eu_tabel_g[[#This Row],[x base]],0,1,TRUE)</f>
        <v>0.77246482712333397</v>
      </c>
      <c r="CR252" s="32" t="e" cm="1">
        <f t="array" ref="CR252">IF($CR$3,INDEX(Eu_tabel_g[[#This Row],[Styrke venstre]:[Styrke tosidet]],CR$7),NA())</f>
        <v>#N/A</v>
      </c>
      <c r="CS252" s="52" t="e">
        <f>Eu_tabel_g[[#This Row],[Falsk positiv
Nulhypotese accepteres
Fejltype 1]]</f>
        <v>#N/A</v>
      </c>
      <c r="CT252" s="52" t="e">
        <f>IF(CHOOSE(CR$7,Eu_tabel_g[[#This Row],[x base]]&gt;0,Eu_tabel_g[[#This Row],[x base]]&lt;0,Eu_tabel_g[[#This Row],[x base]]=0),Eu_tabel_g[[#This Row],[Styrke, aktiv]],NA())</f>
        <v>#N/A</v>
      </c>
      <c r="CU252" s="52" t="e">
        <f>IFERROR(IF($CR$3,Eu_tabel_g[[#This Row],[Styrke, aktiv]],NA()),NA())</f>
        <v>#N/A</v>
      </c>
      <c r="CV252" s="52" t="e">
        <f>IF(ISNA(Eu_tabel_g[[#This Row],[Sand negativ
Nulhypotese afvises
Korrekt]]),NA(),IF($CR$3,1,NA()))</f>
        <v>#N/A</v>
      </c>
      <c r="CW252" s="34" t="str" cm="1">
        <f t="array" ref="CW252">_xlfn.SWITCH(BZ252,_xlfn.IFNA(CU$2,-99),CU$5,_xlfn.IFNA(CU$3,-99),CU$6,_xlfn.IFNA(CU$4,-99),CU$7,"")</f>
        <v/>
      </c>
      <c r="DA252" s="7">
        <f t="shared" si="364"/>
        <v>0.8</v>
      </c>
      <c r="DB252">
        <f>IF(ROW(Styrkeberegning_G[[#This Row],[X base venstre]])=ROW(Styrkeberegning_G[[#Headers],[X base venstre]])+1,DB$7/(DA$7/$B$67),DB251/(DA251/$B$67))</f>
        <v>-2.8015817870135784</v>
      </c>
      <c r="DC252">
        <f>Styrkeberegning_G[[#This Row],[X base venstre]]*-1</f>
        <v>2.8015817870135784</v>
      </c>
      <c r="DN252" s="32">
        <f t="shared" si="365"/>
        <v>242</v>
      </c>
      <c r="DO252" s="32">
        <f t="shared" si="366"/>
        <v>243</v>
      </c>
      <c r="DP252" s="32">
        <f t="shared" si="367"/>
        <v>29.438999917567934</v>
      </c>
      <c r="DQ252" s="32" t="e">
        <f t="shared" si="368"/>
        <v>#N/A</v>
      </c>
      <c r="DR252" s="32" t="e">
        <f t="shared" si="369"/>
        <v>#N/A</v>
      </c>
      <c r="DS252" s="32">
        <f t="shared" si="370"/>
        <v>6.966816703159669E-4</v>
      </c>
      <c r="DT252" s="32" t="e">
        <f t="shared" si="371"/>
        <v>#N/A</v>
      </c>
      <c r="DU252" s="32" t="b">
        <f t="shared" si="372"/>
        <v>0</v>
      </c>
      <c r="DV252" s="32" t="b">
        <f t="shared" si="373"/>
        <v>1</v>
      </c>
      <c r="DW252" s="32" t="b">
        <f t="shared" si="374"/>
        <v>1</v>
      </c>
      <c r="DX252" s="32" t="b">
        <f t="shared" si="375"/>
        <v>0</v>
      </c>
      <c r="DY252" s="32">
        <f t="shared" si="376"/>
        <v>6.966816703159669E-4</v>
      </c>
      <c r="DZ252" s="32">
        <f t="shared" si="377"/>
        <v>6.966816703159669E-4</v>
      </c>
      <c r="EA252" s="32" t="e">
        <f t="shared" si="378"/>
        <v>#N/A</v>
      </c>
      <c r="EB252" s="45" t="str">
        <f t="shared" si="379"/>
        <v/>
      </c>
      <c r="EG252" s="32">
        <f t="shared" si="380"/>
        <v>242</v>
      </c>
      <c r="EH252" s="32">
        <f t="shared" si="381"/>
        <v>243</v>
      </c>
      <c r="EI252" s="32">
        <f t="shared" si="382"/>
        <v>2.7069476790462241</v>
      </c>
      <c r="EJ252" s="32">
        <f t="shared" si="383"/>
        <v>1.0227026543258957E-2</v>
      </c>
      <c r="EK252" s="32" t="e">
        <f t="shared" si="384"/>
        <v>#N/A</v>
      </c>
      <c r="EL252" s="32" t="e">
        <f t="shared" si="385"/>
        <v>#N/A</v>
      </c>
      <c r="EM252" s="32" t="e">
        <f t="shared" si="386"/>
        <v>#N/A</v>
      </c>
      <c r="EN252" s="32" t="b">
        <f t="shared" si="387"/>
        <v>0</v>
      </c>
      <c r="EO252" s="32" t="b">
        <f t="shared" si="388"/>
        <v>1</v>
      </c>
      <c r="EP252" s="32" t="b">
        <f t="shared" si="389"/>
        <v>1</v>
      </c>
      <c r="EQ252" s="32" t="b">
        <f t="shared" si="390"/>
        <v>0</v>
      </c>
      <c r="ER252" s="32">
        <f t="shared" si="391"/>
        <v>1.0227026543258957E-2</v>
      </c>
      <c r="ES252" s="32">
        <f t="shared" si="392"/>
        <v>1.0227026543258957E-2</v>
      </c>
      <c r="ET252" s="32" t="e">
        <f t="shared" si="393"/>
        <v>#N/A</v>
      </c>
      <c r="EU252" s="45" t="str">
        <f t="shared" si="394"/>
        <v/>
      </c>
      <c r="EV25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2" s="32" t="e" cm="1">
        <f t="array" ref="EY252">IF($CR$3,INDEX(Eu_tabel_a[[#This Row],[Styrke venstre]:[Styrke tosidet]],EY$7),NA())</f>
        <v>#N/A</v>
      </c>
      <c r="EZ252" s="32" t="e">
        <f>IF(EY$3,IF(CHOOSE(EY$7,Eu_tabel_a[[#This Row],[x base]]&gt;0,Eu_tabel_a[[#This Row],[x base]]&lt;0,Eu_tabel_a[[#This Row],[x base]]=0),1,NA()),NA())</f>
        <v>#N/A</v>
      </c>
      <c r="FA252" s="32" t="e">
        <f>IF(CHOOSE(EY$7,Eu_tabel_a[[#This Row],[x base]]&gt;0,Eu_tabel_a[[#This Row],[x base]]&lt;0,Eu_tabel_a[[#This Row],[x base]]=0),Eu_tabel_a[[#This Row],[Styrke, aktiv]],NA())</f>
        <v>#N/A</v>
      </c>
      <c r="FB252" s="32" t="e">
        <f>IFERROR(IF($EY$3,Eu_tabel_a[[#This Row],[Styrke, aktiv]],NA()),NA())</f>
        <v>#N/A</v>
      </c>
      <c r="FC252" s="32" t="e">
        <f>IF(ISNA(Eu_tabel_a[[#This Row],[Sand negativ
Nulhypotese afvises
Korrekt]]),NA(),IF(EY$3,1,NA()))</f>
        <v>#N/A</v>
      </c>
      <c r="FD252" s="33" t="str" cm="1">
        <f t="array" ref="FD252">IFERROR(_xlfn.SWITCH(Eu_tabel_a[[#This Row],[Indeks]],_xlfn.IFNA(FB$2,-99),FB$5,_xlfn.IFNA(FB$3,-99),FB$6,_xlfn.IFNA(FB$4,-99),FB$7,""),"")</f>
        <v/>
      </c>
      <c r="FE252" s="32">
        <f>Eu_tabel_a[[#This Row],[x base]]*SQRT(Eu_a_h0_x*(1-Eu_a_h0_x)/Eu_a_n_x)+Eu_a_h0_x</f>
        <v>0</v>
      </c>
      <c r="FJ252" s="74" t="e">
        <f t="shared" si="338"/>
        <v>#N/A</v>
      </c>
      <c r="FK252" s="82" t="e">
        <f t="shared" si="426"/>
        <v>#DIV/0!</v>
      </c>
      <c r="FL252" s="7" t="e">
        <f t="shared" si="332"/>
        <v>#DIV/0!</v>
      </c>
      <c r="FM252" t="e">
        <f t="shared" si="427"/>
        <v>#DIV/0!</v>
      </c>
      <c r="FN252" s="8" t="e">
        <f t="shared" si="428"/>
        <v>#DIV/0!</v>
      </c>
      <c r="FO252" s="8" t="e">
        <f t="shared" si="429"/>
        <v>#DIV/0!</v>
      </c>
      <c r="FP252" s="81" t="e">
        <f t="shared" si="430"/>
        <v>#DIV/0!</v>
      </c>
      <c r="FQ252" s="74" t="e">
        <f t="shared" ca="1" si="333"/>
        <v>#N/A</v>
      </c>
      <c r="FR252" s="82" t="e" vm="3">
        <f t="shared" ca="1" si="339"/>
        <v>#VALUE!</v>
      </c>
      <c r="FS252" s="7" t="e" vm="3">
        <f t="shared" ca="1" si="334"/>
        <v>#VALUE!</v>
      </c>
      <c r="FT252" t="e" vm="3">
        <f t="shared" ca="1" si="328"/>
        <v>#VALUE!</v>
      </c>
      <c r="FU252" s="8" t="e" vm="3">
        <f t="shared" ca="1" si="329"/>
        <v>#VALUE!</v>
      </c>
      <c r="FV252" s="8" t="e" vm="3">
        <f t="shared" ca="1" si="330"/>
        <v>#VALUE!</v>
      </c>
      <c r="FW252" s="81" t="e" vm="3">
        <f t="shared" ca="1" si="331"/>
        <v>#VALUE!</v>
      </c>
      <c r="FX252" s="74" t="e">
        <f t="shared" si="335"/>
        <v>#N/A</v>
      </c>
      <c r="FY252" s="82" t="e">
        <f t="shared" si="340"/>
        <v>#N/A</v>
      </c>
      <c r="FZ252" s="7" t="e">
        <f t="shared" si="336"/>
        <v>#N/A</v>
      </c>
      <c r="GA252" t="e">
        <f t="shared" si="341"/>
        <v>#N/A</v>
      </c>
      <c r="GB252" s="8" t="e">
        <f t="shared" si="342"/>
        <v>#N/A</v>
      </c>
      <c r="GC252" s="8" t="e">
        <f t="shared" si="343"/>
        <v>#N/A</v>
      </c>
      <c r="GD252" s="81" t="e">
        <f t="shared" si="344"/>
        <v>#N/A</v>
      </c>
      <c r="GE252" s="74" t="e">
        <f t="shared" si="345"/>
        <v>#N/A</v>
      </c>
      <c r="GF252" s="82" t="e">
        <f t="shared" si="346"/>
        <v>#N/A</v>
      </c>
      <c r="GG252" s="7" t="e">
        <f t="shared" si="337"/>
        <v>#N/A</v>
      </c>
      <c r="GH252" t="e">
        <f t="shared" si="347"/>
        <v>#N/A</v>
      </c>
      <c r="GI252" s="8" t="e">
        <f t="shared" si="348"/>
        <v>#N/A</v>
      </c>
      <c r="GJ252" s="8" t="e">
        <f t="shared" si="349"/>
        <v>#N/A</v>
      </c>
      <c r="GK252" s="81" t="e">
        <f t="shared" si="350"/>
        <v>#N/A</v>
      </c>
      <c r="GL252" s="81"/>
      <c r="GM252" s="81"/>
      <c r="GP252" s="32">
        <f t="shared" si="395"/>
        <v>242</v>
      </c>
      <c r="GQ252" s="32">
        <f t="shared" si="396"/>
        <v>243</v>
      </c>
      <c r="GR252" s="32">
        <f t="shared" si="397"/>
        <v>2.7069476790462241</v>
      </c>
      <c r="GS252" s="32">
        <f t="shared" si="398"/>
        <v>1.0227026543258957E-2</v>
      </c>
      <c r="GT252" s="32" t="e">
        <f t="shared" si="399"/>
        <v>#N/A</v>
      </c>
      <c r="GU252" s="32" t="e">
        <f t="shared" si="400"/>
        <v>#N/A</v>
      </c>
      <c r="GV252" s="32" t="e">
        <f t="shared" si="401"/>
        <v>#N/A</v>
      </c>
      <c r="GW252" s="32" t="b">
        <f t="shared" si="402"/>
        <v>0</v>
      </c>
      <c r="GX252" s="32" t="b">
        <f t="shared" si="403"/>
        <v>1</v>
      </c>
      <c r="GY252" s="32" t="b">
        <f t="shared" si="404"/>
        <v>1</v>
      </c>
      <c r="GZ252" s="32" t="b">
        <f t="shared" si="405"/>
        <v>0</v>
      </c>
      <c r="HA252" s="32">
        <f t="shared" si="406"/>
        <v>1.0227026543258957E-2</v>
      </c>
      <c r="HB252" s="32">
        <f t="shared" si="407"/>
        <v>1.0227026543258957E-2</v>
      </c>
      <c r="HC252" s="32" t="e">
        <f t="shared" si="408"/>
        <v>#N/A</v>
      </c>
      <c r="HD252" s="45" t="str">
        <f t="shared" si="409"/>
        <v/>
      </c>
      <c r="HJ252" s="32">
        <f t="shared" si="410"/>
        <v>242</v>
      </c>
      <c r="HK252" s="32">
        <f t="shared" si="411"/>
        <v>243</v>
      </c>
      <c r="HL252" s="32">
        <f t="shared" si="412"/>
        <v>4.1917653336134233</v>
      </c>
      <c r="HM252" s="32" t="e">
        <f t="shared" si="413"/>
        <v>#N/A</v>
      </c>
      <c r="HN252" s="32">
        <f t="shared" si="414"/>
        <v>2.5360582677923203E-3</v>
      </c>
      <c r="HO252" s="32" t="e">
        <f t="shared" si="415"/>
        <v>#N/A</v>
      </c>
      <c r="HP252" s="32" t="e">
        <f t="shared" si="416"/>
        <v>#N/A</v>
      </c>
      <c r="HQ252" s="32" t="b">
        <f t="shared" si="417"/>
        <v>0</v>
      </c>
      <c r="HR252" s="32" t="b">
        <f t="shared" si="418"/>
        <v>1</v>
      </c>
      <c r="HS252" s="32" t="b">
        <f t="shared" si="419"/>
        <v>1</v>
      </c>
      <c r="HT252" s="32" t="b">
        <f t="shared" si="420"/>
        <v>0</v>
      </c>
      <c r="HU252" s="32">
        <f t="shared" si="421"/>
        <v>2.5360582677923203E-3</v>
      </c>
      <c r="HV252" s="32" t="e">
        <f t="shared" si="422"/>
        <v>#N/A</v>
      </c>
      <c r="HW252" s="32">
        <f t="shared" si="423"/>
        <v>2.5360582677923203E-3</v>
      </c>
      <c r="HX252" s="45" t="str">
        <f t="shared" si="424"/>
        <v/>
      </c>
    </row>
    <row r="253" spans="78:232" x14ac:dyDescent="0.2">
      <c r="BZ253" s="32">
        <f t="shared" si="351"/>
        <v>243</v>
      </c>
      <c r="CA253" s="32">
        <f>Eu_tabel_g[[#This Row],[Indeks]]+1</f>
        <v>244</v>
      </c>
      <c r="CB253" s="32">
        <f t="shared" si="352"/>
        <v>2.7309029682413231</v>
      </c>
      <c r="CC253" s="32">
        <f t="shared" si="353"/>
        <v>9.582142737811215E-3</v>
      </c>
      <c r="CD253" s="32" t="e">
        <f t="shared" si="354"/>
        <v>#N/A</v>
      </c>
      <c r="CE253" s="32" t="e">
        <f t="shared" si="355"/>
        <v>#N/A</v>
      </c>
      <c r="CF253" s="32" t="e">
        <f t="shared" si="356"/>
        <v>#N/A</v>
      </c>
      <c r="CG253" s="32" t="b">
        <f t="shared" si="357"/>
        <v>0</v>
      </c>
      <c r="CH253" s="32" t="b">
        <f t="shared" si="358"/>
        <v>1</v>
      </c>
      <c r="CI253" s="32" t="b">
        <f t="shared" si="359"/>
        <v>1</v>
      </c>
      <c r="CJ253" s="32" t="b">
        <f t="shared" si="360"/>
        <v>0</v>
      </c>
      <c r="CK253" s="32">
        <f t="shared" si="425"/>
        <v>9.582142737811215E-3</v>
      </c>
      <c r="CL253" s="32">
        <f t="shared" si="361"/>
        <v>9.582142737811215E-3</v>
      </c>
      <c r="CM253" s="32" t="e">
        <f t="shared" si="362"/>
        <v>#N/A</v>
      </c>
      <c r="CN253" s="45" t="str">
        <f t="shared" si="363"/>
        <v/>
      </c>
      <c r="CO253" s="32">
        <f>_xlfn.NORM.DIST(_xlfn.NORM.INV(1-Eu_g_konfidensniveau,0,1)-Eu_tabel_g[[#This Row],[x base]],0,1,TRUE)</f>
        <v>6.0505996323154279E-6</v>
      </c>
      <c r="CP253" s="32">
        <f>1-_xlfn.NORM.DIST(_xlfn.NORM.INV(Eu_g_konfidensniveau,0,1)-Eu_tabel_g[[#This Row],[x base]],0,1,TRUE)</f>
        <v>0.86127141844000243</v>
      </c>
      <c r="CQ253" s="32">
        <f>_xlfn.NORM.DIST(_xlfn.NORM.INV((1-Eu_g_konfidensniveau)/2,0,1)-Eu_tabel_g[[#This Row],[x base]],0,1,TRUE)+1-_xlfn.NORM.DIST(_xlfn.NORM.INV(1-(1-Eu_g_konfidensniveau)/2,0,1)-Eu_tabel_g[[#This Row],[x base]],0,1,TRUE)</f>
        <v>0.77962981085140359</v>
      </c>
      <c r="CR253" s="32" t="e" cm="1">
        <f t="array" ref="CR253">IF($CR$3,INDEX(Eu_tabel_g[[#This Row],[Styrke venstre]:[Styrke tosidet]],CR$7),NA())</f>
        <v>#N/A</v>
      </c>
      <c r="CS253" s="52" t="e">
        <f>Eu_tabel_g[[#This Row],[Falsk positiv
Nulhypotese accepteres
Fejltype 1]]</f>
        <v>#N/A</v>
      </c>
      <c r="CT253" s="52" t="e">
        <f>IF(CHOOSE(CR$7,Eu_tabel_g[[#This Row],[x base]]&gt;0,Eu_tabel_g[[#This Row],[x base]]&lt;0,Eu_tabel_g[[#This Row],[x base]]=0),Eu_tabel_g[[#This Row],[Styrke, aktiv]],NA())</f>
        <v>#N/A</v>
      </c>
      <c r="CU253" s="52" t="e">
        <f>IFERROR(IF($CR$3,Eu_tabel_g[[#This Row],[Styrke, aktiv]],NA()),NA())</f>
        <v>#N/A</v>
      </c>
      <c r="CV253" s="52" t="e">
        <f>IF(ISNA(Eu_tabel_g[[#This Row],[Sand negativ
Nulhypotese afvises
Korrekt]]),NA(),IF($CR$3,1,NA()))</f>
        <v>#N/A</v>
      </c>
      <c r="CW253" s="34" t="str" cm="1">
        <f t="array" ref="CW253">_xlfn.SWITCH(BZ253,_xlfn.IFNA(CU$2,-99),CU$5,_xlfn.IFNA(CU$3,-99),CU$6,_xlfn.IFNA(CU$4,-99),CU$7,"")</f>
        <v/>
      </c>
      <c r="DA253" s="7">
        <f t="shared" si="364"/>
        <v>0.8</v>
      </c>
      <c r="DB253">
        <f>IF(ROW(Styrkeberegning_G[[#This Row],[X base venstre]])=ROW(Styrkeberegning_G[[#Headers],[X base venstre]])+1,DB$7/(DA$7/$B$67),DB252/(DA252/$B$67))</f>
        <v>-2.8015817870135784</v>
      </c>
      <c r="DC253">
        <f>Styrkeberegning_G[[#This Row],[X base venstre]]*-1</f>
        <v>2.8015817870135784</v>
      </c>
      <c r="DN253" s="32">
        <f t="shared" si="365"/>
        <v>243</v>
      </c>
      <c r="DO253" s="32">
        <f t="shared" si="366"/>
        <v>244</v>
      </c>
      <c r="DP253" s="32">
        <f t="shared" si="367"/>
        <v>29.553070773984935</v>
      </c>
      <c r="DQ253" s="32" t="e">
        <f t="shared" si="368"/>
        <v>#N/A</v>
      </c>
      <c r="DR253" s="32" t="e">
        <f t="shared" si="369"/>
        <v>#N/A</v>
      </c>
      <c r="DS253" s="32">
        <f t="shared" si="370"/>
        <v>6.696104757682301E-4</v>
      </c>
      <c r="DT253" s="32" t="e">
        <f t="shared" si="371"/>
        <v>#N/A</v>
      </c>
      <c r="DU253" s="32" t="b">
        <f t="shared" si="372"/>
        <v>0</v>
      </c>
      <c r="DV253" s="32" t="b">
        <f t="shared" si="373"/>
        <v>1</v>
      </c>
      <c r="DW253" s="32" t="b">
        <f t="shared" si="374"/>
        <v>1</v>
      </c>
      <c r="DX253" s="32" t="b">
        <f t="shared" si="375"/>
        <v>0</v>
      </c>
      <c r="DY253" s="32">
        <f t="shared" si="376"/>
        <v>6.696104757682301E-4</v>
      </c>
      <c r="DZ253" s="32">
        <f t="shared" si="377"/>
        <v>6.696104757682301E-4</v>
      </c>
      <c r="EA253" s="32" t="e">
        <f t="shared" si="378"/>
        <v>#N/A</v>
      </c>
      <c r="EB253" s="45" t="str">
        <f t="shared" si="379"/>
        <v/>
      </c>
      <c r="EG253" s="32">
        <f t="shared" si="380"/>
        <v>243</v>
      </c>
      <c r="EH253" s="32">
        <f t="shared" si="381"/>
        <v>244</v>
      </c>
      <c r="EI253" s="32">
        <f t="shared" si="382"/>
        <v>2.7309029682413231</v>
      </c>
      <c r="EJ253" s="32">
        <f t="shared" si="383"/>
        <v>9.582142737811215E-3</v>
      </c>
      <c r="EK253" s="32" t="e">
        <f t="shared" si="384"/>
        <v>#N/A</v>
      </c>
      <c r="EL253" s="32" t="e">
        <f t="shared" si="385"/>
        <v>#N/A</v>
      </c>
      <c r="EM253" s="32" t="e">
        <f t="shared" si="386"/>
        <v>#N/A</v>
      </c>
      <c r="EN253" s="32" t="b">
        <f t="shared" si="387"/>
        <v>0</v>
      </c>
      <c r="EO253" s="32" t="b">
        <f t="shared" si="388"/>
        <v>1</v>
      </c>
      <c r="EP253" s="32" t="b">
        <f t="shared" si="389"/>
        <v>1</v>
      </c>
      <c r="EQ253" s="32" t="b">
        <f t="shared" si="390"/>
        <v>0</v>
      </c>
      <c r="ER253" s="32">
        <f t="shared" si="391"/>
        <v>9.582142737811215E-3</v>
      </c>
      <c r="ES253" s="32">
        <f t="shared" si="392"/>
        <v>9.582142737811215E-3</v>
      </c>
      <c r="ET253" s="32" t="e">
        <f t="shared" si="393"/>
        <v>#N/A</v>
      </c>
      <c r="EU253" s="45" t="str">
        <f t="shared" si="394"/>
        <v/>
      </c>
      <c r="EV25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3" s="32" t="e" cm="1">
        <f t="array" ref="EY253">IF($CR$3,INDEX(Eu_tabel_a[[#This Row],[Styrke venstre]:[Styrke tosidet]],EY$7),NA())</f>
        <v>#N/A</v>
      </c>
      <c r="EZ253" s="32" t="e">
        <f>IF(EY$3,IF(CHOOSE(EY$7,Eu_tabel_a[[#This Row],[x base]]&gt;0,Eu_tabel_a[[#This Row],[x base]]&lt;0,Eu_tabel_a[[#This Row],[x base]]=0),1,NA()),NA())</f>
        <v>#N/A</v>
      </c>
      <c r="FA253" s="32" t="e">
        <f>IF(CHOOSE(EY$7,Eu_tabel_a[[#This Row],[x base]]&gt;0,Eu_tabel_a[[#This Row],[x base]]&lt;0,Eu_tabel_a[[#This Row],[x base]]=0),Eu_tabel_a[[#This Row],[Styrke, aktiv]],NA())</f>
        <v>#N/A</v>
      </c>
      <c r="FB253" s="32" t="e">
        <f>IFERROR(IF($EY$3,Eu_tabel_a[[#This Row],[Styrke, aktiv]],NA()),NA())</f>
        <v>#N/A</v>
      </c>
      <c r="FC253" s="32" t="e">
        <f>IF(ISNA(Eu_tabel_a[[#This Row],[Sand negativ
Nulhypotese afvises
Korrekt]]),NA(),IF(EY$3,1,NA()))</f>
        <v>#N/A</v>
      </c>
      <c r="FD253" s="33" t="str" cm="1">
        <f t="array" ref="FD253">IFERROR(_xlfn.SWITCH(Eu_tabel_a[[#This Row],[Indeks]],_xlfn.IFNA(FB$2,-99),FB$5,_xlfn.IFNA(FB$3,-99),FB$6,_xlfn.IFNA(FB$4,-99),FB$7,""),"")</f>
        <v/>
      </c>
      <c r="FE253" s="32">
        <f>Eu_tabel_a[[#This Row],[x base]]*SQRT(Eu_a_h0_x*(1-Eu_a_h0_x)/Eu_a_n_x)+Eu_a_h0_x</f>
        <v>0</v>
      </c>
      <c r="FJ253" s="74" t="e">
        <f t="shared" si="338"/>
        <v>#N/A</v>
      </c>
      <c r="FK253" s="82" t="e">
        <f t="shared" si="426"/>
        <v>#DIV/0!</v>
      </c>
      <c r="FL253" s="7" t="e">
        <f t="shared" si="332"/>
        <v>#DIV/0!</v>
      </c>
      <c r="FM253" t="e">
        <f t="shared" si="427"/>
        <v>#DIV/0!</v>
      </c>
      <c r="FN253" s="8" t="e">
        <f t="shared" si="428"/>
        <v>#DIV/0!</v>
      </c>
      <c r="FO253" s="8" t="e">
        <f t="shared" si="429"/>
        <v>#DIV/0!</v>
      </c>
      <c r="FP253" s="81" t="e">
        <f t="shared" si="430"/>
        <v>#DIV/0!</v>
      </c>
      <c r="FQ253" s="74" t="e">
        <f t="shared" ca="1" si="333"/>
        <v>#N/A</v>
      </c>
      <c r="FR253" s="82" t="e" vm="3">
        <f t="shared" ca="1" si="339"/>
        <v>#VALUE!</v>
      </c>
      <c r="FS253" s="7" t="e" vm="3">
        <f t="shared" ca="1" si="334"/>
        <v>#VALUE!</v>
      </c>
      <c r="FT253" t="e" vm="3">
        <f t="shared" ca="1" si="328"/>
        <v>#VALUE!</v>
      </c>
      <c r="FU253" s="8" t="e" vm="3">
        <f t="shared" ca="1" si="329"/>
        <v>#VALUE!</v>
      </c>
      <c r="FV253" s="8" t="e" vm="3">
        <f t="shared" ca="1" si="330"/>
        <v>#VALUE!</v>
      </c>
      <c r="FW253" s="81" t="e" vm="3">
        <f t="shared" ca="1" si="331"/>
        <v>#VALUE!</v>
      </c>
      <c r="FX253" s="74" t="e">
        <f t="shared" si="335"/>
        <v>#N/A</v>
      </c>
      <c r="FY253" s="82" t="e">
        <f t="shared" si="340"/>
        <v>#N/A</v>
      </c>
      <c r="FZ253" s="7" t="e">
        <f t="shared" si="336"/>
        <v>#N/A</v>
      </c>
      <c r="GA253" t="e">
        <f t="shared" si="341"/>
        <v>#N/A</v>
      </c>
      <c r="GB253" s="8" t="e">
        <f t="shared" si="342"/>
        <v>#N/A</v>
      </c>
      <c r="GC253" s="8" t="e">
        <f t="shared" si="343"/>
        <v>#N/A</v>
      </c>
      <c r="GD253" s="81" t="e">
        <f t="shared" si="344"/>
        <v>#N/A</v>
      </c>
      <c r="GE253" s="74" t="e">
        <f t="shared" si="345"/>
        <v>#N/A</v>
      </c>
      <c r="GF253" s="82" t="e">
        <f t="shared" si="346"/>
        <v>#N/A</v>
      </c>
      <c r="GG253" s="7" t="e">
        <f t="shared" si="337"/>
        <v>#N/A</v>
      </c>
      <c r="GH253" t="e">
        <f t="shared" si="347"/>
        <v>#N/A</v>
      </c>
      <c r="GI253" s="8" t="e">
        <f t="shared" si="348"/>
        <v>#N/A</v>
      </c>
      <c r="GJ253" s="8" t="e">
        <f t="shared" si="349"/>
        <v>#N/A</v>
      </c>
      <c r="GK253" s="81" t="e">
        <f t="shared" si="350"/>
        <v>#N/A</v>
      </c>
      <c r="GL253" s="81"/>
      <c r="GM253" s="81"/>
      <c r="GP253" s="32">
        <f t="shared" si="395"/>
        <v>243</v>
      </c>
      <c r="GQ253" s="32">
        <f t="shared" si="396"/>
        <v>244</v>
      </c>
      <c r="GR253" s="32">
        <f t="shared" si="397"/>
        <v>2.7309029682413231</v>
      </c>
      <c r="GS253" s="32">
        <f t="shared" si="398"/>
        <v>9.582142737811215E-3</v>
      </c>
      <c r="GT253" s="32" t="e">
        <f t="shared" si="399"/>
        <v>#N/A</v>
      </c>
      <c r="GU253" s="32" t="e">
        <f t="shared" si="400"/>
        <v>#N/A</v>
      </c>
      <c r="GV253" s="32" t="e">
        <f t="shared" si="401"/>
        <v>#N/A</v>
      </c>
      <c r="GW253" s="32" t="b">
        <f t="shared" si="402"/>
        <v>0</v>
      </c>
      <c r="GX253" s="32" t="b">
        <f t="shared" si="403"/>
        <v>1</v>
      </c>
      <c r="GY253" s="32" t="b">
        <f t="shared" si="404"/>
        <v>1</v>
      </c>
      <c r="GZ253" s="32" t="b">
        <f t="shared" si="405"/>
        <v>0</v>
      </c>
      <c r="HA253" s="32">
        <f t="shared" si="406"/>
        <v>9.582142737811215E-3</v>
      </c>
      <c r="HB253" s="32">
        <f t="shared" si="407"/>
        <v>9.582142737811215E-3</v>
      </c>
      <c r="HC253" s="32" t="e">
        <f t="shared" si="408"/>
        <v>#N/A</v>
      </c>
      <c r="HD253" s="45" t="str">
        <f t="shared" si="409"/>
        <v/>
      </c>
      <c r="HJ253" s="32">
        <f t="shared" si="410"/>
        <v>243</v>
      </c>
      <c r="HK253" s="32">
        <f t="shared" si="411"/>
        <v>244</v>
      </c>
      <c r="HL253" s="32">
        <f t="shared" si="412"/>
        <v>4.2288606020524799</v>
      </c>
      <c r="HM253" s="32" t="e">
        <f t="shared" si="413"/>
        <v>#N/A</v>
      </c>
      <c r="HN253" s="32">
        <f t="shared" si="414"/>
        <v>2.4110931926843594E-3</v>
      </c>
      <c r="HO253" s="32" t="e">
        <f t="shared" si="415"/>
        <v>#N/A</v>
      </c>
      <c r="HP253" s="32" t="e">
        <f t="shared" si="416"/>
        <v>#N/A</v>
      </c>
      <c r="HQ253" s="32" t="b">
        <f t="shared" si="417"/>
        <v>0</v>
      </c>
      <c r="HR253" s="32" t="b">
        <f t="shared" si="418"/>
        <v>1</v>
      </c>
      <c r="HS253" s="32" t="b">
        <f t="shared" si="419"/>
        <v>1</v>
      </c>
      <c r="HT253" s="32" t="b">
        <f t="shared" si="420"/>
        <v>0</v>
      </c>
      <c r="HU253" s="32">
        <f t="shared" si="421"/>
        <v>2.4110931926843594E-3</v>
      </c>
      <c r="HV253" s="32" t="e">
        <f t="shared" si="422"/>
        <v>#N/A</v>
      </c>
      <c r="HW253" s="32">
        <f t="shared" si="423"/>
        <v>2.4110931926843594E-3</v>
      </c>
      <c r="HX253" s="45" t="str">
        <f t="shared" si="424"/>
        <v/>
      </c>
    </row>
    <row r="254" spans="78:232" x14ac:dyDescent="0.2">
      <c r="BZ254" s="32">
        <f t="shared" si="351"/>
        <v>244</v>
      </c>
      <c r="CA254" s="32">
        <f>Eu_tabel_g[[#This Row],[Indeks]]+1</f>
        <v>245</v>
      </c>
      <c r="CB254" s="32">
        <f t="shared" si="352"/>
        <v>2.7548582574364229</v>
      </c>
      <c r="CC254" s="32">
        <f t="shared" si="353"/>
        <v>8.9727727004466386E-3</v>
      </c>
      <c r="CD254" s="32" t="e">
        <f t="shared" si="354"/>
        <v>#N/A</v>
      </c>
      <c r="CE254" s="32" t="e">
        <f t="shared" si="355"/>
        <v>#N/A</v>
      </c>
      <c r="CF254" s="32" t="e">
        <f t="shared" si="356"/>
        <v>#N/A</v>
      </c>
      <c r="CG254" s="32" t="b">
        <f t="shared" si="357"/>
        <v>0</v>
      </c>
      <c r="CH254" s="32" t="b">
        <f t="shared" si="358"/>
        <v>1</v>
      </c>
      <c r="CI254" s="32" t="b">
        <f t="shared" si="359"/>
        <v>1</v>
      </c>
      <c r="CJ254" s="32" t="b">
        <f t="shared" si="360"/>
        <v>0</v>
      </c>
      <c r="CK254" s="32">
        <f t="shared" ref="CK254:CK260" si="431">_xlfn.AGGREGATE(9,6,CC254:CF254)</f>
        <v>8.9727727004466386E-3</v>
      </c>
      <c r="CL254" s="32">
        <f t="shared" si="361"/>
        <v>8.9727727004466386E-3</v>
      </c>
      <c r="CM254" s="32" t="e">
        <f t="shared" si="362"/>
        <v>#N/A</v>
      </c>
      <c r="CN254" s="45" t="str">
        <f t="shared" si="363"/>
        <v/>
      </c>
      <c r="CO254" s="32">
        <f>_xlfn.NORM.DIST(_xlfn.NORM.INV(1-Eu_g_konfidensniveau,0,1)-Eu_tabel_g[[#This Row],[x base]],0,1,TRUE)</f>
        <v>5.4197347799901849E-6</v>
      </c>
      <c r="CP254" s="32">
        <f>1-_xlfn.NORM.DIST(_xlfn.NORM.INV(Eu_g_konfidensniveau,0,1)-Eu_tabel_g[[#This Row],[x base]],0,1,TRUE)</f>
        <v>0.8665014844304646</v>
      </c>
      <c r="CQ254" s="32">
        <f>_xlfn.NORM.DIST(_xlfn.NORM.INV((1-Eu_g_konfidensniveau)/2,0,1)-Eu_tabel_g[[#This Row],[x base]],0,1,TRUE)+1-_xlfn.NORM.DIST(_xlfn.NORM.INV(1-(1-Eu_g_konfidensniveau)/2,0,1)-Eu_tabel_g[[#This Row],[x base]],0,1,TRUE)</f>
        <v>0.78666370661837792</v>
      </c>
      <c r="CR254" s="32" t="e" cm="1">
        <f t="array" ref="CR254">IF($CR$3,INDEX(Eu_tabel_g[[#This Row],[Styrke venstre]:[Styrke tosidet]],CR$7),NA())</f>
        <v>#N/A</v>
      </c>
      <c r="CS254" s="52" t="e">
        <f>Eu_tabel_g[[#This Row],[Falsk positiv
Nulhypotese accepteres
Fejltype 1]]</f>
        <v>#N/A</v>
      </c>
      <c r="CT254" s="52" t="e">
        <f>IF(CHOOSE(CR$7,Eu_tabel_g[[#This Row],[x base]]&gt;0,Eu_tabel_g[[#This Row],[x base]]&lt;0,Eu_tabel_g[[#This Row],[x base]]=0),Eu_tabel_g[[#This Row],[Styrke, aktiv]],NA())</f>
        <v>#N/A</v>
      </c>
      <c r="CU254" s="52" t="e">
        <f>IFERROR(IF($CR$3,Eu_tabel_g[[#This Row],[Styrke, aktiv]],NA()),NA())</f>
        <v>#N/A</v>
      </c>
      <c r="CV254" s="52" t="e">
        <f>IF(ISNA(Eu_tabel_g[[#This Row],[Sand negativ
Nulhypotese afvises
Korrekt]]),NA(),IF($CR$3,1,NA()))</f>
        <v>#N/A</v>
      </c>
      <c r="CW254" s="34" t="str" cm="1">
        <f t="array" ref="CW254">_xlfn.SWITCH(BZ254,_xlfn.IFNA(CU$2,-99),CU$5,_xlfn.IFNA(CU$3,-99),CU$6,_xlfn.IFNA(CU$4,-99),CU$7,"")</f>
        <v/>
      </c>
      <c r="DA254" s="7">
        <f t="shared" si="364"/>
        <v>0.8</v>
      </c>
      <c r="DB254">
        <f>IF(ROW(Styrkeberegning_G[[#This Row],[X base venstre]])=ROW(Styrkeberegning_G[[#Headers],[X base venstre]])+1,DB$7/(DA$7/$B$67),DB253/(DA253/$B$67))</f>
        <v>-2.8015817870135784</v>
      </c>
      <c r="DC254">
        <f>Styrkeberegning_G[[#This Row],[X base venstre]]*-1</f>
        <v>2.8015817870135784</v>
      </c>
      <c r="DN254" s="32">
        <f t="shared" si="365"/>
        <v>244</v>
      </c>
      <c r="DO254" s="32">
        <f t="shared" si="366"/>
        <v>245</v>
      </c>
      <c r="DP254" s="32">
        <f t="shared" si="367"/>
        <v>29.667141630401936</v>
      </c>
      <c r="DQ254" s="32" t="e">
        <f t="shared" si="368"/>
        <v>#N/A</v>
      </c>
      <c r="DR254" s="32" t="e">
        <f t="shared" si="369"/>
        <v>#N/A</v>
      </c>
      <c r="DS254" s="32">
        <f t="shared" si="370"/>
        <v>6.4354804827147945E-4</v>
      </c>
      <c r="DT254" s="32" t="e">
        <f t="shared" si="371"/>
        <v>#N/A</v>
      </c>
      <c r="DU254" s="32" t="b">
        <f t="shared" si="372"/>
        <v>0</v>
      </c>
      <c r="DV254" s="32" t="b">
        <f t="shared" si="373"/>
        <v>1</v>
      </c>
      <c r="DW254" s="32" t="b">
        <f t="shared" si="374"/>
        <v>1</v>
      </c>
      <c r="DX254" s="32" t="b">
        <f t="shared" si="375"/>
        <v>0</v>
      </c>
      <c r="DY254" s="32">
        <f t="shared" si="376"/>
        <v>6.4354804827147945E-4</v>
      </c>
      <c r="DZ254" s="32">
        <f t="shared" si="377"/>
        <v>6.4354804827147945E-4</v>
      </c>
      <c r="EA254" s="32" t="e">
        <f t="shared" si="378"/>
        <v>#N/A</v>
      </c>
      <c r="EB254" s="45" t="str">
        <f t="shared" si="379"/>
        <v/>
      </c>
      <c r="EG254" s="32">
        <f t="shared" si="380"/>
        <v>244</v>
      </c>
      <c r="EH254" s="32">
        <f t="shared" si="381"/>
        <v>245</v>
      </c>
      <c r="EI254" s="32">
        <f t="shared" si="382"/>
        <v>2.7548582574364229</v>
      </c>
      <c r="EJ254" s="32">
        <f t="shared" si="383"/>
        <v>8.9727727004466386E-3</v>
      </c>
      <c r="EK254" s="32" t="e">
        <f t="shared" si="384"/>
        <v>#N/A</v>
      </c>
      <c r="EL254" s="32" t="e">
        <f t="shared" si="385"/>
        <v>#N/A</v>
      </c>
      <c r="EM254" s="32" t="e">
        <f t="shared" si="386"/>
        <v>#N/A</v>
      </c>
      <c r="EN254" s="32" t="b">
        <f t="shared" si="387"/>
        <v>0</v>
      </c>
      <c r="EO254" s="32" t="b">
        <f t="shared" si="388"/>
        <v>1</v>
      </c>
      <c r="EP254" s="32" t="b">
        <f t="shared" si="389"/>
        <v>1</v>
      </c>
      <c r="EQ254" s="32" t="b">
        <f t="shared" si="390"/>
        <v>0</v>
      </c>
      <c r="ER254" s="32">
        <f t="shared" si="391"/>
        <v>8.9727727004466386E-3</v>
      </c>
      <c r="ES254" s="32">
        <f t="shared" si="392"/>
        <v>8.9727727004466386E-3</v>
      </c>
      <c r="ET254" s="32" t="e">
        <f t="shared" si="393"/>
        <v>#N/A</v>
      </c>
      <c r="EU254" s="45" t="str">
        <f t="shared" si="394"/>
        <v/>
      </c>
      <c r="EV25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4" s="32" t="e" cm="1">
        <f t="array" ref="EY254">IF($CR$3,INDEX(Eu_tabel_a[[#This Row],[Styrke venstre]:[Styrke tosidet]],EY$7),NA())</f>
        <v>#N/A</v>
      </c>
      <c r="EZ254" s="32" t="e">
        <f>IF(EY$3,IF(CHOOSE(EY$7,Eu_tabel_a[[#This Row],[x base]]&gt;0,Eu_tabel_a[[#This Row],[x base]]&lt;0,Eu_tabel_a[[#This Row],[x base]]=0),1,NA()),NA())</f>
        <v>#N/A</v>
      </c>
      <c r="FA254" s="32" t="e">
        <f>IF(CHOOSE(EY$7,Eu_tabel_a[[#This Row],[x base]]&gt;0,Eu_tabel_a[[#This Row],[x base]]&lt;0,Eu_tabel_a[[#This Row],[x base]]=0),Eu_tabel_a[[#This Row],[Styrke, aktiv]],NA())</f>
        <v>#N/A</v>
      </c>
      <c r="FB254" s="32" t="e">
        <f>IFERROR(IF($EY$3,Eu_tabel_a[[#This Row],[Styrke, aktiv]],NA()),NA())</f>
        <v>#N/A</v>
      </c>
      <c r="FC254" s="32" t="e">
        <f>IF(ISNA(Eu_tabel_a[[#This Row],[Sand negativ
Nulhypotese afvises
Korrekt]]),NA(),IF(EY$3,1,NA()))</f>
        <v>#N/A</v>
      </c>
      <c r="FD254" s="33" t="str" cm="1">
        <f t="array" ref="FD254">IFERROR(_xlfn.SWITCH(Eu_tabel_a[[#This Row],[Indeks]],_xlfn.IFNA(FB$2,-99),FB$5,_xlfn.IFNA(FB$3,-99),FB$6,_xlfn.IFNA(FB$4,-99),FB$7,""),"")</f>
        <v/>
      </c>
      <c r="FE254" s="32">
        <f>Eu_tabel_a[[#This Row],[x base]]*SQRT(Eu_a_h0_x*(1-Eu_a_h0_x)/Eu_a_n_x)+Eu_a_h0_x</f>
        <v>0</v>
      </c>
      <c r="FJ254" s="74" t="e">
        <f t="shared" si="338"/>
        <v>#N/A</v>
      </c>
      <c r="FK254" s="82" t="e">
        <f t="shared" si="426"/>
        <v>#DIV/0!</v>
      </c>
      <c r="FL254" s="7" t="e">
        <f t="shared" si="332"/>
        <v>#DIV/0!</v>
      </c>
      <c r="FM254" t="e">
        <f t="shared" si="427"/>
        <v>#DIV/0!</v>
      </c>
      <c r="FN254" s="8" t="e">
        <f t="shared" si="428"/>
        <v>#DIV/0!</v>
      </c>
      <c r="FO254" s="8" t="e">
        <f t="shared" si="429"/>
        <v>#DIV/0!</v>
      </c>
      <c r="FP254" s="81" t="e">
        <f t="shared" si="430"/>
        <v>#DIV/0!</v>
      </c>
      <c r="FQ254" s="74" t="e">
        <f t="shared" ca="1" si="333"/>
        <v>#N/A</v>
      </c>
      <c r="FR254" s="82" t="e" vm="3">
        <f t="shared" ca="1" si="339"/>
        <v>#VALUE!</v>
      </c>
      <c r="FS254" s="7" t="e" vm="3">
        <f t="shared" ca="1" si="334"/>
        <v>#VALUE!</v>
      </c>
      <c r="FT254" t="e" vm="3">
        <f t="shared" ca="1" si="328"/>
        <v>#VALUE!</v>
      </c>
      <c r="FU254" s="8" t="e" vm="3">
        <f t="shared" ca="1" si="329"/>
        <v>#VALUE!</v>
      </c>
      <c r="FV254" s="8" t="e" vm="3">
        <f t="shared" ca="1" si="330"/>
        <v>#VALUE!</v>
      </c>
      <c r="FW254" s="81" t="e" vm="3">
        <f t="shared" ca="1" si="331"/>
        <v>#VALUE!</v>
      </c>
      <c r="FX254" s="74" t="e">
        <f t="shared" si="335"/>
        <v>#N/A</v>
      </c>
      <c r="FY254" s="82" t="e">
        <f t="shared" si="340"/>
        <v>#N/A</v>
      </c>
      <c r="FZ254" s="7" t="e">
        <f t="shared" si="336"/>
        <v>#N/A</v>
      </c>
      <c r="GA254" t="e">
        <f t="shared" si="341"/>
        <v>#N/A</v>
      </c>
      <c r="GB254" s="8" t="e">
        <f t="shared" si="342"/>
        <v>#N/A</v>
      </c>
      <c r="GC254" s="8" t="e">
        <f t="shared" si="343"/>
        <v>#N/A</v>
      </c>
      <c r="GD254" s="81" t="e">
        <f t="shared" si="344"/>
        <v>#N/A</v>
      </c>
      <c r="GE254" s="74" t="e">
        <f t="shared" si="345"/>
        <v>#N/A</v>
      </c>
      <c r="GF254" s="82" t="e">
        <f t="shared" si="346"/>
        <v>#N/A</v>
      </c>
      <c r="GG254" s="7" t="e">
        <f t="shared" si="337"/>
        <v>#N/A</v>
      </c>
      <c r="GH254" t="e">
        <f t="shared" si="347"/>
        <v>#N/A</v>
      </c>
      <c r="GI254" s="8" t="e">
        <f t="shared" si="348"/>
        <v>#N/A</v>
      </c>
      <c r="GJ254" s="8" t="e">
        <f t="shared" si="349"/>
        <v>#N/A</v>
      </c>
      <c r="GK254" s="81" t="e">
        <f t="shared" si="350"/>
        <v>#N/A</v>
      </c>
      <c r="GL254" s="81"/>
      <c r="GM254" s="81"/>
      <c r="GP254" s="32">
        <f t="shared" si="395"/>
        <v>244</v>
      </c>
      <c r="GQ254" s="32">
        <f t="shared" si="396"/>
        <v>245</v>
      </c>
      <c r="GR254" s="32">
        <f t="shared" si="397"/>
        <v>2.7548582574364229</v>
      </c>
      <c r="GS254" s="32">
        <f t="shared" si="398"/>
        <v>8.9727727004466386E-3</v>
      </c>
      <c r="GT254" s="32" t="e">
        <f t="shared" si="399"/>
        <v>#N/A</v>
      </c>
      <c r="GU254" s="32" t="e">
        <f t="shared" si="400"/>
        <v>#N/A</v>
      </c>
      <c r="GV254" s="32" t="e">
        <f t="shared" si="401"/>
        <v>#N/A</v>
      </c>
      <c r="GW254" s="32" t="b">
        <f t="shared" si="402"/>
        <v>0</v>
      </c>
      <c r="GX254" s="32" t="b">
        <f t="shared" si="403"/>
        <v>1</v>
      </c>
      <c r="GY254" s="32" t="b">
        <f t="shared" si="404"/>
        <v>1</v>
      </c>
      <c r="GZ254" s="32" t="b">
        <f t="shared" si="405"/>
        <v>0</v>
      </c>
      <c r="HA254" s="32">
        <f t="shared" si="406"/>
        <v>8.9727727004466386E-3</v>
      </c>
      <c r="HB254" s="32">
        <f t="shared" si="407"/>
        <v>8.9727727004466386E-3</v>
      </c>
      <c r="HC254" s="32" t="e">
        <f t="shared" si="408"/>
        <v>#N/A</v>
      </c>
      <c r="HD254" s="45" t="str">
        <f t="shared" si="409"/>
        <v/>
      </c>
      <c r="HJ254" s="32">
        <f t="shared" si="410"/>
        <v>244</v>
      </c>
      <c r="HK254" s="32">
        <f t="shared" si="411"/>
        <v>245</v>
      </c>
      <c r="HL254" s="32">
        <f t="shared" si="412"/>
        <v>4.2659558704915383</v>
      </c>
      <c r="HM254" s="32" t="e">
        <f t="shared" si="413"/>
        <v>#N/A</v>
      </c>
      <c r="HN254" s="32">
        <f t="shared" si="414"/>
        <v>2.2927293844818694E-3</v>
      </c>
      <c r="HO254" s="32" t="e">
        <f t="shared" si="415"/>
        <v>#N/A</v>
      </c>
      <c r="HP254" s="32" t="e">
        <f t="shared" si="416"/>
        <v>#N/A</v>
      </c>
      <c r="HQ254" s="32" t="b">
        <f t="shared" si="417"/>
        <v>0</v>
      </c>
      <c r="HR254" s="32" t="b">
        <f t="shared" si="418"/>
        <v>1</v>
      </c>
      <c r="HS254" s="32" t="b">
        <f t="shared" si="419"/>
        <v>1</v>
      </c>
      <c r="HT254" s="32" t="b">
        <f t="shared" si="420"/>
        <v>0</v>
      </c>
      <c r="HU254" s="32">
        <f t="shared" si="421"/>
        <v>2.2927293844818694E-3</v>
      </c>
      <c r="HV254" s="32" t="e">
        <f t="shared" si="422"/>
        <v>#N/A</v>
      </c>
      <c r="HW254" s="32">
        <f t="shared" si="423"/>
        <v>2.2927293844818694E-3</v>
      </c>
      <c r="HX254" s="45" t="str">
        <f t="shared" si="424"/>
        <v/>
      </c>
    </row>
    <row r="255" spans="78:232" x14ac:dyDescent="0.2">
      <c r="BZ255" s="32">
        <f t="shared" si="351"/>
        <v>245</v>
      </c>
      <c r="CA255" s="32">
        <f>Eu_tabel_g[[#This Row],[Indeks]]+1</f>
        <v>246</v>
      </c>
      <c r="CB255" s="32">
        <f t="shared" si="352"/>
        <v>2.7788135466315218</v>
      </c>
      <c r="CC255" s="32">
        <f t="shared" si="353"/>
        <v>8.3973349051078925E-3</v>
      </c>
      <c r="CD255" s="32" t="e">
        <f t="shared" si="354"/>
        <v>#N/A</v>
      </c>
      <c r="CE255" s="32" t="e">
        <f t="shared" si="355"/>
        <v>#N/A</v>
      </c>
      <c r="CF255" s="32" t="e">
        <f t="shared" si="356"/>
        <v>#N/A</v>
      </c>
      <c r="CG255" s="32" t="b">
        <f t="shared" si="357"/>
        <v>0</v>
      </c>
      <c r="CH255" s="32" t="b">
        <f t="shared" si="358"/>
        <v>1</v>
      </c>
      <c r="CI255" s="32" t="b">
        <f t="shared" si="359"/>
        <v>1</v>
      </c>
      <c r="CJ255" s="32" t="b">
        <f t="shared" si="360"/>
        <v>0</v>
      </c>
      <c r="CK255" s="32">
        <f t="shared" si="431"/>
        <v>8.3973349051078925E-3</v>
      </c>
      <c r="CL255" s="32">
        <f t="shared" si="361"/>
        <v>8.3973349051078925E-3</v>
      </c>
      <c r="CM255" s="32" t="e">
        <f t="shared" si="362"/>
        <v>#N/A</v>
      </c>
      <c r="CN255" s="45" t="str">
        <f t="shared" si="363"/>
        <v/>
      </c>
      <c r="CO255" s="32">
        <f>_xlfn.NORM.DIST(_xlfn.NORM.INV(1-Eu_g_konfidensniveau,0,1)-Eu_tabel_g[[#This Row],[x base]],0,1,TRUE)</f>
        <v>4.8519739091402132E-6</v>
      </c>
      <c r="CP255" s="32">
        <f>1-_xlfn.NORM.DIST(_xlfn.NORM.INV(Eu_g_konfidensniveau,0,1)-Eu_tabel_g[[#This Row],[x base]],0,1,TRUE)</f>
        <v>0.87159431961038669</v>
      </c>
      <c r="CQ255" s="32">
        <f>_xlfn.NORM.DIST(_xlfn.NORM.INV((1-Eu_g_konfidensniveau)/2,0,1)-Eu_tabel_g[[#This Row],[x base]],0,1,TRUE)+1-_xlfn.NORM.DIST(_xlfn.NORM.INV(1-(1-Eu_g_konfidensniveau)/2,0,1)-Eu_tabel_g[[#This Row],[x base]],0,1,TRUE)</f>
        <v>0.79356495019123918</v>
      </c>
      <c r="CR255" s="32" t="e" cm="1">
        <f t="array" ref="CR255">IF($CR$3,INDEX(Eu_tabel_g[[#This Row],[Styrke venstre]:[Styrke tosidet]],CR$7),NA())</f>
        <v>#N/A</v>
      </c>
      <c r="CS255" s="52" t="e">
        <f>Eu_tabel_g[[#This Row],[Falsk positiv
Nulhypotese accepteres
Fejltype 1]]</f>
        <v>#N/A</v>
      </c>
      <c r="CT255" s="52" t="e">
        <f>IF(CHOOSE(CR$7,Eu_tabel_g[[#This Row],[x base]]&gt;0,Eu_tabel_g[[#This Row],[x base]]&lt;0,Eu_tabel_g[[#This Row],[x base]]=0),Eu_tabel_g[[#This Row],[Styrke, aktiv]],NA())</f>
        <v>#N/A</v>
      </c>
      <c r="CU255" s="52" t="e">
        <f>IFERROR(IF($CR$3,Eu_tabel_g[[#This Row],[Styrke, aktiv]],NA()),NA())</f>
        <v>#N/A</v>
      </c>
      <c r="CV255" s="52" t="e">
        <f>IF(ISNA(Eu_tabel_g[[#This Row],[Sand negativ
Nulhypotese afvises
Korrekt]]),NA(),IF($CR$3,1,NA()))</f>
        <v>#N/A</v>
      </c>
      <c r="CW255" s="34" t="str" cm="1">
        <f t="array" ref="CW255">_xlfn.SWITCH(BZ255,_xlfn.IFNA(CU$2,-99),CU$5,_xlfn.IFNA(CU$3,-99),CU$6,_xlfn.IFNA(CU$4,-99),CU$7,"")</f>
        <v/>
      </c>
      <c r="DA255" s="7">
        <f t="shared" si="364"/>
        <v>0.8</v>
      </c>
      <c r="DB255">
        <f>IF(ROW(Styrkeberegning_G[[#This Row],[X base venstre]])=ROW(Styrkeberegning_G[[#Headers],[X base venstre]])+1,DB$7/(DA$7/$B$67),DB254/(DA254/$B$67))</f>
        <v>-2.8015817870135784</v>
      </c>
      <c r="DC255">
        <f>Styrkeberegning_G[[#This Row],[X base venstre]]*-1</f>
        <v>2.8015817870135784</v>
      </c>
      <c r="DN255" s="32">
        <f t="shared" si="365"/>
        <v>245</v>
      </c>
      <c r="DO255" s="32">
        <f t="shared" si="366"/>
        <v>246</v>
      </c>
      <c r="DP255" s="32">
        <f t="shared" si="367"/>
        <v>29.781212486818937</v>
      </c>
      <c r="DQ255" s="32" t="e">
        <f t="shared" si="368"/>
        <v>#N/A</v>
      </c>
      <c r="DR255" s="32" t="e">
        <f t="shared" si="369"/>
        <v>#N/A</v>
      </c>
      <c r="DS255" s="32">
        <f t="shared" si="370"/>
        <v>6.1845886960655789E-4</v>
      </c>
      <c r="DT255" s="32" t="e">
        <f t="shared" si="371"/>
        <v>#N/A</v>
      </c>
      <c r="DU255" s="32" t="b">
        <f t="shared" si="372"/>
        <v>0</v>
      </c>
      <c r="DV255" s="32" t="b">
        <f t="shared" si="373"/>
        <v>1</v>
      </c>
      <c r="DW255" s="32" t="b">
        <f t="shared" si="374"/>
        <v>1</v>
      </c>
      <c r="DX255" s="32" t="b">
        <f t="shared" si="375"/>
        <v>0</v>
      </c>
      <c r="DY255" s="32">
        <f t="shared" si="376"/>
        <v>6.1845886960655789E-4</v>
      </c>
      <c r="DZ255" s="32">
        <f t="shared" si="377"/>
        <v>6.1845886960655789E-4</v>
      </c>
      <c r="EA255" s="32" t="e">
        <f t="shared" si="378"/>
        <v>#N/A</v>
      </c>
      <c r="EB255" s="45" t="str">
        <f t="shared" si="379"/>
        <v/>
      </c>
      <c r="EG255" s="32">
        <f t="shared" si="380"/>
        <v>245</v>
      </c>
      <c r="EH255" s="32">
        <f t="shared" si="381"/>
        <v>246</v>
      </c>
      <c r="EI255" s="32">
        <f t="shared" si="382"/>
        <v>2.7788135466315218</v>
      </c>
      <c r="EJ255" s="32">
        <f t="shared" si="383"/>
        <v>8.3973349051078925E-3</v>
      </c>
      <c r="EK255" s="32" t="e">
        <f t="shared" si="384"/>
        <v>#N/A</v>
      </c>
      <c r="EL255" s="32" t="e">
        <f t="shared" si="385"/>
        <v>#N/A</v>
      </c>
      <c r="EM255" s="32" t="e">
        <f t="shared" si="386"/>
        <v>#N/A</v>
      </c>
      <c r="EN255" s="32" t="b">
        <f t="shared" si="387"/>
        <v>0</v>
      </c>
      <c r="EO255" s="32" t="b">
        <f t="shared" si="388"/>
        <v>1</v>
      </c>
      <c r="EP255" s="32" t="b">
        <f t="shared" si="389"/>
        <v>1</v>
      </c>
      <c r="EQ255" s="32" t="b">
        <f t="shared" si="390"/>
        <v>0</v>
      </c>
      <c r="ER255" s="32">
        <f t="shared" si="391"/>
        <v>8.3973349051078925E-3</v>
      </c>
      <c r="ES255" s="32">
        <f t="shared" si="392"/>
        <v>8.3973349051078925E-3</v>
      </c>
      <c r="ET255" s="32" t="e">
        <f t="shared" si="393"/>
        <v>#N/A</v>
      </c>
      <c r="EU255" s="45" t="str">
        <f t="shared" si="394"/>
        <v/>
      </c>
      <c r="EV25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5" s="32" t="e" cm="1">
        <f t="array" ref="EY255">IF($CR$3,INDEX(Eu_tabel_a[[#This Row],[Styrke venstre]:[Styrke tosidet]],EY$7),NA())</f>
        <v>#N/A</v>
      </c>
      <c r="EZ255" s="32" t="e">
        <f>IF(EY$3,IF(CHOOSE(EY$7,Eu_tabel_a[[#This Row],[x base]]&gt;0,Eu_tabel_a[[#This Row],[x base]]&lt;0,Eu_tabel_a[[#This Row],[x base]]=0),1,NA()),NA())</f>
        <v>#N/A</v>
      </c>
      <c r="FA255" s="32" t="e">
        <f>IF(CHOOSE(EY$7,Eu_tabel_a[[#This Row],[x base]]&gt;0,Eu_tabel_a[[#This Row],[x base]]&lt;0,Eu_tabel_a[[#This Row],[x base]]=0),Eu_tabel_a[[#This Row],[Styrke, aktiv]],NA())</f>
        <v>#N/A</v>
      </c>
      <c r="FB255" s="32" t="e">
        <f>IFERROR(IF($EY$3,Eu_tabel_a[[#This Row],[Styrke, aktiv]],NA()),NA())</f>
        <v>#N/A</v>
      </c>
      <c r="FC255" s="32" t="e">
        <f>IF(ISNA(Eu_tabel_a[[#This Row],[Sand negativ
Nulhypotese afvises
Korrekt]]),NA(),IF(EY$3,1,NA()))</f>
        <v>#N/A</v>
      </c>
      <c r="FD255" s="33" t="str" cm="1">
        <f t="array" ref="FD255">IFERROR(_xlfn.SWITCH(Eu_tabel_a[[#This Row],[Indeks]],_xlfn.IFNA(FB$2,-99),FB$5,_xlfn.IFNA(FB$3,-99),FB$6,_xlfn.IFNA(FB$4,-99),FB$7,""),"")</f>
        <v/>
      </c>
      <c r="FE255" s="32">
        <f>Eu_tabel_a[[#This Row],[x base]]*SQRT(Eu_a_h0_x*(1-Eu_a_h0_x)/Eu_a_n_x)+Eu_a_h0_x</f>
        <v>0</v>
      </c>
      <c r="FJ255" s="74" t="e">
        <f t="shared" si="338"/>
        <v>#N/A</v>
      </c>
      <c r="FK255" s="82" t="e">
        <f t="shared" si="426"/>
        <v>#DIV/0!</v>
      </c>
      <c r="FL255" s="7" t="e">
        <f t="shared" si="332"/>
        <v>#DIV/0!</v>
      </c>
      <c r="FM255" t="e">
        <f t="shared" si="427"/>
        <v>#DIV/0!</v>
      </c>
      <c r="FN255" s="8" t="e">
        <f t="shared" si="428"/>
        <v>#DIV/0!</v>
      </c>
      <c r="FO255" s="8" t="e">
        <f t="shared" si="429"/>
        <v>#DIV/0!</v>
      </c>
      <c r="FP255" s="81" t="e">
        <f t="shared" si="430"/>
        <v>#DIV/0!</v>
      </c>
      <c r="FQ255" s="74" t="e">
        <f t="shared" ca="1" si="333"/>
        <v>#N/A</v>
      </c>
      <c r="FR255" s="82" t="e" vm="3">
        <f t="shared" ca="1" si="339"/>
        <v>#VALUE!</v>
      </c>
      <c r="FS255" s="7" t="e" vm="3">
        <f t="shared" ca="1" si="334"/>
        <v>#VALUE!</v>
      </c>
      <c r="FT255" t="e" vm="3">
        <f t="shared" ca="1" si="328"/>
        <v>#VALUE!</v>
      </c>
      <c r="FU255" s="8" t="e" vm="3">
        <f t="shared" ca="1" si="329"/>
        <v>#VALUE!</v>
      </c>
      <c r="FV255" s="8" t="e" vm="3">
        <f t="shared" ca="1" si="330"/>
        <v>#VALUE!</v>
      </c>
      <c r="FW255" s="81" t="e" vm="3">
        <f t="shared" ca="1" si="331"/>
        <v>#VALUE!</v>
      </c>
      <c r="FX255" s="74" t="e">
        <f t="shared" si="335"/>
        <v>#N/A</v>
      </c>
      <c r="FY255" s="82" t="e">
        <f t="shared" si="340"/>
        <v>#N/A</v>
      </c>
      <c r="FZ255" s="7" t="e">
        <f t="shared" si="336"/>
        <v>#N/A</v>
      </c>
      <c r="GA255" t="e">
        <f t="shared" si="341"/>
        <v>#N/A</v>
      </c>
      <c r="GB255" s="8" t="e">
        <f t="shared" si="342"/>
        <v>#N/A</v>
      </c>
      <c r="GC255" s="8" t="e">
        <f t="shared" si="343"/>
        <v>#N/A</v>
      </c>
      <c r="GD255" s="81" t="e">
        <f t="shared" si="344"/>
        <v>#N/A</v>
      </c>
      <c r="GE255" s="74" t="e">
        <f t="shared" si="345"/>
        <v>#N/A</v>
      </c>
      <c r="GF255" s="82" t="e">
        <f t="shared" si="346"/>
        <v>#N/A</v>
      </c>
      <c r="GG255" s="7" t="e">
        <f t="shared" si="337"/>
        <v>#N/A</v>
      </c>
      <c r="GH255" t="e">
        <f t="shared" si="347"/>
        <v>#N/A</v>
      </c>
      <c r="GI255" s="8" t="e">
        <f t="shared" si="348"/>
        <v>#N/A</v>
      </c>
      <c r="GJ255" s="8" t="e">
        <f t="shared" si="349"/>
        <v>#N/A</v>
      </c>
      <c r="GK255" s="81" t="e">
        <f t="shared" si="350"/>
        <v>#N/A</v>
      </c>
      <c r="GL255" s="81"/>
      <c r="GM255" s="81"/>
      <c r="GP255" s="32">
        <f t="shared" si="395"/>
        <v>245</v>
      </c>
      <c r="GQ255" s="32">
        <f t="shared" si="396"/>
        <v>246</v>
      </c>
      <c r="GR255" s="32">
        <f t="shared" si="397"/>
        <v>2.7788135466315218</v>
      </c>
      <c r="GS255" s="32">
        <f t="shared" si="398"/>
        <v>8.3973349051078925E-3</v>
      </c>
      <c r="GT255" s="32" t="e">
        <f t="shared" si="399"/>
        <v>#N/A</v>
      </c>
      <c r="GU255" s="32" t="e">
        <f t="shared" si="400"/>
        <v>#N/A</v>
      </c>
      <c r="GV255" s="32" t="e">
        <f t="shared" si="401"/>
        <v>#N/A</v>
      </c>
      <c r="GW255" s="32" t="b">
        <f t="shared" si="402"/>
        <v>0</v>
      </c>
      <c r="GX255" s="32" t="b">
        <f t="shared" si="403"/>
        <v>1</v>
      </c>
      <c r="GY255" s="32" t="b">
        <f t="shared" si="404"/>
        <v>1</v>
      </c>
      <c r="GZ255" s="32" t="b">
        <f t="shared" si="405"/>
        <v>0</v>
      </c>
      <c r="HA255" s="32">
        <f t="shared" si="406"/>
        <v>8.3973349051078925E-3</v>
      </c>
      <c r="HB255" s="32">
        <f t="shared" si="407"/>
        <v>8.3973349051078925E-3</v>
      </c>
      <c r="HC255" s="32" t="e">
        <f t="shared" si="408"/>
        <v>#N/A</v>
      </c>
      <c r="HD255" s="45" t="str">
        <f t="shared" si="409"/>
        <v/>
      </c>
      <c r="HJ255" s="32">
        <f t="shared" si="410"/>
        <v>245</v>
      </c>
      <c r="HK255" s="32">
        <f t="shared" si="411"/>
        <v>246</v>
      </c>
      <c r="HL255" s="32">
        <f t="shared" si="412"/>
        <v>4.303051138930595</v>
      </c>
      <c r="HM255" s="32" t="e">
        <f t="shared" si="413"/>
        <v>#N/A</v>
      </c>
      <c r="HN255" s="32">
        <f t="shared" si="414"/>
        <v>2.1805995210078624E-3</v>
      </c>
      <c r="HO255" s="32" t="e">
        <f t="shared" si="415"/>
        <v>#N/A</v>
      </c>
      <c r="HP255" s="32" t="e">
        <f t="shared" si="416"/>
        <v>#N/A</v>
      </c>
      <c r="HQ255" s="32" t="b">
        <f t="shared" si="417"/>
        <v>0</v>
      </c>
      <c r="HR255" s="32" t="b">
        <f t="shared" si="418"/>
        <v>1</v>
      </c>
      <c r="HS255" s="32" t="b">
        <f t="shared" si="419"/>
        <v>1</v>
      </c>
      <c r="HT255" s="32" t="b">
        <f t="shared" si="420"/>
        <v>0</v>
      </c>
      <c r="HU255" s="32">
        <f t="shared" si="421"/>
        <v>2.1805995210078624E-3</v>
      </c>
      <c r="HV255" s="32" t="e">
        <f t="shared" si="422"/>
        <v>#N/A</v>
      </c>
      <c r="HW255" s="32">
        <f t="shared" si="423"/>
        <v>2.1805995210078624E-3</v>
      </c>
      <c r="HX255" s="45" t="str">
        <f t="shared" si="424"/>
        <v/>
      </c>
    </row>
    <row r="256" spans="78:232" x14ac:dyDescent="0.2">
      <c r="BZ256" s="32">
        <f t="shared" si="351"/>
        <v>246</v>
      </c>
      <c r="CA256" s="32">
        <f>Eu_tabel_g[[#This Row],[Indeks]]+1</f>
        <v>247</v>
      </c>
      <c r="CB256" s="32">
        <f t="shared" si="352"/>
        <v>2.8027688358266216</v>
      </c>
      <c r="CC256" s="32">
        <f t="shared" si="353"/>
        <v>7.8542923005407612E-3</v>
      </c>
      <c r="CD256" s="32" t="e">
        <f t="shared" si="354"/>
        <v>#N/A</v>
      </c>
      <c r="CE256" s="32" t="e">
        <f t="shared" si="355"/>
        <v>#N/A</v>
      </c>
      <c r="CF256" s="32" t="e">
        <f t="shared" si="356"/>
        <v>#N/A</v>
      </c>
      <c r="CG256" s="32" t="b">
        <f t="shared" si="357"/>
        <v>0</v>
      </c>
      <c r="CH256" s="32" t="b">
        <f t="shared" si="358"/>
        <v>1</v>
      </c>
      <c r="CI256" s="32" t="b">
        <f t="shared" si="359"/>
        <v>1</v>
      </c>
      <c r="CJ256" s="32" t="b">
        <f t="shared" si="360"/>
        <v>0</v>
      </c>
      <c r="CK256" s="32">
        <f t="shared" si="431"/>
        <v>7.8542923005407612E-3</v>
      </c>
      <c r="CL256" s="32">
        <f t="shared" si="361"/>
        <v>7.8542923005407612E-3</v>
      </c>
      <c r="CM256" s="32" t="e">
        <f t="shared" si="362"/>
        <v>#N/A</v>
      </c>
      <c r="CN256" s="45" t="str">
        <f t="shared" si="363"/>
        <v/>
      </c>
      <c r="CO256" s="32">
        <f>_xlfn.NORM.DIST(_xlfn.NORM.INV(1-Eu_g_konfidensniveau,0,1)-Eu_tabel_g[[#This Row],[x base]],0,1,TRUE)</f>
        <v>4.3412979959716034E-6</v>
      </c>
      <c r="CP256" s="32">
        <f>1-_xlfn.NORM.DIST(_xlfn.NORM.INV(Eu_g_konfidensniveau,0,1)-Eu_tabel_g[[#This Row],[x base]],0,1,TRUE)</f>
        <v>0.87655067983900459</v>
      </c>
      <c r="CQ256" s="32">
        <f>_xlfn.NORM.DIST(_xlfn.NORM.INV((1-Eu_g_konfidensniveau)/2,0,1)-Eu_tabel_g[[#This Row],[x base]],0,1,TRUE)+1-_xlfn.NORM.DIST(_xlfn.NORM.INV(1-(1-Eu_g_konfidensniveau)/2,0,1)-Eu_tabel_g[[#This Row],[x base]],0,1,TRUE)</f>
        <v>0.80033215776148392</v>
      </c>
      <c r="CR256" s="32" t="e" cm="1">
        <f t="array" ref="CR256">IF($CR$3,INDEX(Eu_tabel_g[[#This Row],[Styrke venstre]:[Styrke tosidet]],CR$7),NA())</f>
        <v>#N/A</v>
      </c>
      <c r="CS256" s="52" t="e">
        <f>Eu_tabel_g[[#This Row],[Falsk positiv
Nulhypotese accepteres
Fejltype 1]]</f>
        <v>#N/A</v>
      </c>
      <c r="CT256" s="52" t="e">
        <f>IF(CHOOSE(CR$7,Eu_tabel_g[[#This Row],[x base]]&gt;0,Eu_tabel_g[[#This Row],[x base]]&lt;0,Eu_tabel_g[[#This Row],[x base]]=0),Eu_tabel_g[[#This Row],[Styrke, aktiv]],NA())</f>
        <v>#N/A</v>
      </c>
      <c r="CU256" s="52" t="e">
        <f>IFERROR(IF($CR$3,Eu_tabel_g[[#This Row],[Styrke, aktiv]],NA()),NA())</f>
        <v>#N/A</v>
      </c>
      <c r="CV256" s="52" t="e">
        <f>IF(ISNA(Eu_tabel_g[[#This Row],[Sand negativ
Nulhypotese afvises
Korrekt]]),NA(),IF($CR$3,1,NA()))</f>
        <v>#N/A</v>
      </c>
      <c r="CW256" s="34" t="str" cm="1">
        <f t="array" ref="CW256">_xlfn.SWITCH(BZ256,_xlfn.IFNA(CU$2,-99),CU$5,_xlfn.IFNA(CU$3,-99),CU$6,_xlfn.IFNA(CU$4,-99),CU$7,"")</f>
        <v/>
      </c>
      <c r="DA256" s="7">
        <f t="shared" si="364"/>
        <v>0.8</v>
      </c>
      <c r="DB256">
        <f>IF(ROW(Styrkeberegning_G[[#This Row],[X base venstre]])=ROW(Styrkeberegning_G[[#Headers],[X base venstre]])+1,DB$7/(DA$7/$B$67),DB255/(DA255/$B$67))</f>
        <v>-2.8015817870135784</v>
      </c>
      <c r="DC256">
        <f>Styrkeberegning_G[[#This Row],[X base venstre]]*-1</f>
        <v>2.8015817870135784</v>
      </c>
      <c r="DN256" s="32">
        <f t="shared" si="365"/>
        <v>246</v>
      </c>
      <c r="DO256" s="32">
        <f t="shared" si="366"/>
        <v>247</v>
      </c>
      <c r="DP256" s="32">
        <f t="shared" si="367"/>
        <v>29.895283343235938</v>
      </c>
      <c r="DQ256" s="32" t="e">
        <f t="shared" si="368"/>
        <v>#N/A</v>
      </c>
      <c r="DR256" s="32" t="e">
        <f t="shared" si="369"/>
        <v>#N/A</v>
      </c>
      <c r="DS256" s="32">
        <f t="shared" si="370"/>
        <v>5.9430857244359425E-4</v>
      </c>
      <c r="DT256" s="32" t="e">
        <f t="shared" si="371"/>
        <v>#N/A</v>
      </c>
      <c r="DU256" s="32" t="b">
        <f t="shared" si="372"/>
        <v>0</v>
      </c>
      <c r="DV256" s="32" t="b">
        <f t="shared" si="373"/>
        <v>1</v>
      </c>
      <c r="DW256" s="32" t="b">
        <f t="shared" si="374"/>
        <v>1</v>
      </c>
      <c r="DX256" s="32" t="b">
        <f t="shared" si="375"/>
        <v>0</v>
      </c>
      <c r="DY256" s="32">
        <f t="shared" si="376"/>
        <v>5.9430857244359425E-4</v>
      </c>
      <c r="DZ256" s="32">
        <f t="shared" si="377"/>
        <v>5.9430857244359425E-4</v>
      </c>
      <c r="EA256" s="32" t="e">
        <f t="shared" si="378"/>
        <v>#N/A</v>
      </c>
      <c r="EB256" s="45" t="str">
        <f t="shared" si="379"/>
        <v/>
      </c>
      <c r="EG256" s="32">
        <f t="shared" si="380"/>
        <v>246</v>
      </c>
      <c r="EH256" s="32">
        <f t="shared" si="381"/>
        <v>247</v>
      </c>
      <c r="EI256" s="32">
        <f t="shared" si="382"/>
        <v>2.8027688358266216</v>
      </c>
      <c r="EJ256" s="32">
        <f t="shared" si="383"/>
        <v>7.8542923005407612E-3</v>
      </c>
      <c r="EK256" s="32" t="e">
        <f t="shared" si="384"/>
        <v>#N/A</v>
      </c>
      <c r="EL256" s="32" t="e">
        <f t="shared" si="385"/>
        <v>#N/A</v>
      </c>
      <c r="EM256" s="32" t="e">
        <f t="shared" si="386"/>
        <v>#N/A</v>
      </c>
      <c r="EN256" s="32" t="b">
        <f t="shared" si="387"/>
        <v>0</v>
      </c>
      <c r="EO256" s="32" t="b">
        <f t="shared" si="388"/>
        <v>1</v>
      </c>
      <c r="EP256" s="32" t="b">
        <f t="shared" si="389"/>
        <v>1</v>
      </c>
      <c r="EQ256" s="32" t="b">
        <f t="shared" si="390"/>
        <v>0</v>
      </c>
      <c r="ER256" s="32">
        <f t="shared" si="391"/>
        <v>7.8542923005407612E-3</v>
      </c>
      <c r="ES256" s="32">
        <f t="shared" si="392"/>
        <v>7.8542923005407612E-3</v>
      </c>
      <c r="ET256" s="32" t="e">
        <f t="shared" si="393"/>
        <v>#N/A</v>
      </c>
      <c r="EU256" s="45" t="str">
        <f t="shared" si="394"/>
        <v/>
      </c>
      <c r="EV25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6" s="32" t="e" cm="1">
        <f t="array" ref="EY256">IF($CR$3,INDEX(Eu_tabel_a[[#This Row],[Styrke venstre]:[Styrke tosidet]],EY$7),NA())</f>
        <v>#N/A</v>
      </c>
      <c r="EZ256" s="32" t="e">
        <f>IF(EY$3,IF(CHOOSE(EY$7,Eu_tabel_a[[#This Row],[x base]]&gt;0,Eu_tabel_a[[#This Row],[x base]]&lt;0,Eu_tabel_a[[#This Row],[x base]]=0),1,NA()),NA())</f>
        <v>#N/A</v>
      </c>
      <c r="FA256" s="32" t="e">
        <f>IF(CHOOSE(EY$7,Eu_tabel_a[[#This Row],[x base]]&gt;0,Eu_tabel_a[[#This Row],[x base]]&lt;0,Eu_tabel_a[[#This Row],[x base]]=0),Eu_tabel_a[[#This Row],[Styrke, aktiv]],NA())</f>
        <v>#N/A</v>
      </c>
      <c r="FB256" s="32" t="e">
        <f>IFERROR(IF($EY$3,Eu_tabel_a[[#This Row],[Styrke, aktiv]],NA()),NA())</f>
        <v>#N/A</v>
      </c>
      <c r="FC256" s="32" t="e">
        <f>IF(ISNA(Eu_tabel_a[[#This Row],[Sand negativ
Nulhypotese afvises
Korrekt]]),NA(),IF(EY$3,1,NA()))</f>
        <v>#N/A</v>
      </c>
      <c r="FD256" s="33" t="str" cm="1">
        <f t="array" ref="FD256">IFERROR(_xlfn.SWITCH(Eu_tabel_a[[#This Row],[Indeks]],_xlfn.IFNA(FB$2,-99),FB$5,_xlfn.IFNA(FB$3,-99),FB$6,_xlfn.IFNA(FB$4,-99),FB$7,""),"")</f>
        <v/>
      </c>
      <c r="FE256" s="32">
        <f>Eu_tabel_a[[#This Row],[x base]]*SQRT(Eu_a_h0_x*(1-Eu_a_h0_x)/Eu_a_n_x)+Eu_a_h0_x</f>
        <v>0</v>
      </c>
      <c r="FJ256" s="74" t="e">
        <f t="shared" si="338"/>
        <v>#N/A</v>
      </c>
      <c r="FK256" s="82" t="e">
        <f t="shared" si="426"/>
        <v>#DIV/0!</v>
      </c>
      <c r="FL256" s="7" t="e">
        <f t="shared" si="332"/>
        <v>#DIV/0!</v>
      </c>
      <c r="FM256" t="e">
        <f t="shared" si="427"/>
        <v>#DIV/0!</v>
      </c>
      <c r="FN256" s="8" t="e">
        <f t="shared" si="428"/>
        <v>#DIV/0!</v>
      </c>
      <c r="FO256" s="8" t="e">
        <f t="shared" si="429"/>
        <v>#DIV/0!</v>
      </c>
      <c r="FP256" s="81" t="e">
        <f t="shared" si="430"/>
        <v>#DIV/0!</v>
      </c>
      <c r="FQ256" s="74" t="e">
        <f t="shared" ca="1" si="333"/>
        <v>#N/A</v>
      </c>
      <c r="FR256" s="82" t="e" vm="3">
        <f t="shared" ca="1" si="339"/>
        <v>#VALUE!</v>
      </c>
      <c r="FS256" s="7" t="e" vm="3">
        <f t="shared" ca="1" si="334"/>
        <v>#VALUE!</v>
      </c>
      <c r="FT256" t="e" vm="3">
        <f t="shared" ca="1" si="328"/>
        <v>#VALUE!</v>
      </c>
      <c r="FU256" s="8" t="e" vm="3">
        <f t="shared" ca="1" si="329"/>
        <v>#VALUE!</v>
      </c>
      <c r="FV256" s="8" t="e" vm="3">
        <f t="shared" ca="1" si="330"/>
        <v>#VALUE!</v>
      </c>
      <c r="FW256" s="81" t="e" vm="3">
        <f t="shared" ca="1" si="331"/>
        <v>#VALUE!</v>
      </c>
      <c r="FX256" s="74" t="e">
        <f t="shared" si="335"/>
        <v>#N/A</v>
      </c>
      <c r="FY256" s="82" t="e">
        <f t="shared" si="340"/>
        <v>#N/A</v>
      </c>
      <c r="FZ256" s="7" t="e">
        <f t="shared" si="336"/>
        <v>#N/A</v>
      </c>
      <c r="GA256" t="e">
        <f t="shared" si="341"/>
        <v>#N/A</v>
      </c>
      <c r="GB256" s="8" t="e">
        <f t="shared" si="342"/>
        <v>#N/A</v>
      </c>
      <c r="GC256" s="8" t="e">
        <f t="shared" si="343"/>
        <v>#N/A</v>
      </c>
      <c r="GD256" s="81" t="e">
        <f t="shared" si="344"/>
        <v>#N/A</v>
      </c>
      <c r="GE256" s="74" t="e">
        <f t="shared" si="345"/>
        <v>#N/A</v>
      </c>
      <c r="GF256" s="82" t="e">
        <f t="shared" si="346"/>
        <v>#N/A</v>
      </c>
      <c r="GG256" s="7" t="e">
        <f t="shared" si="337"/>
        <v>#N/A</v>
      </c>
      <c r="GH256" t="e">
        <f t="shared" si="347"/>
        <v>#N/A</v>
      </c>
      <c r="GI256" s="8" t="e">
        <f t="shared" si="348"/>
        <v>#N/A</v>
      </c>
      <c r="GJ256" s="8" t="e">
        <f t="shared" si="349"/>
        <v>#N/A</v>
      </c>
      <c r="GK256" s="81" t="e">
        <f t="shared" si="350"/>
        <v>#N/A</v>
      </c>
      <c r="GL256" s="81"/>
      <c r="GM256" s="81"/>
      <c r="GP256" s="32">
        <f t="shared" si="395"/>
        <v>246</v>
      </c>
      <c r="GQ256" s="32">
        <f t="shared" si="396"/>
        <v>247</v>
      </c>
      <c r="GR256" s="32">
        <f t="shared" si="397"/>
        <v>2.8027688358266216</v>
      </c>
      <c r="GS256" s="32">
        <f t="shared" si="398"/>
        <v>7.8542923005407612E-3</v>
      </c>
      <c r="GT256" s="32" t="e">
        <f t="shared" si="399"/>
        <v>#N/A</v>
      </c>
      <c r="GU256" s="32" t="e">
        <f t="shared" si="400"/>
        <v>#N/A</v>
      </c>
      <c r="GV256" s="32" t="e">
        <f t="shared" si="401"/>
        <v>#N/A</v>
      </c>
      <c r="GW256" s="32" t="b">
        <f t="shared" si="402"/>
        <v>0</v>
      </c>
      <c r="GX256" s="32" t="b">
        <f t="shared" si="403"/>
        <v>1</v>
      </c>
      <c r="GY256" s="32" t="b">
        <f t="shared" si="404"/>
        <v>1</v>
      </c>
      <c r="GZ256" s="32" t="b">
        <f t="shared" si="405"/>
        <v>0</v>
      </c>
      <c r="HA256" s="32">
        <f t="shared" si="406"/>
        <v>7.8542923005407612E-3</v>
      </c>
      <c r="HB256" s="32">
        <f t="shared" si="407"/>
        <v>7.8542923005407612E-3</v>
      </c>
      <c r="HC256" s="32" t="e">
        <f t="shared" si="408"/>
        <v>#N/A</v>
      </c>
      <c r="HD256" s="45" t="str">
        <f t="shared" si="409"/>
        <v/>
      </c>
      <c r="HJ256" s="32">
        <f t="shared" si="410"/>
        <v>246</v>
      </c>
      <c r="HK256" s="32">
        <f t="shared" si="411"/>
        <v>247</v>
      </c>
      <c r="HL256" s="32">
        <f t="shared" si="412"/>
        <v>4.3401464073696516</v>
      </c>
      <c r="HM256" s="32" t="e">
        <f t="shared" si="413"/>
        <v>#N/A</v>
      </c>
      <c r="HN256" s="32">
        <f t="shared" si="414"/>
        <v>2.0743574203867855E-3</v>
      </c>
      <c r="HO256" s="32" t="e">
        <f t="shared" si="415"/>
        <v>#N/A</v>
      </c>
      <c r="HP256" s="32" t="e">
        <f t="shared" si="416"/>
        <v>#N/A</v>
      </c>
      <c r="HQ256" s="32" t="b">
        <f t="shared" si="417"/>
        <v>0</v>
      </c>
      <c r="HR256" s="32" t="b">
        <f t="shared" si="418"/>
        <v>1</v>
      </c>
      <c r="HS256" s="32" t="b">
        <f t="shared" si="419"/>
        <v>1</v>
      </c>
      <c r="HT256" s="32" t="b">
        <f t="shared" si="420"/>
        <v>0</v>
      </c>
      <c r="HU256" s="32">
        <f t="shared" si="421"/>
        <v>2.0743574203867855E-3</v>
      </c>
      <c r="HV256" s="32" t="e">
        <f t="shared" si="422"/>
        <v>#N/A</v>
      </c>
      <c r="HW256" s="32">
        <f t="shared" si="423"/>
        <v>2.0743574203867855E-3</v>
      </c>
      <c r="HX256" s="45" t="str">
        <f t="shared" si="424"/>
        <v/>
      </c>
    </row>
    <row r="257" spans="78:232" x14ac:dyDescent="0.2">
      <c r="BZ257" s="32">
        <f t="shared" si="351"/>
        <v>247</v>
      </c>
      <c r="CA257" s="32">
        <f>Eu_tabel_g[[#This Row],[Indeks]]+1</f>
        <v>248</v>
      </c>
      <c r="CB257" s="32">
        <f t="shared" si="352"/>
        <v>2.8267241250217205</v>
      </c>
      <c r="CC257" s="32">
        <f t="shared" si="353"/>
        <v>7.3421528709367023E-3</v>
      </c>
      <c r="CD257" s="32" t="e">
        <f t="shared" si="354"/>
        <v>#N/A</v>
      </c>
      <c r="CE257" s="32" t="e">
        <f t="shared" si="355"/>
        <v>#N/A</v>
      </c>
      <c r="CF257" s="32" t="e">
        <f t="shared" si="356"/>
        <v>#N/A</v>
      </c>
      <c r="CG257" s="32" t="b">
        <f t="shared" si="357"/>
        <v>0</v>
      </c>
      <c r="CH257" s="32" t="b">
        <f t="shared" si="358"/>
        <v>1</v>
      </c>
      <c r="CI257" s="32" t="b">
        <f t="shared" si="359"/>
        <v>1</v>
      </c>
      <c r="CJ257" s="32" t="b">
        <f t="shared" si="360"/>
        <v>0</v>
      </c>
      <c r="CK257" s="32">
        <f t="shared" si="431"/>
        <v>7.3421528709367023E-3</v>
      </c>
      <c r="CL257" s="32">
        <f t="shared" si="361"/>
        <v>7.3421528709367023E-3</v>
      </c>
      <c r="CM257" s="32" t="e">
        <f t="shared" si="362"/>
        <v>#N/A</v>
      </c>
      <c r="CN257" s="45" t="str">
        <f t="shared" si="363"/>
        <v/>
      </c>
      <c r="CO257" s="32">
        <f>_xlfn.NORM.DIST(_xlfn.NORM.INV(1-Eu_g_konfidensniveau,0,1)-Eu_tabel_g[[#This Row],[x base]],0,1,TRUE)</f>
        <v>3.8822309909310449E-6</v>
      </c>
      <c r="CP257" s="32">
        <f>1-_xlfn.NORM.DIST(_xlfn.NORM.INV(Eu_g_konfidensniveau,0,1)-Eu_tabel_g[[#This Row],[x base]],0,1,TRUE)</f>
        <v>0.88137145520395488</v>
      </c>
      <c r="CQ257" s="32">
        <f>_xlfn.NORM.DIST(_xlfn.NORM.INV((1-Eu_g_konfidensniveau)/2,0,1)-Eu_tabel_g[[#This Row],[x base]],0,1,TRUE)+1-_xlfn.NORM.DIST(_xlfn.NORM.INV(1-(1-Eu_g_konfidensniveau)/2,0,1)-Eu_tabel_g[[#This Row],[x base]],0,1,TRUE)</f>
        <v>0.80696412483467084</v>
      </c>
      <c r="CR257" s="32" t="e" cm="1">
        <f t="array" ref="CR257">IF($CR$3,INDEX(Eu_tabel_g[[#This Row],[Styrke venstre]:[Styrke tosidet]],CR$7),NA())</f>
        <v>#N/A</v>
      </c>
      <c r="CS257" s="52" t="e">
        <f>Eu_tabel_g[[#This Row],[Falsk positiv
Nulhypotese accepteres
Fejltype 1]]</f>
        <v>#N/A</v>
      </c>
      <c r="CT257" s="52" t="e">
        <f>IF(CHOOSE(CR$7,Eu_tabel_g[[#This Row],[x base]]&gt;0,Eu_tabel_g[[#This Row],[x base]]&lt;0,Eu_tabel_g[[#This Row],[x base]]=0),Eu_tabel_g[[#This Row],[Styrke, aktiv]],NA())</f>
        <v>#N/A</v>
      </c>
      <c r="CU257" s="52" t="e">
        <f>IFERROR(IF($CR$3,Eu_tabel_g[[#This Row],[Styrke, aktiv]],NA()),NA())</f>
        <v>#N/A</v>
      </c>
      <c r="CV257" s="52" t="e">
        <f>IF(ISNA(Eu_tabel_g[[#This Row],[Sand negativ
Nulhypotese afvises
Korrekt]]),NA(),IF($CR$3,1,NA()))</f>
        <v>#N/A</v>
      </c>
      <c r="CW257" s="34" t="str" cm="1">
        <f t="array" ref="CW257">_xlfn.SWITCH(BZ257,_xlfn.IFNA(CU$2,-99),CU$5,_xlfn.IFNA(CU$3,-99),CU$6,_xlfn.IFNA(CU$4,-99),CU$7,"")</f>
        <v/>
      </c>
      <c r="DA257" s="7">
        <f t="shared" si="364"/>
        <v>0.8</v>
      </c>
      <c r="DB257">
        <f>IF(ROW(Styrkeberegning_G[[#This Row],[X base venstre]])=ROW(Styrkeberegning_G[[#Headers],[X base venstre]])+1,DB$7/(DA$7/$B$67),DB256/(DA256/$B$67))</f>
        <v>-2.8015817870135784</v>
      </c>
      <c r="DC257">
        <f>Styrkeberegning_G[[#This Row],[X base venstre]]*-1</f>
        <v>2.8015817870135784</v>
      </c>
      <c r="DN257" s="32">
        <f t="shared" si="365"/>
        <v>247</v>
      </c>
      <c r="DO257" s="32">
        <f t="shared" si="366"/>
        <v>248</v>
      </c>
      <c r="DP257" s="32">
        <f t="shared" si="367"/>
        <v>30.00935419965294</v>
      </c>
      <c r="DQ257" s="32" t="e">
        <f t="shared" si="368"/>
        <v>#N/A</v>
      </c>
      <c r="DR257" s="32" t="e">
        <f t="shared" si="369"/>
        <v>#N/A</v>
      </c>
      <c r="DS257" s="32">
        <f t="shared" si="370"/>
        <v>5.7106390789980711E-4</v>
      </c>
      <c r="DT257" s="32" t="e">
        <f t="shared" si="371"/>
        <v>#N/A</v>
      </c>
      <c r="DU257" s="32" t="b">
        <f t="shared" si="372"/>
        <v>0</v>
      </c>
      <c r="DV257" s="32" t="b">
        <f t="shared" si="373"/>
        <v>1</v>
      </c>
      <c r="DW257" s="32" t="b">
        <f t="shared" si="374"/>
        <v>1</v>
      </c>
      <c r="DX257" s="32" t="b">
        <f t="shared" si="375"/>
        <v>0</v>
      </c>
      <c r="DY257" s="32">
        <f t="shared" si="376"/>
        <v>5.7106390789980711E-4</v>
      </c>
      <c r="DZ257" s="32">
        <f t="shared" si="377"/>
        <v>5.7106390789980711E-4</v>
      </c>
      <c r="EA257" s="32" t="e">
        <f t="shared" si="378"/>
        <v>#N/A</v>
      </c>
      <c r="EB257" s="45" t="str">
        <f t="shared" si="379"/>
        <v/>
      </c>
      <c r="EG257" s="32">
        <f t="shared" si="380"/>
        <v>247</v>
      </c>
      <c r="EH257" s="32">
        <f t="shared" si="381"/>
        <v>248</v>
      </c>
      <c r="EI257" s="32">
        <f t="shared" si="382"/>
        <v>2.8267241250217205</v>
      </c>
      <c r="EJ257" s="32">
        <f t="shared" si="383"/>
        <v>7.3421528709367023E-3</v>
      </c>
      <c r="EK257" s="32" t="e">
        <f t="shared" si="384"/>
        <v>#N/A</v>
      </c>
      <c r="EL257" s="32" t="e">
        <f t="shared" si="385"/>
        <v>#N/A</v>
      </c>
      <c r="EM257" s="32" t="e">
        <f t="shared" si="386"/>
        <v>#N/A</v>
      </c>
      <c r="EN257" s="32" t="b">
        <f t="shared" si="387"/>
        <v>0</v>
      </c>
      <c r="EO257" s="32" t="b">
        <f t="shared" si="388"/>
        <v>1</v>
      </c>
      <c r="EP257" s="32" t="b">
        <f t="shared" si="389"/>
        <v>1</v>
      </c>
      <c r="EQ257" s="32" t="b">
        <f t="shared" si="390"/>
        <v>0</v>
      </c>
      <c r="ER257" s="32">
        <f t="shared" si="391"/>
        <v>7.3421528709367023E-3</v>
      </c>
      <c r="ES257" s="32">
        <f t="shared" si="392"/>
        <v>7.3421528709367023E-3</v>
      </c>
      <c r="ET257" s="32" t="e">
        <f t="shared" si="393"/>
        <v>#N/A</v>
      </c>
      <c r="EU257" s="45" t="str">
        <f t="shared" si="394"/>
        <v/>
      </c>
      <c r="EV25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7" s="32" t="e" cm="1">
        <f t="array" ref="EY257">IF($CR$3,INDEX(Eu_tabel_a[[#This Row],[Styrke venstre]:[Styrke tosidet]],EY$7),NA())</f>
        <v>#N/A</v>
      </c>
      <c r="EZ257" s="32" t="e">
        <f>IF(EY$3,IF(CHOOSE(EY$7,Eu_tabel_a[[#This Row],[x base]]&gt;0,Eu_tabel_a[[#This Row],[x base]]&lt;0,Eu_tabel_a[[#This Row],[x base]]=0),1,NA()),NA())</f>
        <v>#N/A</v>
      </c>
      <c r="FA257" s="32" t="e">
        <f>IF(CHOOSE(EY$7,Eu_tabel_a[[#This Row],[x base]]&gt;0,Eu_tabel_a[[#This Row],[x base]]&lt;0,Eu_tabel_a[[#This Row],[x base]]=0),Eu_tabel_a[[#This Row],[Styrke, aktiv]],NA())</f>
        <v>#N/A</v>
      </c>
      <c r="FB257" s="32" t="e">
        <f>IFERROR(IF($EY$3,Eu_tabel_a[[#This Row],[Styrke, aktiv]],NA()),NA())</f>
        <v>#N/A</v>
      </c>
      <c r="FC257" s="32" t="e">
        <f>IF(ISNA(Eu_tabel_a[[#This Row],[Sand negativ
Nulhypotese afvises
Korrekt]]),NA(),IF(EY$3,1,NA()))</f>
        <v>#N/A</v>
      </c>
      <c r="FD257" s="33" t="str" cm="1">
        <f t="array" ref="FD257">IFERROR(_xlfn.SWITCH(Eu_tabel_a[[#This Row],[Indeks]],_xlfn.IFNA(FB$2,-99),FB$5,_xlfn.IFNA(FB$3,-99),FB$6,_xlfn.IFNA(FB$4,-99),FB$7,""),"")</f>
        <v/>
      </c>
      <c r="FE257" s="32">
        <f>Eu_tabel_a[[#This Row],[x base]]*SQRT(Eu_a_h0_x*(1-Eu_a_h0_x)/Eu_a_n_x)+Eu_a_h0_x</f>
        <v>0</v>
      </c>
      <c r="FJ257" s="74" t="e">
        <f t="shared" si="338"/>
        <v>#N/A</v>
      </c>
      <c r="FK257" s="82" t="e">
        <f t="shared" si="426"/>
        <v>#DIV/0!</v>
      </c>
      <c r="FL257" s="7" t="e">
        <f t="shared" si="332"/>
        <v>#DIV/0!</v>
      </c>
      <c r="FM257" t="e">
        <f t="shared" si="427"/>
        <v>#DIV/0!</v>
      </c>
      <c r="FN257" s="8" t="e">
        <f t="shared" si="428"/>
        <v>#DIV/0!</v>
      </c>
      <c r="FO257" s="8" t="e">
        <f t="shared" si="429"/>
        <v>#DIV/0!</v>
      </c>
      <c r="FP257" s="81" t="e">
        <f t="shared" si="430"/>
        <v>#DIV/0!</v>
      </c>
      <c r="FQ257" s="74" t="e">
        <f t="shared" ca="1" si="333"/>
        <v>#N/A</v>
      </c>
      <c r="FR257" s="82" t="e" vm="3">
        <f t="shared" ca="1" si="339"/>
        <v>#VALUE!</v>
      </c>
      <c r="FS257" s="7" t="e" vm="3">
        <f t="shared" ca="1" si="334"/>
        <v>#VALUE!</v>
      </c>
      <c r="FT257" t="e" vm="3">
        <f t="shared" ca="1" si="328"/>
        <v>#VALUE!</v>
      </c>
      <c r="FU257" s="8" t="e" vm="3">
        <f t="shared" ca="1" si="329"/>
        <v>#VALUE!</v>
      </c>
      <c r="FV257" s="8" t="e" vm="3">
        <f t="shared" ca="1" si="330"/>
        <v>#VALUE!</v>
      </c>
      <c r="FW257" s="81" t="e" vm="3">
        <f t="shared" ca="1" si="331"/>
        <v>#VALUE!</v>
      </c>
      <c r="FX257" s="74" t="e">
        <f t="shared" si="335"/>
        <v>#N/A</v>
      </c>
      <c r="FY257" s="82" t="e">
        <f t="shared" si="340"/>
        <v>#N/A</v>
      </c>
      <c r="FZ257" s="7" t="e">
        <f t="shared" si="336"/>
        <v>#N/A</v>
      </c>
      <c r="GA257" t="e">
        <f t="shared" si="341"/>
        <v>#N/A</v>
      </c>
      <c r="GB257" s="8" t="e">
        <f t="shared" si="342"/>
        <v>#N/A</v>
      </c>
      <c r="GC257" s="8" t="e">
        <f t="shared" si="343"/>
        <v>#N/A</v>
      </c>
      <c r="GD257" s="81" t="e">
        <f t="shared" si="344"/>
        <v>#N/A</v>
      </c>
      <c r="GE257" s="74" t="e">
        <f t="shared" si="345"/>
        <v>#N/A</v>
      </c>
      <c r="GF257" s="82" t="e">
        <f t="shared" si="346"/>
        <v>#N/A</v>
      </c>
      <c r="GG257" s="7" t="e">
        <f t="shared" si="337"/>
        <v>#N/A</v>
      </c>
      <c r="GH257" t="e">
        <f t="shared" si="347"/>
        <v>#N/A</v>
      </c>
      <c r="GI257" s="8" t="e">
        <f t="shared" si="348"/>
        <v>#N/A</v>
      </c>
      <c r="GJ257" s="8" t="e">
        <f t="shared" si="349"/>
        <v>#N/A</v>
      </c>
      <c r="GK257" s="81" t="e">
        <f t="shared" si="350"/>
        <v>#N/A</v>
      </c>
      <c r="GL257" s="81"/>
      <c r="GM257" s="81"/>
      <c r="GP257" s="32">
        <f t="shared" si="395"/>
        <v>247</v>
      </c>
      <c r="GQ257" s="32">
        <f t="shared" si="396"/>
        <v>248</v>
      </c>
      <c r="GR257" s="32">
        <f t="shared" si="397"/>
        <v>2.8267241250217205</v>
      </c>
      <c r="GS257" s="32">
        <f t="shared" si="398"/>
        <v>7.3421528709367023E-3</v>
      </c>
      <c r="GT257" s="32" t="e">
        <f t="shared" si="399"/>
        <v>#N/A</v>
      </c>
      <c r="GU257" s="32" t="e">
        <f t="shared" si="400"/>
        <v>#N/A</v>
      </c>
      <c r="GV257" s="32" t="e">
        <f t="shared" si="401"/>
        <v>#N/A</v>
      </c>
      <c r="GW257" s="32" t="b">
        <f t="shared" si="402"/>
        <v>0</v>
      </c>
      <c r="GX257" s="32" t="b">
        <f t="shared" si="403"/>
        <v>1</v>
      </c>
      <c r="GY257" s="32" t="b">
        <f t="shared" si="404"/>
        <v>1</v>
      </c>
      <c r="GZ257" s="32" t="b">
        <f t="shared" si="405"/>
        <v>0</v>
      </c>
      <c r="HA257" s="32">
        <f t="shared" si="406"/>
        <v>7.3421528709367023E-3</v>
      </c>
      <c r="HB257" s="32">
        <f t="shared" si="407"/>
        <v>7.3421528709367023E-3</v>
      </c>
      <c r="HC257" s="32" t="e">
        <f t="shared" si="408"/>
        <v>#N/A</v>
      </c>
      <c r="HD257" s="45" t="str">
        <f t="shared" si="409"/>
        <v/>
      </c>
      <c r="HJ257" s="32">
        <f t="shared" si="410"/>
        <v>247</v>
      </c>
      <c r="HK257" s="32">
        <f t="shared" si="411"/>
        <v>248</v>
      </c>
      <c r="HL257" s="32">
        <f t="shared" si="412"/>
        <v>4.3772416758087083</v>
      </c>
      <c r="HM257" s="32" t="e">
        <f t="shared" si="413"/>
        <v>#N/A</v>
      </c>
      <c r="HN257" s="32">
        <f t="shared" si="414"/>
        <v>1.9736768102251228E-3</v>
      </c>
      <c r="HO257" s="32" t="e">
        <f t="shared" si="415"/>
        <v>#N/A</v>
      </c>
      <c r="HP257" s="32" t="e">
        <f t="shared" si="416"/>
        <v>#N/A</v>
      </c>
      <c r="HQ257" s="32" t="b">
        <f t="shared" si="417"/>
        <v>0</v>
      </c>
      <c r="HR257" s="32" t="b">
        <f t="shared" si="418"/>
        <v>1</v>
      </c>
      <c r="HS257" s="32" t="b">
        <f t="shared" si="419"/>
        <v>1</v>
      </c>
      <c r="HT257" s="32" t="b">
        <f t="shared" si="420"/>
        <v>0</v>
      </c>
      <c r="HU257" s="32">
        <f t="shared" si="421"/>
        <v>1.9736768102251228E-3</v>
      </c>
      <c r="HV257" s="32" t="e">
        <f t="shared" si="422"/>
        <v>#N/A</v>
      </c>
      <c r="HW257" s="32">
        <f t="shared" si="423"/>
        <v>1.9736768102251228E-3</v>
      </c>
      <c r="HX257" s="45" t="str">
        <f t="shared" si="424"/>
        <v/>
      </c>
    </row>
    <row r="258" spans="78:232" x14ac:dyDescent="0.2">
      <c r="BZ258" s="32">
        <f t="shared" si="351"/>
        <v>248</v>
      </c>
      <c r="CA258" s="32">
        <f>Eu_tabel_g[[#This Row],[Indeks]]+1</f>
        <v>249</v>
      </c>
      <c r="CB258" s="32">
        <f t="shared" si="352"/>
        <v>2.8506794142168195</v>
      </c>
      <c r="CC258" s="32">
        <f t="shared" si="353"/>
        <v>6.8594700355305563E-3</v>
      </c>
      <c r="CD258" s="32" t="e">
        <f t="shared" si="354"/>
        <v>#N/A</v>
      </c>
      <c r="CE258" s="32" t="e">
        <f t="shared" si="355"/>
        <v>#N/A</v>
      </c>
      <c r="CF258" s="32" t="e">
        <f t="shared" si="356"/>
        <v>#N/A</v>
      </c>
      <c r="CG258" s="32" t="b">
        <f t="shared" si="357"/>
        <v>0</v>
      </c>
      <c r="CH258" s="32" t="b">
        <f t="shared" si="358"/>
        <v>1</v>
      </c>
      <c r="CI258" s="32" t="b">
        <f t="shared" si="359"/>
        <v>1</v>
      </c>
      <c r="CJ258" s="32" t="b">
        <f t="shared" si="360"/>
        <v>0</v>
      </c>
      <c r="CK258" s="32">
        <f t="shared" si="431"/>
        <v>6.8594700355305563E-3</v>
      </c>
      <c r="CL258" s="32">
        <f t="shared" si="361"/>
        <v>6.8594700355305563E-3</v>
      </c>
      <c r="CM258" s="32" t="e">
        <f t="shared" si="362"/>
        <v>#N/A</v>
      </c>
      <c r="CN258" s="45" t="str">
        <f t="shared" si="363"/>
        <v/>
      </c>
      <c r="CO258" s="32">
        <f>_xlfn.NORM.DIST(_xlfn.NORM.INV(1-Eu_g_konfidensniveau,0,1)-Eu_tabel_g[[#This Row],[x base]],0,1,TRUE)</f>
        <v>3.4697940337063963E-6</v>
      </c>
      <c r="CP258" s="32">
        <f>1-_xlfn.NORM.DIST(_xlfn.NORM.INV(Eu_g_konfidensniveau,0,1)-Eu_tabel_g[[#This Row],[x base]],0,1,TRUE)</f>
        <v>0.8860576648764078</v>
      </c>
      <c r="CQ258" s="32">
        <f>_xlfn.NORM.DIST(_xlfn.NORM.INV((1-Eu_g_konfidensniveau)/2,0,1)-Eu_tabel_g[[#This Row],[x base]],0,1,TRUE)+1-_xlfn.NORM.DIST(_xlfn.NORM.INV(1-(1-Eu_g_konfidensniveau)/2,0,1)-Eu_tabel_g[[#This Row],[x base]],0,1,TRUE)</f>
        <v>0.81345982473559109</v>
      </c>
      <c r="CR258" s="32" t="e" cm="1">
        <f t="array" ref="CR258">IF($CR$3,INDEX(Eu_tabel_g[[#This Row],[Styrke venstre]:[Styrke tosidet]],CR$7),NA())</f>
        <v>#N/A</v>
      </c>
      <c r="CS258" s="52" t="e">
        <f>Eu_tabel_g[[#This Row],[Falsk positiv
Nulhypotese accepteres
Fejltype 1]]</f>
        <v>#N/A</v>
      </c>
      <c r="CT258" s="52" t="e">
        <f>IF(CHOOSE(CR$7,Eu_tabel_g[[#This Row],[x base]]&gt;0,Eu_tabel_g[[#This Row],[x base]]&lt;0,Eu_tabel_g[[#This Row],[x base]]=0),Eu_tabel_g[[#This Row],[Styrke, aktiv]],NA())</f>
        <v>#N/A</v>
      </c>
      <c r="CU258" s="52" t="e">
        <f>IFERROR(IF($CR$3,Eu_tabel_g[[#This Row],[Styrke, aktiv]],NA()),NA())</f>
        <v>#N/A</v>
      </c>
      <c r="CV258" s="52" t="e">
        <f>IF(ISNA(Eu_tabel_g[[#This Row],[Sand negativ
Nulhypotese afvises
Korrekt]]),NA(),IF($CR$3,1,NA()))</f>
        <v>#N/A</v>
      </c>
      <c r="CW258" s="34" t="str" cm="1">
        <f t="array" ref="CW258">_xlfn.SWITCH(BZ258,_xlfn.IFNA(CU$2,-99),CU$5,_xlfn.IFNA(CU$3,-99),CU$6,_xlfn.IFNA(CU$4,-99),CU$7,"")</f>
        <v/>
      </c>
      <c r="DA258" s="7">
        <f t="shared" si="364"/>
        <v>0.8</v>
      </c>
      <c r="DB258">
        <f>IF(ROW(Styrkeberegning_G[[#This Row],[X base venstre]])=ROW(Styrkeberegning_G[[#Headers],[X base venstre]])+1,DB$7/(DA$7/$B$67),DB257/(DA257/$B$67))</f>
        <v>-2.8015817870135784</v>
      </c>
      <c r="DC258">
        <f>Styrkeberegning_G[[#This Row],[X base venstre]]*-1</f>
        <v>2.8015817870135784</v>
      </c>
      <c r="DN258" s="32">
        <f t="shared" si="365"/>
        <v>248</v>
      </c>
      <c r="DO258" s="32">
        <f t="shared" si="366"/>
        <v>249</v>
      </c>
      <c r="DP258" s="32">
        <f t="shared" si="367"/>
        <v>30.123425056069937</v>
      </c>
      <c r="DQ258" s="32" t="e">
        <f t="shared" si="368"/>
        <v>#N/A</v>
      </c>
      <c r="DR258" s="32" t="e">
        <f t="shared" si="369"/>
        <v>#N/A</v>
      </c>
      <c r="DS258" s="32">
        <f t="shared" si="370"/>
        <v>5.4869271376819053E-4</v>
      </c>
      <c r="DT258" s="32" t="e">
        <f t="shared" si="371"/>
        <v>#N/A</v>
      </c>
      <c r="DU258" s="32" t="b">
        <f t="shared" si="372"/>
        <v>0</v>
      </c>
      <c r="DV258" s="32" t="b">
        <f t="shared" si="373"/>
        <v>1</v>
      </c>
      <c r="DW258" s="32" t="b">
        <f t="shared" si="374"/>
        <v>1</v>
      </c>
      <c r="DX258" s="32" t="b">
        <f t="shared" si="375"/>
        <v>0</v>
      </c>
      <c r="DY258" s="32">
        <f t="shared" si="376"/>
        <v>5.4869271376819053E-4</v>
      </c>
      <c r="DZ258" s="32">
        <f t="shared" si="377"/>
        <v>5.4869271376819053E-4</v>
      </c>
      <c r="EA258" s="32" t="e">
        <f t="shared" si="378"/>
        <v>#N/A</v>
      </c>
      <c r="EB258" s="45" t="str">
        <f t="shared" si="379"/>
        <v/>
      </c>
      <c r="EG258" s="32">
        <f t="shared" si="380"/>
        <v>248</v>
      </c>
      <c r="EH258" s="32">
        <f t="shared" si="381"/>
        <v>249</v>
      </c>
      <c r="EI258" s="32">
        <f t="shared" si="382"/>
        <v>2.8506794142168195</v>
      </c>
      <c r="EJ258" s="32">
        <f t="shared" si="383"/>
        <v>6.8594700355305563E-3</v>
      </c>
      <c r="EK258" s="32" t="e">
        <f t="shared" si="384"/>
        <v>#N/A</v>
      </c>
      <c r="EL258" s="32" t="e">
        <f t="shared" si="385"/>
        <v>#N/A</v>
      </c>
      <c r="EM258" s="32" t="e">
        <f t="shared" si="386"/>
        <v>#N/A</v>
      </c>
      <c r="EN258" s="32" t="b">
        <f t="shared" si="387"/>
        <v>0</v>
      </c>
      <c r="EO258" s="32" t="b">
        <f t="shared" si="388"/>
        <v>1</v>
      </c>
      <c r="EP258" s="32" t="b">
        <f t="shared" si="389"/>
        <v>1</v>
      </c>
      <c r="EQ258" s="32" t="b">
        <f t="shared" si="390"/>
        <v>0</v>
      </c>
      <c r="ER258" s="32">
        <f t="shared" si="391"/>
        <v>6.8594700355305563E-3</v>
      </c>
      <c r="ES258" s="32">
        <f t="shared" si="392"/>
        <v>6.8594700355305563E-3</v>
      </c>
      <c r="ET258" s="32" t="e">
        <f t="shared" si="393"/>
        <v>#N/A</v>
      </c>
      <c r="EU258" s="45" t="str">
        <f t="shared" si="394"/>
        <v/>
      </c>
      <c r="EV25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8" s="32" t="e" cm="1">
        <f t="array" ref="EY258">IF($CR$3,INDEX(Eu_tabel_a[[#This Row],[Styrke venstre]:[Styrke tosidet]],EY$7),NA())</f>
        <v>#N/A</v>
      </c>
      <c r="EZ258" s="32" t="e">
        <f>IF(EY$3,IF(CHOOSE(EY$7,Eu_tabel_a[[#This Row],[x base]]&gt;0,Eu_tabel_a[[#This Row],[x base]]&lt;0,Eu_tabel_a[[#This Row],[x base]]=0),1,NA()),NA())</f>
        <v>#N/A</v>
      </c>
      <c r="FA258" s="32" t="e">
        <f>IF(CHOOSE(EY$7,Eu_tabel_a[[#This Row],[x base]]&gt;0,Eu_tabel_a[[#This Row],[x base]]&lt;0,Eu_tabel_a[[#This Row],[x base]]=0),Eu_tabel_a[[#This Row],[Styrke, aktiv]],NA())</f>
        <v>#N/A</v>
      </c>
      <c r="FB258" s="32" t="e">
        <f>IFERROR(IF($EY$3,Eu_tabel_a[[#This Row],[Styrke, aktiv]],NA()),NA())</f>
        <v>#N/A</v>
      </c>
      <c r="FC258" s="32" t="e">
        <f>IF(ISNA(Eu_tabel_a[[#This Row],[Sand negativ
Nulhypotese afvises
Korrekt]]),NA(),IF(EY$3,1,NA()))</f>
        <v>#N/A</v>
      </c>
      <c r="FD258" s="33" t="str" cm="1">
        <f t="array" ref="FD258">IFERROR(_xlfn.SWITCH(Eu_tabel_a[[#This Row],[Indeks]],_xlfn.IFNA(FB$2,-99),FB$5,_xlfn.IFNA(FB$3,-99),FB$6,_xlfn.IFNA(FB$4,-99),FB$7,""),"")</f>
        <v/>
      </c>
      <c r="FE258" s="32">
        <f>Eu_tabel_a[[#This Row],[x base]]*SQRT(Eu_a_h0_x*(1-Eu_a_h0_x)/Eu_a_n_x)+Eu_a_h0_x</f>
        <v>0</v>
      </c>
      <c r="FJ258" s="74" t="e">
        <f t="shared" si="338"/>
        <v>#N/A</v>
      </c>
      <c r="FK258" s="82" t="e">
        <f t="shared" si="426"/>
        <v>#DIV/0!</v>
      </c>
      <c r="FL258" s="7" t="e">
        <f t="shared" si="332"/>
        <v>#DIV/0!</v>
      </c>
      <c r="FM258" t="e">
        <f t="shared" si="427"/>
        <v>#DIV/0!</v>
      </c>
      <c r="FN258" s="8" t="e">
        <f t="shared" si="428"/>
        <v>#DIV/0!</v>
      </c>
      <c r="FO258" s="8" t="e">
        <f t="shared" si="429"/>
        <v>#DIV/0!</v>
      </c>
      <c r="FP258" s="81" t="e">
        <f t="shared" si="430"/>
        <v>#DIV/0!</v>
      </c>
      <c r="FQ258" s="74" t="e">
        <f t="shared" ca="1" si="333"/>
        <v>#N/A</v>
      </c>
      <c r="FR258" s="82" t="e" vm="3">
        <f t="shared" ca="1" si="339"/>
        <v>#VALUE!</v>
      </c>
      <c r="FS258" s="7" t="e" vm="3">
        <f t="shared" ca="1" si="334"/>
        <v>#VALUE!</v>
      </c>
      <c r="FT258" t="e" vm="3">
        <f t="shared" ca="1" si="328"/>
        <v>#VALUE!</v>
      </c>
      <c r="FU258" s="8" t="e" vm="3">
        <f t="shared" ca="1" si="329"/>
        <v>#VALUE!</v>
      </c>
      <c r="FV258" s="8" t="e" vm="3">
        <f t="shared" ca="1" si="330"/>
        <v>#VALUE!</v>
      </c>
      <c r="FW258" s="81" t="e" vm="3">
        <f t="shared" ca="1" si="331"/>
        <v>#VALUE!</v>
      </c>
      <c r="FX258" s="74" t="e">
        <f t="shared" si="335"/>
        <v>#N/A</v>
      </c>
      <c r="FY258" s="82" t="e">
        <f t="shared" si="340"/>
        <v>#N/A</v>
      </c>
      <c r="FZ258" s="7" t="e">
        <f t="shared" si="336"/>
        <v>#N/A</v>
      </c>
      <c r="GA258" t="e">
        <f t="shared" si="341"/>
        <v>#N/A</v>
      </c>
      <c r="GB258" s="8" t="e">
        <f t="shared" si="342"/>
        <v>#N/A</v>
      </c>
      <c r="GC258" s="8" t="e">
        <f t="shared" si="343"/>
        <v>#N/A</v>
      </c>
      <c r="GD258" s="81" t="e">
        <f t="shared" si="344"/>
        <v>#N/A</v>
      </c>
      <c r="GE258" s="74" t="e">
        <f t="shared" si="345"/>
        <v>#N/A</v>
      </c>
      <c r="GF258" s="82" t="e">
        <f t="shared" si="346"/>
        <v>#N/A</v>
      </c>
      <c r="GG258" s="7" t="e">
        <f t="shared" si="337"/>
        <v>#N/A</v>
      </c>
      <c r="GH258" t="e">
        <f t="shared" si="347"/>
        <v>#N/A</v>
      </c>
      <c r="GI258" s="8" t="e">
        <f t="shared" si="348"/>
        <v>#N/A</v>
      </c>
      <c r="GJ258" s="8" t="e">
        <f t="shared" si="349"/>
        <v>#N/A</v>
      </c>
      <c r="GK258" s="81" t="e">
        <f t="shared" si="350"/>
        <v>#N/A</v>
      </c>
      <c r="GL258" s="81"/>
      <c r="GM258" s="81"/>
      <c r="GP258" s="32">
        <f t="shared" si="395"/>
        <v>248</v>
      </c>
      <c r="GQ258" s="32">
        <f t="shared" si="396"/>
        <v>249</v>
      </c>
      <c r="GR258" s="32">
        <f t="shared" si="397"/>
        <v>2.8506794142168195</v>
      </c>
      <c r="GS258" s="32">
        <f t="shared" si="398"/>
        <v>6.8594700355305563E-3</v>
      </c>
      <c r="GT258" s="32" t="e">
        <f t="shared" si="399"/>
        <v>#N/A</v>
      </c>
      <c r="GU258" s="32" t="e">
        <f t="shared" si="400"/>
        <v>#N/A</v>
      </c>
      <c r="GV258" s="32" t="e">
        <f t="shared" si="401"/>
        <v>#N/A</v>
      </c>
      <c r="GW258" s="32" t="b">
        <f t="shared" si="402"/>
        <v>0</v>
      </c>
      <c r="GX258" s="32" t="b">
        <f t="shared" si="403"/>
        <v>1</v>
      </c>
      <c r="GY258" s="32" t="b">
        <f t="shared" si="404"/>
        <v>1</v>
      </c>
      <c r="GZ258" s="32" t="b">
        <f t="shared" si="405"/>
        <v>0</v>
      </c>
      <c r="HA258" s="32">
        <f t="shared" si="406"/>
        <v>6.8594700355305563E-3</v>
      </c>
      <c r="HB258" s="32">
        <f t="shared" si="407"/>
        <v>6.8594700355305563E-3</v>
      </c>
      <c r="HC258" s="32" t="e">
        <f t="shared" si="408"/>
        <v>#N/A</v>
      </c>
      <c r="HD258" s="45" t="str">
        <f t="shared" si="409"/>
        <v/>
      </c>
      <c r="HJ258" s="32">
        <f t="shared" si="410"/>
        <v>248</v>
      </c>
      <c r="HK258" s="32">
        <f t="shared" si="411"/>
        <v>249</v>
      </c>
      <c r="HL258" s="32">
        <f t="shared" si="412"/>
        <v>4.4143369442477649</v>
      </c>
      <c r="HM258" s="32" t="e">
        <f t="shared" si="413"/>
        <v>#N/A</v>
      </c>
      <c r="HN258" s="32">
        <f t="shared" si="414"/>
        <v>1.8782501669481135E-3</v>
      </c>
      <c r="HO258" s="32" t="e">
        <f t="shared" si="415"/>
        <v>#N/A</v>
      </c>
      <c r="HP258" s="32" t="e">
        <f t="shared" si="416"/>
        <v>#N/A</v>
      </c>
      <c r="HQ258" s="32" t="b">
        <f t="shared" si="417"/>
        <v>0</v>
      </c>
      <c r="HR258" s="32" t="b">
        <f t="shared" si="418"/>
        <v>1</v>
      </c>
      <c r="HS258" s="32" t="b">
        <f t="shared" si="419"/>
        <v>1</v>
      </c>
      <c r="HT258" s="32" t="b">
        <f t="shared" si="420"/>
        <v>0</v>
      </c>
      <c r="HU258" s="32">
        <f t="shared" si="421"/>
        <v>1.8782501669481135E-3</v>
      </c>
      <c r="HV258" s="32" t="e">
        <f t="shared" si="422"/>
        <v>#N/A</v>
      </c>
      <c r="HW258" s="32">
        <f t="shared" si="423"/>
        <v>1.8782501669481135E-3</v>
      </c>
      <c r="HX258" s="45" t="str">
        <f t="shared" si="424"/>
        <v/>
      </c>
    </row>
    <row r="259" spans="78:232" x14ac:dyDescent="0.2">
      <c r="BZ259" s="32">
        <f t="shared" si="351"/>
        <v>249</v>
      </c>
      <c r="CA259" s="32">
        <f>Eu_tabel_g[[#This Row],[Indeks]]+1</f>
        <v>250</v>
      </c>
      <c r="CB259" s="32">
        <f t="shared" si="352"/>
        <v>2.8746347034119193</v>
      </c>
      <c r="CC259" s="32">
        <f t="shared" si="353"/>
        <v>6.4048428962354522E-3</v>
      </c>
      <c r="CD259" s="32" t="e">
        <f t="shared" si="354"/>
        <v>#N/A</v>
      </c>
      <c r="CE259" s="32" t="e">
        <f t="shared" si="355"/>
        <v>#N/A</v>
      </c>
      <c r="CF259" s="32" t="e">
        <f t="shared" si="356"/>
        <v>#N/A</v>
      </c>
      <c r="CG259" s="32" t="b">
        <f t="shared" si="357"/>
        <v>0</v>
      </c>
      <c r="CH259" s="32" t="b">
        <f t="shared" si="358"/>
        <v>1</v>
      </c>
      <c r="CI259" s="32" t="b">
        <f t="shared" si="359"/>
        <v>1</v>
      </c>
      <c r="CJ259" s="32" t="b">
        <f t="shared" si="360"/>
        <v>0</v>
      </c>
      <c r="CK259" s="32">
        <f t="shared" si="431"/>
        <v>6.4048428962354522E-3</v>
      </c>
      <c r="CL259" s="32">
        <f t="shared" si="361"/>
        <v>6.4048428962354522E-3</v>
      </c>
      <c r="CM259" s="32" t="e">
        <f t="shared" si="362"/>
        <v>#N/A</v>
      </c>
      <c r="CN259" s="45" t="str">
        <f t="shared" si="363"/>
        <v/>
      </c>
      <c r="CO259" s="32">
        <f>_xlfn.NORM.DIST(_xlfn.NORM.INV(1-Eu_g_konfidensniveau,0,1)-Eu_tabel_g[[#This Row],[x base]],0,1,TRUE)</f>
        <v>3.0994632123592412E-6</v>
      </c>
      <c r="CP259" s="32">
        <f>1-_xlfn.NORM.DIST(_xlfn.NORM.INV(Eu_g_konfidensniveau,0,1)-Eu_tabel_g[[#This Row],[x base]],0,1,TRUE)</f>
        <v>0.89061045181482168</v>
      </c>
      <c r="CQ259" s="32">
        <f>_xlfn.NORM.DIST(_xlfn.NORM.INV((1-Eu_g_konfidensniveau)/2,0,1)-Eu_tabel_g[[#This Row],[x base]],0,1,TRUE)+1-_xlfn.NORM.DIST(_xlfn.NORM.INV(1-(1-Eu_g_konfidensniveau)/2,0,1)-Eu_tabel_g[[#This Row],[x base]],0,1,TRUE)</f>
        <v>0.81981840674074768</v>
      </c>
      <c r="CR259" s="32" t="e" cm="1">
        <f t="array" ref="CR259">IF($CR$3,INDEX(Eu_tabel_g[[#This Row],[Styrke venstre]:[Styrke tosidet]],CR$7),NA())</f>
        <v>#N/A</v>
      </c>
      <c r="CS259" s="52" t="e">
        <f>Eu_tabel_g[[#This Row],[Falsk positiv
Nulhypotese accepteres
Fejltype 1]]</f>
        <v>#N/A</v>
      </c>
      <c r="CT259" s="52" t="e">
        <f>IF(CHOOSE(CR$7,Eu_tabel_g[[#This Row],[x base]]&gt;0,Eu_tabel_g[[#This Row],[x base]]&lt;0,Eu_tabel_g[[#This Row],[x base]]=0),Eu_tabel_g[[#This Row],[Styrke, aktiv]],NA())</f>
        <v>#N/A</v>
      </c>
      <c r="CU259" s="52" t="e">
        <f>IFERROR(IF($CR$3,Eu_tabel_g[[#This Row],[Styrke, aktiv]],NA()),NA())</f>
        <v>#N/A</v>
      </c>
      <c r="CV259" s="52" t="e">
        <f>IF(ISNA(Eu_tabel_g[[#This Row],[Sand negativ
Nulhypotese afvises
Korrekt]]),NA(),IF($CR$3,1,NA()))</f>
        <v>#N/A</v>
      </c>
      <c r="CW259" s="34" t="str" cm="1">
        <f t="array" ref="CW259">_xlfn.SWITCH(BZ259,_xlfn.IFNA(CU$2,-99),CU$5,_xlfn.IFNA(CU$3,-99),CU$6,_xlfn.IFNA(CU$4,-99),CU$7,"")</f>
        <v/>
      </c>
      <c r="DA259" s="7">
        <f t="shared" si="364"/>
        <v>0.8</v>
      </c>
      <c r="DB259">
        <f>IF(ROW(Styrkeberegning_G[[#This Row],[X base venstre]])=ROW(Styrkeberegning_G[[#Headers],[X base venstre]])+1,DB$7/(DA$7/$B$67),DB258/(DA258/$B$67))</f>
        <v>-2.8015817870135784</v>
      </c>
      <c r="DC259">
        <f>Styrkeberegning_G[[#This Row],[X base venstre]]*-1</f>
        <v>2.8015817870135784</v>
      </c>
      <c r="DN259" s="32">
        <f t="shared" si="365"/>
        <v>249</v>
      </c>
      <c r="DO259" s="32">
        <f t="shared" si="366"/>
        <v>250</v>
      </c>
      <c r="DP259" s="32">
        <f t="shared" si="367"/>
        <v>30.237495912486938</v>
      </c>
      <c r="DQ259" s="32" t="e">
        <f t="shared" si="368"/>
        <v>#N/A</v>
      </c>
      <c r="DR259" s="32" t="e">
        <f t="shared" si="369"/>
        <v>#N/A</v>
      </c>
      <c r="DS259" s="32">
        <f t="shared" si="370"/>
        <v>5.2716388341654432E-4</v>
      </c>
      <c r="DT259" s="32" t="e">
        <f t="shared" si="371"/>
        <v>#N/A</v>
      </c>
      <c r="DU259" s="32" t="b">
        <f t="shared" si="372"/>
        <v>0</v>
      </c>
      <c r="DV259" s="32" t="b">
        <f t="shared" si="373"/>
        <v>1</v>
      </c>
      <c r="DW259" s="32" t="b">
        <f t="shared" si="374"/>
        <v>1</v>
      </c>
      <c r="DX259" s="32" t="b">
        <f t="shared" si="375"/>
        <v>0</v>
      </c>
      <c r="DY259" s="32">
        <f t="shared" si="376"/>
        <v>5.2716388341654432E-4</v>
      </c>
      <c r="DZ259" s="32">
        <f t="shared" si="377"/>
        <v>5.2716388341654432E-4</v>
      </c>
      <c r="EA259" s="32" t="e">
        <f t="shared" si="378"/>
        <v>#N/A</v>
      </c>
      <c r="EB259" s="45" t="str">
        <f t="shared" si="379"/>
        <v/>
      </c>
      <c r="EG259" s="32">
        <f t="shared" si="380"/>
        <v>249</v>
      </c>
      <c r="EH259" s="32">
        <f t="shared" si="381"/>
        <v>250</v>
      </c>
      <c r="EI259" s="32">
        <f t="shared" si="382"/>
        <v>2.8746347034119193</v>
      </c>
      <c r="EJ259" s="32">
        <f t="shared" si="383"/>
        <v>6.4048428962354522E-3</v>
      </c>
      <c r="EK259" s="32" t="e">
        <f t="shared" si="384"/>
        <v>#N/A</v>
      </c>
      <c r="EL259" s="32" t="e">
        <f t="shared" si="385"/>
        <v>#N/A</v>
      </c>
      <c r="EM259" s="32" t="e">
        <f t="shared" si="386"/>
        <v>#N/A</v>
      </c>
      <c r="EN259" s="32" t="b">
        <f t="shared" si="387"/>
        <v>0</v>
      </c>
      <c r="EO259" s="32" t="b">
        <f t="shared" si="388"/>
        <v>1</v>
      </c>
      <c r="EP259" s="32" t="b">
        <f t="shared" si="389"/>
        <v>1</v>
      </c>
      <c r="EQ259" s="32" t="b">
        <f t="shared" si="390"/>
        <v>0</v>
      </c>
      <c r="ER259" s="32">
        <f t="shared" si="391"/>
        <v>6.4048428962354522E-3</v>
      </c>
      <c r="ES259" s="32">
        <f t="shared" si="392"/>
        <v>6.4048428962354522E-3</v>
      </c>
      <c r="ET259" s="32" t="e">
        <f t="shared" si="393"/>
        <v>#N/A</v>
      </c>
      <c r="EU259" s="45" t="str">
        <f t="shared" si="394"/>
        <v/>
      </c>
      <c r="EV25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9"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9"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9" s="32" t="e" cm="1">
        <f t="array" ref="EY259">IF($CR$3,INDEX(Eu_tabel_a[[#This Row],[Styrke venstre]:[Styrke tosidet]],EY$7),NA())</f>
        <v>#N/A</v>
      </c>
      <c r="EZ259" s="32" t="e">
        <f>IF(EY$3,IF(CHOOSE(EY$7,Eu_tabel_a[[#This Row],[x base]]&gt;0,Eu_tabel_a[[#This Row],[x base]]&lt;0,Eu_tabel_a[[#This Row],[x base]]=0),1,NA()),NA())</f>
        <v>#N/A</v>
      </c>
      <c r="FA259" s="32" t="e">
        <f>IF(CHOOSE(EY$7,Eu_tabel_a[[#This Row],[x base]]&gt;0,Eu_tabel_a[[#This Row],[x base]]&lt;0,Eu_tabel_a[[#This Row],[x base]]=0),Eu_tabel_a[[#This Row],[Styrke, aktiv]],NA())</f>
        <v>#N/A</v>
      </c>
      <c r="FB259" s="32" t="e">
        <f>IFERROR(IF($EY$3,Eu_tabel_a[[#This Row],[Styrke, aktiv]],NA()),NA())</f>
        <v>#N/A</v>
      </c>
      <c r="FC259" s="32" t="e">
        <f>IF(ISNA(Eu_tabel_a[[#This Row],[Sand negativ
Nulhypotese afvises
Korrekt]]),NA(),IF(EY$3,1,NA()))</f>
        <v>#N/A</v>
      </c>
      <c r="FD259" s="33" t="str" cm="1">
        <f t="array" ref="FD259">IFERROR(_xlfn.SWITCH(Eu_tabel_a[[#This Row],[Indeks]],_xlfn.IFNA(FB$2,-99),FB$5,_xlfn.IFNA(FB$3,-99),FB$6,_xlfn.IFNA(FB$4,-99),FB$7,""),"")</f>
        <v/>
      </c>
      <c r="FE259" s="32">
        <f>Eu_tabel_a[[#This Row],[x base]]*SQRT(Eu_a_h0_x*(1-Eu_a_h0_x)/Eu_a_n_x)+Eu_a_h0_x</f>
        <v>0</v>
      </c>
      <c r="FJ259" s="74" t="e">
        <f t="shared" si="338"/>
        <v>#N/A</v>
      </c>
      <c r="FK259" s="82" t="e">
        <f t="shared" si="426"/>
        <v>#DIV/0!</v>
      </c>
      <c r="FL259" s="7" t="e">
        <f t="shared" si="332"/>
        <v>#DIV/0!</v>
      </c>
      <c r="FM259" t="e">
        <f t="shared" si="427"/>
        <v>#DIV/0!</v>
      </c>
      <c r="FN259" s="8" t="e">
        <f t="shared" si="428"/>
        <v>#DIV/0!</v>
      </c>
      <c r="FO259" s="8" t="e">
        <f t="shared" si="429"/>
        <v>#DIV/0!</v>
      </c>
      <c r="FP259" s="81" t="e">
        <f t="shared" si="430"/>
        <v>#DIV/0!</v>
      </c>
      <c r="FQ259" s="74" t="e">
        <f t="shared" ca="1" si="333"/>
        <v>#N/A</v>
      </c>
      <c r="FR259" s="82" t="e" vm="3">
        <f t="shared" ca="1" si="339"/>
        <v>#VALUE!</v>
      </c>
      <c r="FS259" s="7" t="e" vm="3">
        <f t="shared" ca="1" si="334"/>
        <v>#VALUE!</v>
      </c>
      <c r="FT259" t="e" vm="3">
        <f t="shared" ca="1" si="328"/>
        <v>#VALUE!</v>
      </c>
      <c r="FU259" s="8" t="e" vm="3">
        <f t="shared" ca="1" si="329"/>
        <v>#VALUE!</v>
      </c>
      <c r="FV259" s="8" t="e" vm="3">
        <f t="shared" ca="1" si="330"/>
        <v>#VALUE!</v>
      </c>
      <c r="FW259" s="81" t="e" vm="3">
        <f t="shared" ca="1" si="331"/>
        <v>#VALUE!</v>
      </c>
      <c r="FX259" s="74" t="e">
        <f t="shared" si="335"/>
        <v>#N/A</v>
      </c>
      <c r="FY259" s="82" t="e">
        <f t="shared" si="340"/>
        <v>#N/A</v>
      </c>
      <c r="FZ259" s="7" t="e">
        <f t="shared" si="336"/>
        <v>#N/A</v>
      </c>
      <c r="GA259" t="e">
        <f t="shared" si="341"/>
        <v>#N/A</v>
      </c>
      <c r="GB259" s="8" t="e">
        <f t="shared" si="342"/>
        <v>#N/A</v>
      </c>
      <c r="GC259" s="8" t="e">
        <f t="shared" si="343"/>
        <v>#N/A</v>
      </c>
      <c r="GD259" s="81" t="e">
        <f t="shared" si="344"/>
        <v>#N/A</v>
      </c>
      <c r="GE259" s="74" t="e">
        <f t="shared" si="345"/>
        <v>#N/A</v>
      </c>
      <c r="GF259" s="82" t="e">
        <f t="shared" si="346"/>
        <v>#N/A</v>
      </c>
      <c r="GG259" s="7" t="e">
        <f t="shared" si="337"/>
        <v>#N/A</v>
      </c>
      <c r="GH259" t="e">
        <f t="shared" si="347"/>
        <v>#N/A</v>
      </c>
      <c r="GI259" s="8" t="e">
        <f t="shared" si="348"/>
        <v>#N/A</v>
      </c>
      <c r="GJ259" s="8" t="e">
        <f t="shared" si="349"/>
        <v>#N/A</v>
      </c>
      <c r="GK259" s="81" t="e">
        <f t="shared" si="350"/>
        <v>#N/A</v>
      </c>
      <c r="GL259" s="81"/>
      <c r="GM259" s="81"/>
      <c r="GP259" s="32">
        <f t="shared" si="395"/>
        <v>249</v>
      </c>
      <c r="GQ259" s="32">
        <f t="shared" si="396"/>
        <v>250</v>
      </c>
      <c r="GR259" s="32">
        <f t="shared" si="397"/>
        <v>2.8746347034119193</v>
      </c>
      <c r="GS259" s="32">
        <f t="shared" si="398"/>
        <v>6.4048428962354522E-3</v>
      </c>
      <c r="GT259" s="32" t="e">
        <f t="shared" si="399"/>
        <v>#N/A</v>
      </c>
      <c r="GU259" s="32" t="e">
        <f t="shared" si="400"/>
        <v>#N/A</v>
      </c>
      <c r="GV259" s="32" t="e">
        <f t="shared" si="401"/>
        <v>#N/A</v>
      </c>
      <c r="GW259" s="32" t="b">
        <f t="shared" si="402"/>
        <v>0</v>
      </c>
      <c r="GX259" s="32" t="b">
        <f t="shared" si="403"/>
        <v>1</v>
      </c>
      <c r="GY259" s="32" t="b">
        <f t="shared" si="404"/>
        <v>1</v>
      </c>
      <c r="GZ259" s="32" t="b">
        <f t="shared" si="405"/>
        <v>0</v>
      </c>
      <c r="HA259" s="32">
        <f t="shared" si="406"/>
        <v>6.4048428962354522E-3</v>
      </c>
      <c r="HB259" s="32">
        <f t="shared" si="407"/>
        <v>6.4048428962354522E-3</v>
      </c>
      <c r="HC259" s="32" t="e">
        <f t="shared" si="408"/>
        <v>#N/A</v>
      </c>
      <c r="HD259" s="45" t="str">
        <f t="shared" si="409"/>
        <v/>
      </c>
      <c r="HJ259" s="32">
        <f t="shared" si="410"/>
        <v>249</v>
      </c>
      <c r="HK259" s="32">
        <f t="shared" si="411"/>
        <v>250</v>
      </c>
      <c r="HL259" s="32">
        <f t="shared" si="412"/>
        <v>4.4514322126868215</v>
      </c>
      <c r="HM259" s="32" t="e">
        <f t="shared" si="413"/>
        <v>#N/A</v>
      </c>
      <c r="HN259" s="32">
        <f t="shared" si="414"/>
        <v>1.7877876216175568E-3</v>
      </c>
      <c r="HO259" s="32" t="e">
        <f t="shared" si="415"/>
        <v>#N/A</v>
      </c>
      <c r="HP259" s="32" t="e">
        <f t="shared" si="416"/>
        <v>#N/A</v>
      </c>
      <c r="HQ259" s="32" t="b">
        <f t="shared" si="417"/>
        <v>0</v>
      </c>
      <c r="HR259" s="32" t="b">
        <f t="shared" si="418"/>
        <v>1</v>
      </c>
      <c r="HS259" s="32" t="b">
        <f t="shared" si="419"/>
        <v>1</v>
      </c>
      <c r="HT259" s="32" t="b">
        <f t="shared" si="420"/>
        <v>0</v>
      </c>
      <c r="HU259" s="32">
        <f t="shared" si="421"/>
        <v>1.7877876216175568E-3</v>
      </c>
      <c r="HV259" s="32" t="e">
        <f t="shared" si="422"/>
        <v>#N/A</v>
      </c>
      <c r="HW259" s="32">
        <f t="shared" si="423"/>
        <v>1.7877876216175568E-3</v>
      </c>
      <c r="HX259" s="45" t="str">
        <f t="shared" si="424"/>
        <v/>
      </c>
    </row>
    <row r="260" spans="78:232" x14ac:dyDescent="0.2">
      <c r="BZ260" s="59">
        <f t="shared" si="351"/>
        <v>250</v>
      </c>
      <c r="CA260" s="32">
        <f>Eu_tabel_g[[#This Row],[Indeks]]+1</f>
        <v>251</v>
      </c>
      <c r="CB260" s="59">
        <f t="shared" si="352"/>
        <v>2.8985899926070182</v>
      </c>
      <c r="CC260" s="59">
        <f t="shared" si="353"/>
        <v>5.9769163423966497E-3</v>
      </c>
      <c r="CD260" s="59" t="e">
        <f t="shared" si="354"/>
        <v>#N/A</v>
      </c>
      <c r="CE260" s="59" t="e">
        <f t="shared" si="355"/>
        <v>#N/A</v>
      </c>
      <c r="CF260" s="59" t="e">
        <f t="shared" si="356"/>
        <v>#N/A</v>
      </c>
      <c r="CG260" s="59" t="b">
        <f t="shared" si="357"/>
        <v>0</v>
      </c>
      <c r="CH260" s="59" t="b">
        <f t="shared" si="358"/>
        <v>1</v>
      </c>
      <c r="CI260" s="59" t="b">
        <f t="shared" si="359"/>
        <v>1</v>
      </c>
      <c r="CJ260" s="59" t="b">
        <f t="shared" si="360"/>
        <v>0</v>
      </c>
      <c r="CK260" s="59">
        <f t="shared" si="431"/>
        <v>5.9769163423966497E-3</v>
      </c>
      <c r="CL260" s="59">
        <f t="shared" si="361"/>
        <v>5.9769163423966497E-3</v>
      </c>
      <c r="CM260" s="59" t="e">
        <f t="shared" si="362"/>
        <v>#N/A</v>
      </c>
      <c r="CN260" s="60" t="str">
        <f t="shared" si="363"/>
        <v/>
      </c>
      <c r="CO260" s="32">
        <f>_xlfn.NORM.DIST(_xlfn.NORM.INV(1-Eu_g_konfidensniveau,0,1)-Eu_tabel_g[[#This Row],[x base]],0,1,TRUE)</f>
        <v>2.7671306224738396E-6</v>
      </c>
      <c r="CP260" s="32">
        <f>1-_xlfn.NORM.DIST(_xlfn.NORM.INV(Eu_g_konfidensniveau,0,1)-Eu_tabel_g[[#This Row],[x base]],0,1,TRUE)</f>
        <v>0.89503107733648157</v>
      </c>
      <c r="CQ260" s="32">
        <f>_xlfn.NORM.DIST(_xlfn.NORM.INV((1-Eu_g_konfidensniveau)/2,0,1)-Eu_tabel_g[[#This Row],[x base]],0,1,TRUE)+1-_xlfn.NORM.DIST(_xlfn.NORM.INV(1-(1-Eu_g_konfidensniveau)/2,0,1)-Eu_tabel_g[[#This Row],[x base]],0,1,TRUE)</f>
        <v>0.82603919385088265</v>
      </c>
      <c r="CR260" s="32" t="e" cm="1">
        <f t="array" ref="CR260">IF($CR$3,INDEX(Eu_tabel_g[[#This Row],[Styrke venstre]:[Styrke tosidet]],CR$7),NA())</f>
        <v>#N/A</v>
      </c>
      <c r="CS260" s="52" t="e">
        <f>Eu_tabel_g[[#This Row],[Falsk positiv
Nulhypotese accepteres
Fejltype 1]]</f>
        <v>#N/A</v>
      </c>
      <c r="CT260" s="52" t="e">
        <f>IF(CHOOSE(CR$7,Eu_tabel_g[[#This Row],[x base]]&gt;0,Eu_tabel_g[[#This Row],[x base]]&lt;0,Eu_tabel_g[[#This Row],[x base]]=0),Eu_tabel_g[[#This Row],[Styrke, aktiv]],NA())</f>
        <v>#N/A</v>
      </c>
      <c r="CU260" s="52" t="e">
        <f>IFERROR(IF($CR$3,Eu_tabel_g[[#This Row],[Styrke, aktiv]],NA()),NA())</f>
        <v>#N/A</v>
      </c>
      <c r="CV260" s="52" t="e">
        <f>IF(ISNA(Eu_tabel_g[[#This Row],[Sand negativ
Nulhypotese afvises
Korrekt]]),NA(),IF($CR$3,1,NA()))</f>
        <v>#N/A</v>
      </c>
      <c r="CW260" s="34" t="str" cm="1">
        <f t="array" ref="CW260">_xlfn.SWITCH(BZ260,_xlfn.IFNA(CU$2,-99),CU$5,_xlfn.IFNA(CU$3,-99),CU$6,_xlfn.IFNA(CU$4,-99),CU$7,"")</f>
        <v/>
      </c>
      <c r="DA260" s="7">
        <f t="shared" si="364"/>
        <v>0.8</v>
      </c>
      <c r="DB260">
        <f>IF(ROW(Styrkeberegning_G[[#This Row],[X base venstre]])=ROW(Styrkeberegning_G[[#Headers],[X base venstre]])+1,DB$7/(DA$7/$B$67),DB259/(DA259/$B$67))</f>
        <v>-2.8015817870135784</v>
      </c>
      <c r="DC260">
        <f>Styrkeberegning_G[[#This Row],[X base venstre]]*-1</f>
        <v>2.8015817870135784</v>
      </c>
      <c r="DN260" s="59">
        <f t="shared" si="365"/>
        <v>250</v>
      </c>
      <c r="DO260" s="32">
        <f t="shared" si="366"/>
        <v>251</v>
      </c>
      <c r="DP260" s="59">
        <f t="shared" si="367"/>
        <v>30.35156676890394</v>
      </c>
      <c r="DQ260" s="59" t="e">
        <f t="shared" si="368"/>
        <v>#N/A</v>
      </c>
      <c r="DR260" s="59" t="e">
        <f t="shared" si="369"/>
        <v>#N/A</v>
      </c>
      <c r="DS260" s="59">
        <f t="shared" si="370"/>
        <v>5.0644733535538239E-4</v>
      </c>
      <c r="DT260" s="59" t="e">
        <f t="shared" si="371"/>
        <v>#N/A</v>
      </c>
      <c r="DU260" s="59" t="b">
        <f t="shared" si="372"/>
        <v>0</v>
      </c>
      <c r="DV260" s="59" t="b">
        <f t="shared" si="373"/>
        <v>1</v>
      </c>
      <c r="DW260" s="59" t="b">
        <f t="shared" si="374"/>
        <v>1</v>
      </c>
      <c r="DX260" s="59" t="b">
        <f t="shared" si="375"/>
        <v>0</v>
      </c>
      <c r="DY260" s="59">
        <f t="shared" si="376"/>
        <v>5.0644733535538239E-4</v>
      </c>
      <c r="DZ260" s="59">
        <f t="shared" si="377"/>
        <v>5.0644733535538239E-4</v>
      </c>
      <c r="EA260" s="59" t="e">
        <f t="shared" si="378"/>
        <v>#N/A</v>
      </c>
      <c r="EB260" s="60" t="str">
        <f t="shared" si="379"/>
        <v/>
      </c>
      <c r="EG260" s="59">
        <f t="shared" si="380"/>
        <v>250</v>
      </c>
      <c r="EH260" s="32">
        <f t="shared" si="381"/>
        <v>251</v>
      </c>
      <c r="EI260" s="59">
        <f t="shared" si="382"/>
        <v>2.8985899926070182</v>
      </c>
      <c r="EJ260" s="59">
        <f t="shared" si="383"/>
        <v>5.9769163423966497E-3</v>
      </c>
      <c r="EK260" s="59" t="e">
        <f t="shared" si="384"/>
        <v>#N/A</v>
      </c>
      <c r="EL260" s="59" t="e">
        <f t="shared" si="385"/>
        <v>#N/A</v>
      </c>
      <c r="EM260" s="59" t="e">
        <f t="shared" si="386"/>
        <v>#N/A</v>
      </c>
      <c r="EN260" s="59" t="b">
        <f t="shared" si="387"/>
        <v>0</v>
      </c>
      <c r="EO260" s="59" t="b">
        <f t="shared" si="388"/>
        <v>1</v>
      </c>
      <c r="EP260" s="59" t="b">
        <f t="shared" si="389"/>
        <v>1</v>
      </c>
      <c r="EQ260" s="59" t="b">
        <f t="shared" si="390"/>
        <v>0</v>
      </c>
      <c r="ER260" s="59">
        <f t="shared" si="391"/>
        <v>5.9769163423966497E-3</v>
      </c>
      <c r="ES260" s="59">
        <f t="shared" si="392"/>
        <v>5.9769163423966497E-3</v>
      </c>
      <c r="ET260" s="59" t="e">
        <f t="shared" si="393"/>
        <v>#N/A</v>
      </c>
      <c r="EU260" s="60" t="str">
        <f t="shared" si="394"/>
        <v/>
      </c>
      <c r="EV26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0"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0"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0" s="32" t="e" cm="1">
        <f t="array" ref="EY260">IF($CR$3,INDEX(Eu_tabel_a[[#This Row],[Styrke venstre]:[Styrke tosidet]],EY$7),NA())</f>
        <v>#N/A</v>
      </c>
      <c r="EZ260" s="32" t="e">
        <f>IF(EY$3,IF(CHOOSE(EY$7,Eu_tabel_a[[#This Row],[x base]]&gt;0,Eu_tabel_a[[#This Row],[x base]]&lt;0,Eu_tabel_a[[#This Row],[x base]]=0),1,NA()),NA())</f>
        <v>#N/A</v>
      </c>
      <c r="FA260" s="32" t="e">
        <f>IF(CHOOSE(EY$7,Eu_tabel_a[[#This Row],[x base]]&gt;0,Eu_tabel_a[[#This Row],[x base]]&lt;0,Eu_tabel_a[[#This Row],[x base]]=0),Eu_tabel_a[[#This Row],[Styrke, aktiv]],NA())</f>
        <v>#N/A</v>
      </c>
      <c r="FB260" s="32" t="e">
        <f>IFERROR(IF($EY$3,Eu_tabel_a[[#This Row],[Styrke, aktiv]],NA()),NA())</f>
        <v>#N/A</v>
      </c>
      <c r="FC260" s="32" t="e">
        <f>IF(ISNA(Eu_tabel_a[[#This Row],[Sand negativ
Nulhypotese afvises
Korrekt]]),NA(),IF(EY$3,1,NA()))</f>
        <v>#N/A</v>
      </c>
      <c r="FD260" s="33" t="str" cm="1">
        <f t="array" ref="FD260">IFERROR(_xlfn.SWITCH(Eu_tabel_a[[#This Row],[Indeks]],_xlfn.IFNA(FB$2,-99),FB$5,_xlfn.IFNA(FB$3,-99),FB$6,_xlfn.IFNA(FB$4,-99),FB$7,""),"")</f>
        <v/>
      </c>
      <c r="FE260" s="32">
        <f>Eu_tabel_a[[#This Row],[x base]]*SQRT(Eu_a_h0_x*(1-Eu_a_h0_x)/Eu_a_n_x)+Eu_a_h0_x</f>
        <v>0</v>
      </c>
      <c r="FJ260" s="74" t="e">
        <f t="shared" si="338"/>
        <v>#N/A</v>
      </c>
      <c r="FK260" s="82" t="e">
        <f t="shared" si="426"/>
        <v>#DIV/0!</v>
      </c>
      <c r="FL260" s="7" t="e">
        <f t="shared" si="332"/>
        <v>#DIV/0!</v>
      </c>
      <c r="FM260" t="e">
        <f t="shared" si="427"/>
        <v>#DIV/0!</v>
      </c>
      <c r="FN260" s="8" t="e">
        <f t="shared" si="428"/>
        <v>#DIV/0!</v>
      </c>
      <c r="FO260" s="8" t="e">
        <f t="shared" si="429"/>
        <v>#DIV/0!</v>
      </c>
      <c r="FP260" s="81" t="e">
        <f t="shared" si="430"/>
        <v>#DIV/0!</v>
      </c>
      <c r="FQ260" s="74" t="e">
        <f t="shared" ca="1" si="333"/>
        <v>#N/A</v>
      </c>
      <c r="FR260" s="82" t="e" vm="3">
        <f t="shared" ca="1" si="339"/>
        <v>#VALUE!</v>
      </c>
      <c r="FS260" s="7" t="e" vm="3">
        <f t="shared" ca="1" si="334"/>
        <v>#VALUE!</v>
      </c>
      <c r="FT260" t="e" vm="3">
        <f t="shared" ca="1" si="328"/>
        <v>#VALUE!</v>
      </c>
      <c r="FU260" s="8" t="e" vm="3">
        <f t="shared" ca="1" si="329"/>
        <v>#VALUE!</v>
      </c>
      <c r="FV260" s="8" t="e" vm="3">
        <f t="shared" ca="1" si="330"/>
        <v>#VALUE!</v>
      </c>
      <c r="FW260" s="81" t="e" vm="3">
        <f t="shared" ca="1" si="331"/>
        <v>#VALUE!</v>
      </c>
      <c r="FX260" s="74" t="e">
        <f t="shared" si="335"/>
        <v>#N/A</v>
      </c>
      <c r="FY260" s="82" t="e">
        <f t="shared" si="340"/>
        <v>#N/A</v>
      </c>
      <c r="FZ260" s="7" t="e">
        <f t="shared" si="336"/>
        <v>#N/A</v>
      </c>
      <c r="GA260" t="e">
        <f t="shared" si="341"/>
        <v>#N/A</v>
      </c>
      <c r="GB260" s="8" t="e">
        <f t="shared" si="342"/>
        <v>#N/A</v>
      </c>
      <c r="GC260" s="8" t="e">
        <f t="shared" si="343"/>
        <v>#N/A</v>
      </c>
      <c r="GD260" s="81" t="e">
        <f t="shared" si="344"/>
        <v>#N/A</v>
      </c>
      <c r="GE260" s="74" t="e">
        <f t="shared" si="345"/>
        <v>#N/A</v>
      </c>
      <c r="GF260" s="82" t="e">
        <f t="shared" si="346"/>
        <v>#N/A</v>
      </c>
      <c r="GG260" s="7" t="e">
        <f t="shared" si="337"/>
        <v>#N/A</v>
      </c>
      <c r="GH260" t="e">
        <f t="shared" si="347"/>
        <v>#N/A</v>
      </c>
      <c r="GI260" s="8" t="e">
        <f t="shared" si="348"/>
        <v>#N/A</v>
      </c>
      <c r="GJ260" s="8" t="e">
        <f t="shared" si="349"/>
        <v>#N/A</v>
      </c>
      <c r="GK260" s="81" t="e">
        <f t="shared" si="350"/>
        <v>#N/A</v>
      </c>
      <c r="GL260" s="81"/>
      <c r="GM260" s="81"/>
      <c r="GP260" s="59">
        <f t="shared" si="395"/>
        <v>250</v>
      </c>
      <c r="GQ260" s="32">
        <f t="shared" si="396"/>
        <v>251</v>
      </c>
      <c r="GR260" s="59">
        <f t="shared" si="397"/>
        <v>2.8985899926070182</v>
      </c>
      <c r="GS260" s="59">
        <f t="shared" si="398"/>
        <v>5.9769163423966497E-3</v>
      </c>
      <c r="GT260" s="59" t="e">
        <f t="shared" si="399"/>
        <v>#N/A</v>
      </c>
      <c r="GU260" s="59" t="e">
        <f t="shared" si="400"/>
        <v>#N/A</v>
      </c>
      <c r="GV260" s="59" t="e">
        <f t="shared" si="401"/>
        <v>#N/A</v>
      </c>
      <c r="GW260" s="59" t="b">
        <f t="shared" si="402"/>
        <v>0</v>
      </c>
      <c r="GX260" s="59" t="b">
        <f t="shared" si="403"/>
        <v>1</v>
      </c>
      <c r="GY260" s="59" t="b">
        <f t="shared" si="404"/>
        <v>1</v>
      </c>
      <c r="GZ260" s="59" t="b">
        <f t="shared" si="405"/>
        <v>0</v>
      </c>
      <c r="HA260" s="59">
        <f t="shared" si="406"/>
        <v>5.9769163423966497E-3</v>
      </c>
      <c r="HB260" s="59">
        <f t="shared" si="407"/>
        <v>5.9769163423966497E-3</v>
      </c>
      <c r="HC260" s="59" t="e">
        <f t="shared" si="408"/>
        <v>#N/A</v>
      </c>
      <c r="HD260" s="60" t="str">
        <f t="shared" si="409"/>
        <v/>
      </c>
      <c r="HJ260" s="59">
        <f t="shared" si="410"/>
        <v>250</v>
      </c>
      <c r="HK260" s="32">
        <f t="shared" si="411"/>
        <v>251</v>
      </c>
      <c r="HL260" s="59">
        <f t="shared" si="412"/>
        <v>4.4885274811258782</v>
      </c>
      <c r="HM260" s="59" t="e">
        <f t="shared" si="413"/>
        <v>#N/A</v>
      </c>
      <c r="HN260" s="59">
        <f t="shared" si="414"/>
        <v>1.7020159287022905E-3</v>
      </c>
      <c r="HO260" s="59" t="e">
        <f t="shared" si="415"/>
        <v>#N/A</v>
      </c>
      <c r="HP260" s="59" t="e">
        <f t="shared" si="416"/>
        <v>#N/A</v>
      </c>
      <c r="HQ260" s="59" t="b">
        <f t="shared" si="417"/>
        <v>0</v>
      </c>
      <c r="HR260" s="59" t="b">
        <f t="shared" si="418"/>
        <v>1</v>
      </c>
      <c r="HS260" s="59" t="b">
        <f t="shared" si="419"/>
        <v>1</v>
      </c>
      <c r="HT260" s="59" t="b">
        <f t="shared" si="420"/>
        <v>0</v>
      </c>
      <c r="HU260" s="59">
        <f t="shared" si="421"/>
        <v>1.7020159287022905E-3</v>
      </c>
      <c r="HV260" s="59" t="e">
        <f t="shared" si="422"/>
        <v>#N/A</v>
      </c>
      <c r="HW260" s="59">
        <f t="shared" si="423"/>
        <v>1.7020159287022905E-3</v>
      </c>
      <c r="HX260" s="60" t="str">
        <f t="shared" si="424"/>
        <v/>
      </c>
    </row>
    <row r="261" spans="78:232" x14ac:dyDescent="0.2">
      <c r="BZ261" s="59">
        <f t="shared" si="351"/>
        <v>251</v>
      </c>
      <c r="CA261" s="32">
        <f>Eu_tabel_g[[#This Row],[Indeks]]+1</f>
        <v>252</v>
      </c>
      <c r="CB261" s="59">
        <f t="shared" si="352"/>
        <v>2.922545281802118</v>
      </c>
      <c r="CC261" s="59">
        <f t="shared" si="353"/>
        <v>5.5743810217063422E-3</v>
      </c>
      <c r="CD261" s="59" t="e">
        <f t="shared" si="354"/>
        <v>#N/A</v>
      </c>
      <c r="CE261" s="59" t="e">
        <f t="shared" si="355"/>
        <v>#N/A</v>
      </c>
      <c r="CF261" s="59" t="e">
        <f t="shared" si="356"/>
        <v>#N/A</v>
      </c>
      <c r="CG261" s="59" t="b">
        <f t="shared" si="357"/>
        <v>0</v>
      </c>
      <c r="CH261" s="59" t="b">
        <f t="shared" si="358"/>
        <v>1</v>
      </c>
      <c r="CI261" s="59" t="b">
        <f t="shared" si="359"/>
        <v>1</v>
      </c>
      <c r="CJ261" s="59" t="b">
        <f t="shared" si="360"/>
        <v>0</v>
      </c>
      <c r="CK261" s="59">
        <f t="shared" ref="CK261:CK266" si="432">_xlfn.AGGREGATE(9,6,CC261:CF261)</f>
        <v>5.5743810217063422E-3</v>
      </c>
      <c r="CL261" s="59">
        <f t="shared" si="361"/>
        <v>5.5743810217063422E-3</v>
      </c>
      <c r="CM261" s="59" t="e">
        <f t="shared" si="362"/>
        <v>#N/A</v>
      </c>
      <c r="CN261" s="60" t="str">
        <f t="shared" si="363"/>
        <v/>
      </c>
      <c r="CO261" s="32">
        <f>_xlfn.NORM.DIST(_xlfn.NORM.INV(1-Eu_g_konfidensniveau,0,1)-Eu_tabel_g[[#This Row],[x base]],0,1,TRUE)</f>
        <v>2.4690684962284573E-6</v>
      </c>
      <c r="CP261" s="32">
        <f>1-_xlfn.NORM.DIST(_xlfn.NORM.INV(Eu_g_konfidensniveau,0,1)-Eu_tabel_g[[#This Row],[x base]],0,1,TRUE)</f>
        <v>0.89932091557589511</v>
      </c>
      <c r="CQ261" s="32">
        <f>_xlfn.NORM.DIST(_xlfn.NORM.INV((1-Eu_g_konfidensniveau)/2,0,1)-Eu_tabel_g[[#This Row],[x base]],0,1,TRUE)+1-_xlfn.NORM.DIST(_xlfn.NORM.INV(1-(1-Eu_g_konfidensniveau)/2,0,1)-Eu_tabel_g[[#This Row],[x base]],0,1,TRUE)</f>
        <v>0.83212168021726474</v>
      </c>
      <c r="CR261" s="32" t="e" cm="1">
        <f t="array" ref="CR261">IF($CR$3,INDEX(Eu_tabel_g[[#This Row],[Styrke venstre]:[Styrke tosidet]],CR$7),NA())</f>
        <v>#N/A</v>
      </c>
      <c r="CS261" s="52" t="e">
        <f>Eu_tabel_g[[#This Row],[Falsk positiv
Nulhypotese accepteres
Fejltype 1]]</f>
        <v>#N/A</v>
      </c>
      <c r="CT261" s="52" t="e">
        <f>IF(CHOOSE(CR$7,Eu_tabel_g[[#This Row],[x base]]&gt;0,Eu_tabel_g[[#This Row],[x base]]&lt;0,Eu_tabel_g[[#This Row],[x base]]=0),Eu_tabel_g[[#This Row],[Styrke, aktiv]],NA())</f>
        <v>#N/A</v>
      </c>
      <c r="CU261" s="52" t="e">
        <f>IFERROR(IF($CR$3,Eu_tabel_g[[#This Row],[Styrke, aktiv]],NA()),NA())</f>
        <v>#N/A</v>
      </c>
      <c r="CV261" s="52" t="e">
        <f>IF(ISNA(Eu_tabel_g[[#This Row],[Sand negativ
Nulhypotese afvises
Korrekt]]),NA(),IF($CR$3,1,NA()))</f>
        <v>#N/A</v>
      </c>
      <c r="CW261" s="34" t="str" cm="1">
        <f t="array" ref="CW261">_xlfn.SWITCH(BZ261,_xlfn.IFNA(CU$2,-99),CU$5,_xlfn.IFNA(CU$3,-99),CU$6,_xlfn.IFNA(CU$4,-99),CU$7,"")</f>
        <v/>
      </c>
      <c r="DA261" s="7">
        <f t="shared" si="364"/>
        <v>0.8</v>
      </c>
      <c r="DB261">
        <f>IF(ROW(Styrkeberegning_G[[#This Row],[X base venstre]])=ROW(Styrkeberegning_G[[#Headers],[X base venstre]])+1,DB$7/(DA$7/$B$67),DB260/(DA260/$B$67))</f>
        <v>-2.8015817870135784</v>
      </c>
      <c r="DC261">
        <f>Styrkeberegning_G[[#This Row],[X base venstre]]*-1</f>
        <v>2.8015817870135784</v>
      </c>
      <c r="DN261" s="59">
        <f t="shared" si="365"/>
        <v>251</v>
      </c>
      <c r="DO261" s="32">
        <f t="shared" si="366"/>
        <v>252</v>
      </c>
      <c r="DP261" s="59">
        <f t="shared" si="367"/>
        <v>30.465637625320941</v>
      </c>
      <c r="DQ261" s="59" t="e">
        <f t="shared" si="368"/>
        <v>#N/A</v>
      </c>
      <c r="DR261" s="59" t="e">
        <f t="shared" si="369"/>
        <v>#N/A</v>
      </c>
      <c r="DS261" s="59">
        <f t="shared" si="370"/>
        <v>4.8651398347232842E-4</v>
      </c>
      <c r="DT261" s="59" t="e">
        <f t="shared" si="371"/>
        <v>#N/A</v>
      </c>
      <c r="DU261" s="59" t="b">
        <f t="shared" si="372"/>
        <v>0</v>
      </c>
      <c r="DV261" s="59" t="b">
        <f t="shared" si="373"/>
        <v>1</v>
      </c>
      <c r="DW261" s="59" t="b">
        <f t="shared" si="374"/>
        <v>1</v>
      </c>
      <c r="DX261" s="59" t="b">
        <f t="shared" si="375"/>
        <v>0</v>
      </c>
      <c r="DY261" s="59">
        <f t="shared" si="376"/>
        <v>4.8651398347232842E-4</v>
      </c>
      <c r="DZ261" s="59">
        <f t="shared" si="377"/>
        <v>4.8651398347232842E-4</v>
      </c>
      <c r="EA261" s="59" t="e">
        <f t="shared" si="378"/>
        <v>#N/A</v>
      </c>
      <c r="EB261" s="60" t="str">
        <f t="shared" si="379"/>
        <v/>
      </c>
      <c r="EG261" s="59">
        <f t="shared" si="380"/>
        <v>251</v>
      </c>
      <c r="EH261" s="32">
        <f t="shared" si="381"/>
        <v>252</v>
      </c>
      <c r="EI261" s="59">
        <f t="shared" si="382"/>
        <v>2.922545281802118</v>
      </c>
      <c r="EJ261" s="59">
        <f t="shared" si="383"/>
        <v>5.5743810217063422E-3</v>
      </c>
      <c r="EK261" s="59" t="e">
        <f t="shared" si="384"/>
        <v>#N/A</v>
      </c>
      <c r="EL261" s="59" t="e">
        <f t="shared" si="385"/>
        <v>#N/A</v>
      </c>
      <c r="EM261" s="59" t="e">
        <f t="shared" si="386"/>
        <v>#N/A</v>
      </c>
      <c r="EN261" s="59" t="b">
        <f t="shared" si="387"/>
        <v>0</v>
      </c>
      <c r="EO261" s="59" t="b">
        <f t="shared" si="388"/>
        <v>1</v>
      </c>
      <c r="EP261" s="59" t="b">
        <f t="shared" si="389"/>
        <v>1</v>
      </c>
      <c r="EQ261" s="59" t="b">
        <f t="shared" si="390"/>
        <v>0</v>
      </c>
      <c r="ER261" s="59">
        <f t="shared" si="391"/>
        <v>5.5743810217063422E-3</v>
      </c>
      <c r="ES261" s="59">
        <f t="shared" si="392"/>
        <v>5.5743810217063422E-3</v>
      </c>
      <c r="ET261" s="59" t="e">
        <f t="shared" si="393"/>
        <v>#N/A</v>
      </c>
      <c r="EU261" s="60" t="str">
        <f t="shared" si="394"/>
        <v/>
      </c>
      <c r="EV26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1"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1"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1" s="32" t="e" cm="1">
        <f t="array" ref="EY261">IF($CR$3,INDEX(Eu_tabel_a[[#This Row],[Styrke venstre]:[Styrke tosidet]],EY$7),NA())</f>
        <v>#N/A</v>
      </c>
      <c r="EZ261" s="32" t="e">
        <f>IF(EY$3,IF(CHOOSE(EY$7,Eu_tabel_a[[#This Row],[x base]]&gt;0,Eu_tabel_a[[#This Row],[x base]]&lt;0,Eu_tabel_a[[#This Row],[x base]]=0),1,NA()),NA())</f>
        <v>#N/A</v>
      </c>
      <c r="FA261" s="32" t="e">
        <f>IF(CHOOSE(EY$7,Eu_tabel_a[[#This Row],[x base]]&gt;0,Eu_tabel_a[[#This Row],[x base]]&lt;0,Eu_tabel_a[[#This Row],[x base]]=0),Eu_tabel_a[[#This Row],[Styrke, aktiv]],NA())</f>
        <v>#N/A</v>
      </c>
      <c r="FB261" s="32" t="e">
        <f>IFERROR(IF($EY$3,Eu_tabel_a[[#This Row],[Styrke, aktiv]],NA()),NA())</f>
        <v>#N/A</v>
      </c>
      <c r="FC261" s="32" t="e">
        <f>IF(ISNA(Eu_tabel_a[[#This Row],[Sand negativ
Nulhypotese afvises
Korrekt]]),NA(),IF(EY$3,1,NA()))</f>
        <v>#N/A</v>
      </c>
      <c r="FD261" s="33" t="str" cm="1">
        <f t="array" ref="FD261">IFERROR(_xlfn.SWITCH(Eu_tabel_a[[#This Row],[Indeks]],_xlfn.IFNA(FB$2,-99),FB$5,_xlfn.IFNA(FB$3,-99),FB$6,_xlfn.IFNA(FB$4,-99),FB$7,""),"")</f>
        <v/>
      </c>
      <c r="FE261" s="32">
        <f>Eu_tabel_a[[#This Row],[x base]]*SQRT(Eu_a_h0_x*(1-Eu_a_h0_x)/Eu_a_n_x)+Eu_a_h0_x</f>
        <v>0</v>
      </c>
      <c r="FJ261" s="74" t="e">
        <f t="shared" si="338"/>
        <v>#N/A</v>
      </c>
      <c r="FK261" s="82" t="e">
        <f t="shared" si="426"/>
        <v>#DIV/0!</v>
      </c>
      <c r="FL261" s="7" t="e">
        <f t="shared" si="332"/>
        <v>#DIV/0!</v>
      </c>
      <c r="FM261" t="e">
        <f t="shared" si="427"/>
        <v>#DIV/0!</v>
      </c>
      <c r="FN261" s="8" t="e">
        <f t="shared" si="428"/>
        <v>#DIV/0!</v>
      </c>
      <c r="FO261" s="8" t="e">
        <f t="shared" si="429"/>
        <v>#DIV/0!</v>
      </c>
      <c r="FP261" s="81" t="e">
        <f t="shared" si="430"/>
        <v>#DIV/0!</v>
      </c>
      <c r="FQ261" s="74" t="e">
        <f t="shared" ca="1" si="333"/>
        <v>#N/A</v>
      </c>
      <c r="FR261" s="82" t="e" vm="3">
        <f t="shared" ca="1" si="339"/>
        <v>#VALUE!</v>
      </c>
      <c r="FS261" s="7" t="e" vm="3">
        <f t="shared" ca="1" si="334"/>
        <v>#VALUE!</v>
      </c>
      <c r="FT261" t="e" vm="3">
        <f t="shared" ref="FT261:FT268" ca="1" si="433">FR261-FR260</f>
        <v>#VALUE!</v>
      </c>
      <c r="FU261" s="8" t="e" vm="3">
        <f t="shared" ref="FU261:FU268" ca="1" si="434">FS261-FS260</f>
        <v>#VALUE!</v>
      </c>
      <c r="FV261" s="8" t="e" vm="3">
        <f t="shared" ref="FV261:FV268" ca="1" si="435">$P$67-FS260</f>
        <v>#VALUE!</v>
      </c>
      <c r="FW261" s="81" t="e" vm="3">
        <f t="shared" ref="FW261:FW268" ca="1" si="436">FT261/(FU261/FV261)</f>
        <v>#VALUE!</v>
      </c>
      <c r="FX261" s="74" t="e">
        <f t="shared" si="335"/>
        <v>#N/A</v>
      </c>
      <c r="FY261" s="82" t="e">
        <f t="shared" si="340"/>
        <v>#N/A</v>
      </c>
      <c r="FZ261" s="7" t="e">
        <f t="shared" si="336"/>
        <v>#N/A</v>
      </c>
      <c r="GA261" t="e">
        <f t="shared" si="341"/>
        <v>#N/A</v>
      </c>
      <c r="GB261" s="8" t="e">
        <f t="shared" si="342"/>
        <v>#N/A</v>
      </c>
      <c r="GC261" s="8" t="e">
        <f t="shared" si="343"/>
        <v>#N/A</v>
      </c>
      <c r="GD261" s="81" t="e">
        <f t="shared" si="344"/>
        <v>#N/A</v>
      </c>
      <c r="GE261" s="74" t="e">
        <f t="shared" si="345"/>
        <v>#N/A</v>
      </c>
      <c r="GF261" s="82" t="e">
        <f t="shared" si="346"/>
        <v>#N/A</v>
      </c>
      <c r="GG261" s="7" t="e">
        <f t="shared" si="337"/>
        <v>#N/A</v>
      </c>
      <c r="GH261" t="e">
        <f t="shared" si="347"/>
        <v>#N/A</v>
      </c>
      <c r="GI261" s="8" t="e">
        <f t="shared" si="348"/>
        <v>#N/A</v>
      </c>
      <c r="GJ261" s="8" t="e">
        <f t="shared" si="349"/>
        <v>#N/A</v>
      </c>
      <c r="GK261" s="81" t="e">
        <f t="shared" si="350"/>
        <v>#N/A</v>
      </c>
      <c r="GL261" s="81"/>
      <c r="GM261" s="81"/>
      <c r="GP261" s="59">
        <f t="shared" si="395"/>
        <v>251</v>
      </c>
      <c r="GQ261" s="32">
        <f t="shared" si="396"/>
        <v>252</v>
      </c>
      <c r="GR261" s="59">
        <f t="shared" si="397"/>
        <v>2.922545281802118</v>
      </c>
      <c r="GS261" s="59">
        <f t="shared" si="398"/>
        <v>5.5743810217063422E-3</v>
      </c>
      <c r="GT261" s="59" t="e">
        <f t="shared" si="399"/>
        <v>#N/A</v>
      </c>
      <c r="GU261" s="59" t="e">
        <f t="shared" si="400"/>
        <v>#N/A</v>
      </c>
      <c r="GV261" s="59" t="e">
        <f t="shared" si="401"/>
        <v>#N/A</v>
      </c>
      <c r="GW261" s="59" t="b">
        <f t="shared" si="402"/>
        <v>0</v>
      </c>
      <c r="GX261" s="59" t="b">
        <f t="shared" si="403"/>
        <v>1</v>
      </c>
      <c r="GY261" s="59" t="b">
        <f t="shared" si="404"/>
        <v>1</v>
      </c>
      <c r="GZ261" s="59" t="b">
        <f t="shared" si="405"/>
        <v>0</v>
      </c>
      <c r="HA261" s="59">
        <f t="shared" si="406"/>
        <v>5.5743810217063422E-3</v>
      </c>
      <c r="HB261" s="59">
        <f t="shared" si="407"/>
        <v>5.5743810217063422E-3</v>
      </c>
      <c r="HC261" s="59" t="e">
        <f t="shared" si="408"/>
        <v>#N/A</v>
      </c>
      <c r="HD261" s="60" t="str">
        <f t="shared" si="409"/>
        <v/>
      </c>
      <c r="HJ261" s="59">
        <f t="shared" si="410"/>
        <v>251</v>
      </c>
      <c r="HK261" s="32">
        <f t="shared" si="411"/>
        <v>252</v>
      </c>
      <c r="HL261" s="59">
        <f t="shared" si="412"/>
        <v>4.5256227495649348</v>
      </c>
      <c r="HM261" s="59" t="e">
        <f t="shared" si="413"/>
        <v>#N/A</v>
      </c>
      <c r="HN261" s="59">
        <f t="shared" si="414"/>
        <v>1.6206774944199514E-3</v>
      </c>
      <c r="HO261" s="59" t="e">
        <f t="shared" si="415"/>
        <v>#N/A</v>
      </c>
      <c r="HP261" s="59" t="e">
        <f t="shared" si="416"/>
        <v>#N/A</v>
      </c>
      <c r="HQ261" s="59" t="b">
        <f t="shared" si="417"/>
        <v>0</v>
      </c>
      <c r="HR261" s="59" t="b">
        <f t="shared" si="418"/>
        <v>1</v>
      </c>
      <c r="HS261" s="59" t="b">
        <f t="shared" si="419"/>
        <v>1</v>
      </c>
      <c r="HT261" s="59" t="b">
        <f t="shared" si="420"/>
        <v>0</v>
      </c>
      <c r="HU261" s="59">
        <f t="shared" si="421"/>
        <v>1.6206774944199514E-3</v>
      </c>
      <c r="HV261" s="59" t="e">
        <f t="shared" si="422"/>
        <v>#N/A</v>
      </c>
      <c r="HW261" s="59">
        <f t="shared" si="423"/>
        <v>1.6206774944199514E-3</v>
      </c>
      <c r="HX261" s="60" t="str">
        <f t="shared" si="424"/>
        <v/>
      </c>
    </row>
    <row r="262" spans="78:232" x14ac:dyDescent="0.2">
      <c r="BZ262" s="59">
        <f t="shared" si="351"/>
        <v>252</v>
      </c>
      <c r="CA262" s="32">
        <f>Eu_tabel_g[[#This Row],[Indeks]]+1</f>
        <v>253</v>
      </c>
      <c r="CB262" s="59">
        <f t="shared" si="352"/>
        <v>2.946500570997217</v>
      </c>
      <c r="CC262" s="59">
        <f t="shared" si="353"/>
        <v>5.1959731862444561E-3</v>
      </c>
      <c r="CD262" s="59" t="e">
        <f t="shared" si="354"/>
        <v>#N/A</v>
      </c>
      <c r="CE262" s="59" t="e">
        <f t="shared" si="355"/>
        <v>#N/A</v>
      </c>
      <c r="CF262" s="59" t="e">
        <f t="shared" si="356"/>
        <v>#N/A</v>
      </c>
      <c r="CG262" s="59" t="b">
        <f t="shared" si="357"/>
        <v>0</v>
      </c>
      <c r="CH262" s="59" t="b">
        <f t="shared" si="358"/>
        <v>1</v>
      </c>
      <c r="CI262" s="59" t="b">
        <f t="shared" si="359"/>
        <v>1</v>
      </c>
      <c r="CJ262" s="59" t="b">
        <f t="shared" si="360"/>
        <v>0</v>
      </c>
      <c r="CK262" s="59">
        <f t="shared" si="432"/>
        <v>5.1959731862444561E-3</v>
      </c>
      <c r="CL262" s="59">
        <f t="shared" si="361"/>
        <v>5.1959731862444561E-3</v>
      </c>
      <c r="CM262" s="59" t="e">
        <f t="shared" si="362"/>
        <v>#N/A</v>
      </c>
      <c r="CN262" s="60" t="str">
        <f t="shared" si="363"/>
        <v/>
      </c>
      <c r="CO262" s="32">
        <f>_xlfn.NORM.DIST(_xlfn.NORM.INV(1-Eu_g_konfidensniveau,0,1)-Eu_tabel_g[[#This Row],[x base]],0,1,TRUE)</f>
        <v>2.2018961847651585E-6</v>
      </c>
      <c r="CP262" s="32">
        <f>1-_xlfn.NORM.DIST(_xlfn.NORM.INV(Eu_g_konfidensniveau,0,1)-Eu_tabel_g[[#This Row],[x base]],0,1,TRUE)</f>
        <v>0.90348144784895701</v>
      </c>
      <c r="CQ262" s="32">
        <f>_xlfn.NORM.DIST(_xlfn.NORM.INV((1-Eu_g_konfidensniveau)/2,0,1)-Eu_tabel_g[[#This Row],[x base]],0,1,TRUE)+1-_xlfn.NORM.DIST(_xlfn.NORM.INV(1-(1-Eu_g_konfidensniveau)/2,0,1)-Eu_tabel_g[[#This Row],[x base]],0,1,TRUE)</f>
        <v>0.83806552823634339</v>
      </c>
      <c r="CR262" s="32" t="e" cm="1">
        <f t="array" ref="CR262">IF($CR$3,INDEX(Eu_tabel_g[[#This Row],[Styrke venstre]:[Styrke tosidet]],CR$7),NA())</f>
        <v>#N/A</v>
      </c>
      <c r="CS262" s="52" t="e">
        <f>Eu_tabel_g[[#This Row],[Falsk positiv
Nulhypotese accepteres
Fejltype 1]]</f>
        <v>#N/A</v>
      </c>
      <c r="CT262" s="52" t="e">
        <f>IF(CHOOSE(CR$7,Eu_tabel_g[[#This Row],[x base]]&gt;0,Eu_tabel_g[[#This Row],[x base]]&lt;0,Eu_tabel_g[[#This Row],[x base]]=0),Eu_tabel_g[[#This Row],[Styrke, aktiv]],NA())</f>
        <v>#N/A</v>
      </c>
      <c r="CU262" s="52" t="e">
        <f>IFERROR(IF($CR$3,Eu_tabel_g[[#This Row],[Styrke, aktiv]],NA()),NA())</f>
        <v>#N/A</v>
      </c>
      <c r="CV262" s="52" t="e">
        <f>IF(ISNA(Eu_tabel_g[[#This Row],[Sand negativ
Nulhypotese afvises
Korrekt]]),NA(),IF($CR$3,1,NA()))</f>
        <v>#N/A</v>
      </c>
      <c r="CW262" s="34" t="str" cm="1">
        <f t="array" ref="CW262">_xlfn.SWITCH(BZ262,_xlfn.IFNA(CU$2,-99),CU$5,_xlfn.IFNA(CU$3,-99),CU$6,_xlfn.IFNA(CU$4,-99),CU$7,"")</f>
        <v/>
      </c>
      <c r="DA262" s="7">
        <f t="shared" si="364"/>
        <v>0.8</v>
      </c>
      <c r="DB262">
        <f>IF(ROW(Styrkeberegning_G[[#This Row],[X base venstre]])=ROW(Styrkeberegning_G[[#Headers],[X base venstre]])+1,DB$7/(DA$7/$B$67),DB261/(DA261/$B$67))</f>
        <v>-2.8015817870135784</v>
      </c>
      <c r="DC262">
        <f>Styrkeberegning_G[[#This Row],[X base venstre]]*-1</f>
        <v>2.8015817870135784</v>
      </c>
      <c r="DN262" s="59">
        <f t="shared" si="365"/>
        <v>252</v>
      </c>
      <c r="DO262" s="32">
        <f t="shared" si="366"/>
        <v>253</v>
      </c>
      <c r="DP262" s="59">
        <f t="shared" si="367"/>
        <v>30.579708481737942</v>
      </c>
      <c r="DQ262" s="59" t="e">
        <f t="shared" si="368"/>
        <v>#N/A</v>
      </c>
      <c r="DR262" s="59" t="e">
        <f t="shared" si="369"/>
        <v>#N/A</v>
      </c>
      <c r="DS262" s="59">
        <f t="shared" si="370"/>
        <v>4.6733570792980748E-4</v>
      </c>
      <c r="DT262" s="59" t="e">
        <f t="shared" si="371"/>
        <v>#N/A</v>
      </c>
      <c r="DU262" s="59" t="b">
        <f t="shared" si="372"/>
        <v>0</v>
      </c>
      <c r="DV262" s="59" t="b">
        <f t="shared" si="373"/>
        <v>1</v>
      </c>
      <c r="DW262" s="59" t="b">
        <f t="shared" si="374"/>
        <v>1</v>
      </c>
      <c r="DX262" s="59" t="b">
        <f t="shared" si="375"/>
        <v>0</v>
      </c>
      <c r="DY262" s="59">
        <f t="shared" si="376"/>
        <v>4.6733570792980748E-4</v>
      </c>
      <c r="DZ262" s="59">
        <f t="shared" si="377"/>
        <v>4.6733570792980748E-4</v>
      </c>
      <c r="EA262" s="59" t="e">
        <f t="shared" si="378"/>
        <v>#N/A</v>
      </c>
      <c r="EB262" s="60" t="str">
        <f t="shared" si="379"/>
        <v/>
      </c>
      <c r="EG262" s="59">
        <f t="shared" si="380"/>
        <v>252</v>
      </c>
      <c r="EH262" s="32">
        <f t="shared" si="381"/>
        <v>253</v>
      </c>
      <c r="EI262" s="59">
        <f t="shared" si="382"/>
        <v>2.946500570997217</v>
      </c>
      <c r="EJ262" s="59">
        <f t="shared" si="383"/>
        <v>5.1959731862444561E-3</v>
      </c>
      <c r="EK262" s="59" t="e">
        <f t="shared" si="384"/>
        <v>#N/A</v>
      </c>
      <c r="EL262" s="59" t="e">
        <f t="shared" si="385"/>
        <v>#N/A</v>
      </c>
      <c r="EM262" s="59" t="e">
        <f t="shared" si="386"/>
        <v>#N/A</v>
      </c>
      <c r="EN262" s="59" t="b">
        <f t="shared" si="387"/>
        <v>0</v>
      </c>
      <c r="EO262" s="59" t="b">
        <f t="shared" si="388"/>
        <v>1</v>
      </c>
      <c r="EP262" s="59" t="b">
        <f t="shared" si="389"/>
        <v>1</v>
      </c>
      <c r="EQ262" s="59" t="b">
        <f t="shared" si="390"/>
        <v>0</v>
      </c>
      <c r="ER262" s="59">
        <f t="shared" si="391"/>
        <v>5.1959731862444561E-3</v>
      </c>
      <c r="ES262" s="59">
        <f t="shared" si="392"/>
        <v>5.1959731862444561E-3</v>
      </c>
      <c r="ET262" s="59" t="e">
        <f t="shared" si="393"/>
        <v>#N/A</v>
      </c>
      <c r="EU262" s="60" t="str">
        <f t="shared" si="394"/>
        <v/>
      </c>
      <c r="EV26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2"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2"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2" s="32" t="e" cm="1">
        <f t="array" ref="EY262">IF($CR$3,INDEX(Eu_tabel_a[[#This Row],[Styrke venstre]:[Styrke tosidet]],EY$7),NA())</f>
        <v>#N/A</v>
      </c>
      <c r="EZ262" s="32" t="e">
        <f>IF(EY$3,IF(CHOOSE(EY$7,Eu_tabel_a[[#This Row],[x base]]&gt;0,Eu_tabel_a[[#This Row],[x base]]&lt;0,Eu_tabel_a[[#This Row],[x base]]=0),1,NA()),NA())</f>
        <v>#N/A</v>
      </c>
      <c r="FA262" s="32" t="e">
        <f>IF(CHOOSE(EY$7,Eu_tabel_a[[#This Row],[x base]]&gt;0,Eu_tabel_a[[#This Row],[x base]]&lt;0,Eu_tabel_a[[#This Row],[x base]]=0),Eu_tabel_a[[#This Row],[Styrke, aktiv]],NA())</f>
        <v>#N/A</v>
      </c>
      <c r="FB262" s="32" t="e">
        <f>IFERROR(IF($EY$3,Eu_tabel_a[[#This Row],[Styrke, aktiv]],NA()),NA())</f>
        <v>#N/A</v>
      </c>
      <c r="FC262" s="32" t="e">
        <f>IF(ISNA(Eu_tabel_a[[#This Row],[Sand negativ
Nulhypotese afvises
Korrekt]]),NA(),IF(EY$3,1,NA()))</f>
        <v>#N/A</v>
      </c>
      <c r="FD262" s="33" t="str" cm="1">
        <f t="array" ref="FD262">IFERROR(_xlfn.SWITCH(Eu_tabel_a[[#This Row],[Indeks]],_xlfn.IFNA(FB$2,-99),FB$5,_xlfn.IFNA(FB$3,-99),FB$6,_xlfn.IFNA(FB$4,-99),FB$7,""),"")</f>
        <v/>
      </c>
      <c r="FE262" s="32">
        <f>Eu_tabel_a[[#This Row],[x base]]*SQRT(Eu_a_h0_x*(1-Eu_a_h0_x)/Eu_a_n_x)+Eu_a_h0_x</f>
        <v>0</v>
      </c>
      <c r="FJ262" s="74" t="e">
        <f t="shared" si="338"/>
        <v>#N/A</v>
      </c>
      <c r="FK262" s="82" t="e">
        <f t="shared" si="426"/>
        <v>#DIV/0!</v>
      </c>
      <c r="FL262" s="7" t="e">
        <f t="shared" ref="FL262:FL268" si="437">_xlfn.NORM.DIST(-(SQRT(Eu_a_n_x)*(FK262-Eu_a_h0_x)/SQRT(FK262*(1-FK262)))-(_xlfn.NORM.INV(Eu_a_konfidensniveau,0,1)*SQRT((Eu_a_h0_x*(1-Eu_a_h0_x))/(FK262*(1-FK262)))),0,1,TRUE)</f>
        <v>#DIV/0!</v>
      </c>
      <c r="FM262" t="e">
        <f t="shared" si="427"/>
        <v>#DIV/0!</v>
      </c>
      <c r="FN262" s="8" t="e">
        <f t="shared" si="428"/>
        <v>#DIV/0!</v>
      </c>
      <c r="FO262" s="8" t="e">
        <f t="shared" si="429"/>
        <v>#DIV/0!</v>
      </c>
      <c r="FP262" s="81" t="e">
        <f t="shared" si="430"/>
        <v>#DIV/0!</v>
      </c>
      <c r="FQ262" s="74" t="e">
        <f t="shared" ref="FQ262:FQ268" ca="1" si="438">IF(ISERROR(FR262),NA(),ROW(FQ262)-ROW(FQ$5))</f>
        <v>#N/A</v>
      </c>
      <c r="FR262" s="82" t="e" vm="3">
        <f t="shared" ca="1" si="339"/>
        <v>#VALUE!</v>
      </c>
      <c r="FS262" s="7" t="e" vm="3">
        <f t="shared" ref="FS262:FS268" ca="1" si="439">_xlfn.NORM.DIST((SQRT(Eu_a_n_x)*(FR262-Eu_a_h0_x)/SQRT(FR262*(1-FR262)))-(_xlfn.NORM.INV(Eu_a_konfidensniveau,0,1)*SQRT((Eu_a_h0_x*(1-Eu_a_h0_x))/(FR262*(1-FR262)))),0,1,TRUE)</f>
        <v>#VALUE!</v>
      </c>
      <c r="FT262" t="e" vm="3">
        <f t="shared" ca="1" si="433"/>
        <v>#VALUE!</v>
      </c>
      <c r="FU262" s="8" t="e" vm="3">
        <f t="shared" ca="1" si="434"/>
        <v>#VALUE!</v>
      </c>
      <c r="FV262" s="8" t="e" vm="3">
        <f t="shared" ca="1" si="435"/>
        <v>#VALUE!</v>
      </c>
      <c r="FW262" s="81" t="e" vm="3">
        <f t="shared" ca="1" si="436"/>
        <v>#VALUE!</v>
      </c>
      <c r="FX262" s="74" t="e">
        <f t="shared" ref="FX262:FX268" si="440">IF(ISERROR(FY262),NA(),ROW(FX262)-ROW(FX$5))</f>
        <v>#N/A</v>
      </c>
      <c r="FY262" s="82" t="e">
        <f t="shared" si="340"/>
        <v>#N/A</v>
      </c>
      <c r="FZ262" s="7" t="e">
        <f t="shared" ref="FZ262:FZ268" si="441">_xlfn.NORM.DIST(-(SQRT(Eu_a_n_x)*(FY262-Eu_a_h0_x)/SQRT(FY262*(1-FY262)))-(_xlfn.NORM.INV(1-(1-Eu_a_konfidensniveau)/2,0,1)*SQRT((Eu_a_h0_x*(1-Eu_a_h0_x))/(FY262*(1-FY262)))),0,1,TRUE)+_xlfn.NORM.DIST((SQRT(Eu_a_n_x)*(FY262-Eu_a_h0_x)/SQRT(FY262*(1-FY262)))-(_xlfn.NORM.INV(1-(1-Eu_a_konfidensniveau)/2,0,1)*SQRT((Eu_a_h0_x*(1-Eu_a_h0_x))/(FY262*(1-FY262)))),0,1,TRUE)</f>
        <v>#N/A</v>
      </c>
      <c r="GA262" t="e">
        <f t="shared" si="341"/>
        <v>#N/A</v>
      </c>
      <c r="GB262" s="8" t="e">
        <f t="shared" si="342"/>
        <v>#N/A</v>
      </c>
      <c r="GC262" s="8" t="e">
        <f t="shared" si="343"/>
        <v>#N/A</v>
      </c>
      <c r="GD262" s="81" t="e">
        <f t="shared" si="344"/>
        <v>#N/A</v>
      </c>
      <c r="GE262" s="74" t="e">
        <f t="shared" si="345"/>
        <v>#N/A</v>
      </c>
      <c r="GF262" s="82" t="e">
        <f t="shared" si="346"/>
        <v>#N/A</v>
      </c>
      <c r="GG262" s="7" t="e">
        <f t="shared" ref="GG262:GG268" si="442">_xlfn.NORM.DIST(-(SQRT(Eu_a_n_x)*(GF262-Eu_a_h0_x)/SQRT(GF262*(1-GF262)))-(_xlfn.NORM.INV(1-(1-Eu_a_konfidensniveau)/2,0,1)*SQRT((Eu_a_h0_x*(1-Eu_a_h0_x))/(GF262*(1-GF262)))),0,1,TRUE)+_xlfn.NORM.DIST((SQRT(Eu_a_n_x)*(GF262-Eu_a_h0_x)/SQRT(GF262*(1-GF262)))-(_xlfn.NORM.INV(1-(1-Eu_a_konfidensniveau)/2,0,1)*SQRT((Eu_a_h0_x*(1-Eu_a_h0_x))/(GF262*(1-GF262)))),0,1,TRUE)</f>
        <v>#N/A</v>
      </c>
      <c r="GH262" t="e">
        <f t="shared" si="347"/>
        <v>#N/A</v>
      </c>
      <c r="GI262" s="8" t="e">
        <f t="shared" si="348"/>
        <v>#N/A</v>
      </c>
      <c r="GJ262" s="8" t="e">
        <f t="shared" si="349"/>
        <v>#N/A</v>
      </c>
      <c r="GK262" s="81" t="e">
        <f t="shared" si="350"/>
        <v>#N/A</v>
      </c>
      <c r="GL262" s="81"/>
      <c r="GM262" s="81"/>
      <c r="GP262" s="59">
        <f t="shared" si="395"/>
        <v>252</v>
      </c>
      <c r="GQ262" s="32">
        <f t="shared" si="396"/>
        <v>253</v>
      </c>
      <c r="GR262" s="59">
        <f t="shared" si="397"/>
        <v>2.946500570997217</v>
      </c>
      <c r="GS262" s="59">
        <f t="shared" si="398"/>
        <v>5.1959731862444561E-3</v>
      </c>
      <c r="GT262" s="59" t="e">
        <f t="shared" si="399"/>
        <v>#N/A</v>
      </c>
      <c r="GU262" s="59" t="e">
        <f t="shared" si="400"/>
        <v>#N/A</v>
      </c>
      <c r="GV262" s="59" t="e">
        <f t="shared" si="401"/>
        <v>#N/A</v>
      </c>
      <c r="GW262" s="59" t="b">
        <f t="shared" si="402"/>
        <v>0</v>
      </c>
      <c r="GX262" s="59" t="b">
        <f t="shared" si="403"/>
        <v>1</v>
      </c>
      <c r="GY262" s="59" t="b">
        <f t="shared" si="404"/>
        <v>1</v>
      </c>
      <c r="GZ262" s="59" t="b">
        <f t="shared" si="405"/>
        <v>0</v>
      </c>
      <c r="HA262" s="59">
        <f t="shared" si="406"/>
        <v>5.1959731862444561E-3</v>
      </c>
      <c r="HB262" s="59">
        <f t="shared" si="407"/>
        <v>5.1959731862444561E-3</v>
      </c>
      <c r="HC262" s="59" t="e">
        <f t="shared" si="408"/>
        <v>#N/A</v>
      </c>
      <c r="HD262" s="60" t="str">
        <f t="shared" si="409"/>
        <v/>
      </c>
      <c r="HJ262" s="59">
        <f t="shared" si="410"/>
        <v>252</v>
      </c>
      <c r="HK262" s="32">
        <f t="shared" si="411"/>
        <v>253</v>
      </c>
      <c r="HL262" s="59">
        <f t="shared" si="412"/>
        <v>4.5627180180039932</v>
      </c>
      <c r="HM262" s="59" t="e">
        <f t="shared" si="413"/>
        <v>#N/A</v>
      </c>
      <c r="HN262" s="59">
        <f t="shared" si="414"/>
        <v>1.5435294614151295E-3</v>
      </c>
      <c r="HO262" s="59" t="e">
        <f t="shared" si="415"/>
        <v>#N/A</v>
      </c>
      <c r="HP262" s="59" t="e">
        <f t="shared" si="416"/>
        <v>#N/A</v>
      </c>
      <c r="HQ262" s="59" t="b">
        <f t="shared" si="417"/>
        <v>0</v>
      </c>
      <c r="HR262" s="59" t="b">
        <f t="shared" si="418"/>
        <v>1</v>
      </c>
      <c r="HS262" s="59" t="b">
        <f t="shared" si="419"/>
        <v>1</v>
      </c>
      <c r="HT262" s="59" t="b">
        <f t="shared" si="420"/>
        <v>0</v>
      </c>
      <c r="HU262" s="59">
        <f t="shared" si="421"/>
        <v>1.5435294614151295E-3</v>
      </c>
      <c r="HV262" s="59" t="e">
        <f t="shared" si="422"/>
        <v>#N/A</v>
      </c>
      <c r="HW262" s="59">
        <f t="shared" si="423"/>
        <v>1.5435294614151295E-3</v>
      </c>
      <c r="HX262" s="60" t="str">
        <f t="shared" si="424"/>
        <v/>
      </c>
    </row>
    <row r="263" spans="78:232" x14ac:dyDescent="0.2">
      <c r="BZ263" s="59">
        <f t="shared" si="351"/>
        <v>253</v>
      </c>
      <c r="CA263" s="32">
        <f>Eu_tabel_g[[#This Row],[Indeks]]+1</f>
        <v>254</v>
      </c>
      <c r="CB263" s="59">
        <f t="shared" si="352"/>
        <v>2.9704558601923168</v>
      </c>
      <c r="CC263" s="59">
        <f t="shared" si="353"/>
        <v>4.8404744224978778E-3</v>
      </c>
      <c r="CD263" s="59" t="e">
        <f t="shared" si="354"/>
        <v>#N/A</v>
      </c>
      <c r="CE263" s="59" t="e">
        <f t="shared" si="355"/>
        <v>#N/A</v>
      </c>
      <c r="CF263" s="59" t="e">
        <f t="shared" si="356"/>
        <v>#N/A</v>
      </c>
      <c r="CG263" s="59" t="b">
        <f t="shared" si="357"/>
        <v>0</v>
      </c>
      <c r="CH263" s="59" t="b">
        <f t="shared" si="358"/>
        <v>1</v>
      </c>
      <c r="CI263" s="59" t="b">
        <f t="shared" si="359"/>
        <v>1</v>
      </c>
      <c r="CJ263" s="59" t="b">
        <f t="shared" si="360"/>
        <v>0</v>
      </c>
      <c r="CK263" s="59">
        <f t="shared" si="432"/>
        <v>4.8404744224978778E-3</v>
      </c>
      <c r="CL263" s="59">
        <f t="shared" si="361"/>
        <v>4.8404744224978778E-3</v>
      </c>
      <c r="CM263" s="59" t="e">
        <f t="shared" si="362"/>
        <v>#N/A</v>
      </c>
      <c r="CN263" s="60" t="str">
        <f t="shared" si="363"/>
        <v/>
      </c>
      <c r="CO263" s="32">
        <f>_xlfn.NORM.DIST(_xlfn.NORM.INV(1-Eu_g_konfidensniveau,0,1)-Eu_tabel_g[[#This Row],[x base]],0,1,TRUE)</f>
        <v>1.9625497901493715E-6</v>
      </c>
      <c r="CP263" s="32">
        <f>1-_xlfn.NORM.DIST(_xlfn.NORM.INV(Eu_g_konfidensniveau,0,1)-Eu_tabel_g[[#This Row],[x base]],0,1,TRUE)</f>
        <v>0.90751425694156995</v>
      </c>
      <c r="CQ263" s="32">
        <f>_xlfn.NORM.DIST(_xlfn.NORM.INV((1-Eu_g_konfidensniveau)/2,0,1)-Eu_tabel_g[[#This Row],[x base]],0,1,TRUE)+1-_xlfn.NORM.DIST(_xlfn.NORM.INV(1-(1-Eu_g_konfidensniveau)/2,0,1)-Eu_tabel_g[[#This Row],[x base]],0,1,TRUE)</f>
        <v>0.84387056532820115</v>
      </c>
      <c r="CR263" s="32" t="e" cm="1">
        <f t="array" ref="CR263">IF($CR$3,INDEX(Eu_tabel_g[[#This Row],[Styrke venstre]:[Styrke tosidet]],CR$7),NA())</f>
        <v>#N/A</v>
      </c>
      <c r="CS263" s="52" t="e">
        <f>Eu_tabel_g[[#This Row],[Falsk positiv
Nulhypotese accepteres
Fejltype 1]]</f>
        <v>#N/A</v>
      </c>
      <c r="CT263" s="52" t="e">
        <f>IF(CHOOSE(CR$7,Eu_tabel_g[[#This Row],[x base]]&gt;0,Eu_tabel_g[[#This Row],[x base]]&lt;0,Eu_tabel_g[[#This Row],[x base]]=0),Eu_tabel_g[[#This Row],[Styrke, aktiv]],NA())</f>
        <v>#N/A</v>
      </c>
      <c r="CU263" s="52" t="e">
        <f>IFERROR(IF($CR$3,Eu_tabel_g[[#This Row],[Styrke, aktiv]],NA()),NA())</f>
        <v>#N/A</v>
      </c>
      <c r="CV263" s="52" t="e">
        <f>IF(ISNA(Eu_tabel_g[[#This Row],[Sand negativ
Nulhypotese afvises
Korrekt]]),NA(),IF($CR$3,1,NA()))</f>
        <v>#N/A</v>
      </c>
      <c r="CW263" s="34" t="str" cm="1">
        <f t="array" ref="CW263">_xlfn.SWITCH(BZ263,_xlfn.IFNA(CU$2,-99),CU$5,_xlfn.IFNA(CU$3,-99),CU$6,_xlfn.IFNA(CU$4,-99),CU$7,"")</f>
        <v/>
      </c>
      <c r="DA263" s="7">
        <f t="shared" si="364"/>
        <v>0.8</v>
      </c>
      <c r="DB263">
        <f>IF(ROW(Styrkeberegning_G[[#This Row],[X base venstre]])=ROW(Styrkeberegning_G[[#Headers],[X base venstre]])+1,DB$7/(DA$7/$B$67),DB262/(DA262/$B$67))</f>
        <v>-2.8015817870135784</v>
      </c>
      <c r="DC263">
        <f>Styrkeberegning_G[[#This Row],[X base venstre]]*-1</f>
        <v>2.8015817870135784</v>
      </c>
      <c r="DN263" s="59">
        <f t="shared" si="365"/>
        <v>253</v>
      </c>
      <c r="DO263" s="32">
        <f t="shared" si="366"/>
        <v>254</v>
      </c>
      <c r="DP263" s="59">
        <f t="shared" si="367"/>
        <v>30.693779338154943</v>
      </c>
      <c r="DQ263" s="59" t="e">
        <f t="shared" si="368"/>
        <v>#N/A</v>
      </c>
      <c r="DR263" s="59" t="e">
        <f t="shared" si="369"/>
        <v>#N/A</v>
      </c>
      <c r="DS263" s="59">
        <f t="shared" si="370"/>
        <v>4.4888532672208905E-4</v>
      </c>
      <c r="DT263" s="59" t="e">
        <f t="shared" si="371"/>
        <v>#N/A</v>
      </c>
      <c r="DU263" s="59" t="b">
        <f t="shared" si="372"/>
        <v>0</v>
      </c>
      <c r="DV263" s="59" t="b">
        <f t="shared" si="373"/>
        <v>1</v>
      </c>
      <c r="DW263" s="59" t="b">
        <f t="shared" si="374"/>
        <v>1</v>
      </c>
      <c r="DX263" s="59" t="b">
        <f t="shared" si="375"/>
        <v>0</v>
      </c>
      <c r="DY263" s="59">
        <f t="shared" si="376"/>
        <v>4.4888532672208905E-4</v>
      </c>
      <c r="DZ263" s="59">
        <f t="shared" si="377"/>
        <v>4.4888532672208905E-4</v>
      </c>
      <c r="EA263" s="59" t="e">
        <f t="shared" si="378"/>
        <v>#N/A</v>
      </c>
      <c r="EB263" s="60" t="str">
        <f t="shared" si="379"/>
        <v/>
      </c>
      <c r="EG263" s="59">
        <f t="shared" si="380"/>
        <v>253</v>
      </c>
      <c r="EH263" s="32">
        <f t="shared" si="381"/>
        <v>254</v>
      </c>
      <c r="EI263" s="59">
        <f t="shared" si="382"/>
        <v>2.9704558601923168</v>
      </c>
      <c r="EJ263" s="59">
        <f t="shared" si="383"/>
        <v>4.8404744224978778E-3</v>
      </c>
      <c r="EK263" s="59" t="e">
        <f t="shared" si="384"/>
        <v>#N/A</v>
      </c>
      <c r="EL263" s="59" t="e">
        <f t="shared" si="385"/>
        <v>#N/A</v>
      </c>
      <c r="EM263" s="59" t="e">
        <f t="shared" si="386"/>
        <v>#N/A</v>
      </c>
      <c r="EN263" s="59" t="b">
        <f t="shared" si="387"/>
        <v>0</v>
      </c>
      <c r="EO263" s="59" t="b">
        <f t="shared" si="388"/>
        <v>1</v>
      </c>
      <c r="EP263" s="59" t="b">
        <f t="shared" si="389"/>
        <v>1</v>
      </c>
      <c r="EQ263" s="59" t="b">
        <f t="shared" si="390"/>
        <v>0</v>
      </c>
      <c r="ER263" s="59">
        <f t="shared" si="391"/>
        <v>4.8404744224978778E-3</v>
      </c>
      <c r="ES263" s="59">
        <f t="shared" si="392"/>
        <v>4.8404744224978778E-3</v>
      </c>
      <c r="ET263" s="59" t="e">
        <f t="shared" si="393"/>
        <v>#N/A</v>
      </c>
      <c r="EU263" s="60" t="str">
        <f t="shared" si="394"/>
        <v/>
      </c>
      <c r="EV26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3"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3"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3" s="32" t="e" cm="1">
        <f t="array" ref="EY263">IF($CR$3,INDEX(Eu_tabel_a[[#This Row],[Styrke venstre]:[Styrke tosidet]],EY$7),NA())</f>
        <v>#N/A</v>
      </c>
      <c r="EZ263" s="32" t="e">
        <f>IF(EY$3,IF(CHOOSE(EY$7,Eu_tabel_a[[#This Row],[x base]]&gt;0,Eu_tabel_a[[#This Row],[x base]]&lt;0,Eu_tabel_a[[#This Row],[x base]]=0),1,NA()),NA())</f>
        <v>#N/A</v>
      </c>
      <c r="FA263" s="32" t="e">
        <f>IF(CHOOSE(EY$7,Eu_tabel_a[[#This Row],[x base]]&gt;0,Eu_tabel_a[[#This Row],[x base]]&lt;0,Eu_tabel_a[[#This Row],[x base]]=0),Eu_tabel_a[[#This Row],[Styrke, aktiv]],NA())</f>
        <v>#N/A</v>
      </c>
      <c r="FB263" s="32" t="e">
        <f>IFERROR(IF($EY$3,Eu_tabel_a[[#This Row],[Styrke, aktiv]],NA()),NA())</f>
        <v>#N/A</v>
      </c>
      <c r="FC263" s="32" t="e">
        <f>IF(ISNA(Eu_tabel_a[[#This Row],[Sand negativ
Nulhypotese afvises
Korrekt]]),NA(),IF(EY$3,1,NA()))</f>
        <v>#N/A</v>
      </c>
      <c r="FD263" s="33" t="str" cm="1">
        <f t="array" ref="FD263">IFERROR(_xlfn.SWITCH(Eu_tabel_a[[#This Row],[Indeks]],_xlfn.IFNA(FB$2,-99),FB$5,_xlfn.IFNA(FB$3,-99),FB$6,_xlfn.IFNA(FB$4,-99),FB$7,""),"")</f>
        <v/>
      </c>
      <c r="FE263" s="32">
        <f>Eu_tabel_a[[#This Row],[x base]]*SQRT(Eu_a_h0_x*(1-Eu_a_h0_x)/Eu_a_n_x)+Eu_a_h0_x</f>
        <v>0</v>
      </c>
      <c r="FJ263" s="74" t="e">
        <f t="shared" ref="FJ263:FJ268" si="443">IF(ISERROR(FK263),NA(),ROW(FJ263)-ROW(FJ$5))</f>
        <v>#N/A</v>
      </c>
      <c r="FK263" s="82" t="e">
        <f t="shared" si="426"/>
        <v>#DIV/0!</v>
      </c>
      <c r="FL263" s="7" t="e">
        <f t="shared" si="437"/>
        <v>#DIV/0!</v>
      </c>
      <c r="FM263" t="e">
        <f t="shared" si="427"/>
        <v>#DIV/0!</v>
      </c>
      <c r="FN263" s="8" t="e">
        <f t="shared" si="428"/>
        <v>#DIV/0!</v>
      </c>
      <c r="FO263" s="8" t="e">
        <f t="shared" si="429"/>
        <v>#DIV/0!</v>
      </c>
      <c r="FP263" s="81" t="e">
        <f t="shared" si="430"/>
        <v>#DIV/0!</v>
      </c>
      <c r="FQ263" s="74" t="e">
        <f t="shared" ca="1" si="438"/>
        <v>#N/A</v>
      </c>
      <c r="FR263" s="82" t="e" vm="3">
        <f t="shared" ref="FR263:FR268" ca="1" si="444">FR261+FW262</f>
        <v>#VALUE!</v>
      </c>
      <c r="FS263" s="7" t="e" vm="3">
        <f t="shared" ca="1" si="439"/>
        <v>#VALUE!</v>
      </c>
      <c r="FT263" t="e" vm="3">
        <f t="shared" ca="1" si="433"/>
        <v>#VALUE!</v>
      </c>
      <c r="FU263" s="8" t="e" vm="3">
        <f t="shared" ca="1" si="434"/>
        <v>#VALUE!</v>
      </c>
      <c r="FV263" s="8" t="e" vm="3">
        <f t="shared" ca="1" si="435"/>
        <v>#VALUE!</v>
      </c>
      <c r="FW263" s="81" t="e" vm="3">
        <f t="shared" ca="1" si="436"/>
        <v>#VALUE!</v>
      </c>
      <c r="FX263" s="74" t="e">
        <f t="shared" si="440"/>
        <v>#N/A</v>
      </c>
      <c r="FY263" s="82" t="e">
        <f t="shared" ref="FY263:FY268" si="445">FY261+GD262</f>
        <v>#N/A</v>
      </c>
      <c r="FZ263" s="7" t="e">
        <f t="shared" si="441"/>
        <v>#N/A</v>
      </c>
      <c r="GA263" t="e">
        <f t="shared" ref="GA263:GA268" si="446">FY263-FY262</f>
        <v>#N/A</v>
      </c>
      <c r="GB263" s="8" t="e">
        <f t="shared" ref="GB263:GB268" si="447">FZ263-FZ262</f>
        <v>#N/A</v>
      </c>
      <c r="GC263" s="8" t="e">
        <f t="shared" ref="GC263:GC268" si="448">$P$67-FZ262</f>
        <v>#N/A</v>
      </c>
      <c r="GD263" s="81" t="e">
        <f t="shared" ref="GD263:GD268" si="449">GA263/(GB263/GC263)</f>
        <v>#N/A</v>
      </c>
      <c r="GE263" s="74" t="e">
        <f t="shared" ref="GE263:GE268" si="450">IF(ISERROR(GF263),NA(),ROW(GE263)-ROW(GE$5))</f>
        <v>#N/A</v>
      </c>
      <c r="GF263" s="82" t="e">
        <f t="shared" ref="GF263:GF268" si="451">GF261+GK262</f>
        <v>#N/A</v>
      </c>
      <c r="GG263" s="7" t="e">
        <f t="shared" si="442"/>
        <v>#N/A</v>
      </c>
      <c r="GH263" t="e">
        <f t="shared" ref="GH263:GH268" si="452">GF263-GF262</f>
        <v>#N/A</v>
      </c>
      <c r="GI263" s="8" t="e">
        <f t="shared" ref="GI263:GI268" si="453">GG263-GG262</f>
        <v>#N/A</v>
      </c>
      <c r="GJ263" s="8" t="e">
        <f t="shared" ref="GJ263:GJ268" si="454">$P$67-GG262</f>
        <v>#N/A</v>
      </c>
      <c r="GK263" s="81" t="e">
        <f t="shared" ref="GK263:GK268" si="455">GH263/(GI263/GJ263)</f>
        <v>#N/A</v>
      </c>
      <c r="GL263" s="81"/>
      <c r="GM263" s="81"/>
      <c r="GP263" s="59">
        <f t="shared" si="395"/>
        <v>253</v>
      </c>
      <c r="GQ263" s="32">
        <f t="shared" si="396"/>
        <v>254</v>
      </c>
      <c r="GR263" s="59">
        <f t="shared" si="397"/>
        <v>2.9704558601923168</v>
      </c>
      <c r="GS263" s="59">
        <f t="shared" si="398"/>
        <v>4.8404744224978778E-3</v>
      </c>
      <c r="GT263" s="59" t="e">
        <f t="shared" si="399"/>
        <v>#N/A</v>
      </c>
      <c r="GU263" s="59" t="e">
        <f t="shared" si="400"/>
        <v>#N/A</v>
      </c>
      <c r="GV263" s="59" t="e">
        <f t="shared" si="401"/>
        <v>#N/A</v>
      </c>
      <c r="GW263" s="59" t="b">
        <f t="shared" si="402"/>
        <v>0</v>
      </c>
      <c r="GX263" s="59" t="b">
        <f t="shared" si="403"/>
        <v>1</v>
      </c>
      <c r="GY263" s="59" t="b">
        <f t="shared" si="404"/>
        <v>1</v>
      </c>
      <c r="GZ263" s="59" t="b">
        <f t="shared" si="405"/>
        <v>0</v>
      </c>
      <c r="HA263" s="59">
        <f t="shared" si="406"/>
        <v>4.8404744224978778E-3</v>
      </c>
      <c r="HB263" s="59">
        <f t="shared" si="407"/>
        <v>4.8404744224978778E-3</v>
      </c>
      <c r="HC263" s="59" t="e">
        <f t="shared" si="408"/>
        <v>#N/A</v>
      </c>
      <c r="HD263" s="60" t="str">
        <f t="shared" si="409"/>
        <v/>
      </c>
      <c r="HJ263" s="59">
        <f t="shared" si="410"/>
        <v>253</v>
      </c>
      <c r="HK263" s="32">
        <f t="shared" si="411"/>
        <v>254</v>
      </c>
      <c r="HL263" s="59">
        <f t="shared" si="412"/>
        <v>4.5998132864430499</v>
      </c>
      <c r="HM263" s="59" t="e">
        <f t="shared" si="413"/>
        <v>#N/A</v>
      </c>
      <c r="HN263" s="59">
        <f t="shared" si="414"/>
        <v>1.4703428466840082E-3</v>
      </c>
      <c r="HO263" s="59" t="e">
        <f t="shared" si="415"/>
        <v>#N/A</v>
      </c>
      <c r="HP263" s="59" t="e">
        <f t="shared" si="416"/>
        <v>#N/A</v>
      </c>
      <c r="HQ263" s="59" t="b">
        <f t="shared" si="417"/>
        <v>0</v>
      </c>
      <c r="HR263" s="59" t="b">
        <f t="shared" si="418"/>
        <v>1</v>
      </c>
      <c r="HS263" s="59" t="b">
        <f t="shared" si="419"/>
        <v>1</v>
      </c>
      <c r="HT263" s="59" t="b">
        <f t="shared" si="420"/>
        <v>0</v>
      </c>
      <c r="HU263" s="59">
        <f t="shared" si="421"/>
        <v>1.4703428466840082E-3</v>
      </c>
      <c r="HV263" s="59" t="e">
        <f t="shared" si="422"/>
        <v>#N/A</v>
      </c>
      <c r="HW263" s="59">
        <f t="shared" si="423"/>
        <v>1.4703428466840082E-3</v>
      </c>
      <c r="HX263" s="60" t="str">
        <f t="shared" si="424"/>
        <v/>
      </c>
    </row>
    <row r="264" spans="78:232" x14ac:dyDescent="0.2">
      <c r="BZ264" s="59">
        <f t="shared" si="351"/>
        <v>254</v>
      </c>
      <c r="CA264" s="32">
        <f>Eu_tabel_g[[#This Row],[Indeks]]+1</f>
        <v>255</v>
      </c>
      <c r="CB264" s="59">
        <f t="shared" si="352"/>
        <v>2.9944111493874157</v>
      </c>
      <c r="CC264" s="59">
        <f t="shared" si="353"/>
        <v>4.5067112740675413E-3</v>
      </c>
      <c r="CD264" s="59" t="e">
        <f t="shared" si="354"/>
        <v>#N/A</v>
      </c>
      <c r="CE264" s="59" t="e">
        <f t="shared" si="355"/>
        <v>#N/A</v>
      </c>
      <c r="CF264" s="59" t="e">
        <f t="shared" si="356"/>
        <v>#N/A</v>
      </c>
      <c r="CG264" s="59" t="b">
        <f t="shared" si="357"/>
        <v>0</v>
      </c>
      <c r="CH264" s="59" t="b">
        <f t="shared" si="358"/>
        <v>1</v>
      </c>
      <c r="CI264" s="59" t="b">
        <f t="shared" si="359"/>
        <v>1</v>
      </c>
      <c r="CJ264" s="59" t="b">
        <f t="shared" si="360"/>
        <v>0</v>
      </c>
      <c r="CK264" s="59">
        <f t="shared" si="432"/>
        <v>4.5067112740675413E-3</v>
      </c>
      <c r="CL264" s="59">
        <f t="shared" si="361"/>
        <v>4.5067112740675413E-3</v>
      </c>
      <c r="CM264" s="59" t="e">
        <f t="shared" si="362"/>
        <v>#N/A</v>
      </c>
      <c r="CN264" s="60" t="str">
        <f t="shared" si="363"/>
        <v/>
      </c>
      <c r="CO264" s="32">
        <f>_xlfn.NORM.DIST(_xlfn.NORM.INV(1-Eu_g_konfidensniveau,0,1)-Eu_tabel_g[[#This Row],[x base]],0,1,TRUE)</f>
        <v>1.7482542555738399E-6</v>
      </c>
      <c r="CP264" s="32">
        <f>1-_xlfn.NORM.DIST(_xlfn.NORM.INV(Eu_g_konfidensniveau,0,1)-Eu_tabel_g[[#This Row],[x base]],0,1,TRUE)</f>
        <v>0.91142102134110681</v>
      </c>
      <c r="CQ264" s="32">
        <f>_xlfn.NORM.DIST(_xlfn.NORM.INV((1-Eu_g_konfidensniveau)/2,0,1)-Eu_tabel_g[[#This Row],[x base]],0,1,TRUE)+1-_xlfn.NORM.DIST(_xlfn.NORM.INV(1-(1-Eu_g_konfidensniveau)/2,0,1)-Eu_tabel_g[[#This Row],[x base]],0,1,TRUE)</f>
        <v>0.84953678041496683</v>
      </c>
      <c r="CR264" s="32" t="e" cm="1">
        <f t="array" ref="CR264">IF($CR$3,INDEX(Eu_tabel_g[[#This Row],[Styrke venstre]:[Styrke tosidet]],CR$7),NA())</f>
        <v>#N/A</v>
      </c>
      <c r="CS264" s="52" t="e">
        <f>Eu_tabel_g[[#This Row],[Falsk positiv
Nulhypotese accepteres
Fejltype 1]]</f>
        <v>#N/A</v>
      </c>
      <c r="CT264" s="52" t="e">
        <f>IF(CHOOSE(CR$7,Eu_tabel_g[[#This Row],[x base]]&gt;0,Eu_tabel_g[[#This Row],[x base]]&lt;0,Eu_tabel_g[[#This Row],[x base]]=0),Eu_tabel_g[[#This Row],[Styrke, aktiv]],NA())</f>
        <v>#N/A</v>
      </c>
      <c r="CU264" s="52" t="e">
        <f>IFERROR(IF($CR$3,Eu_tabel_g[[#This Row],[Styrke, aktiv]],NA()),NA())</f>
        <v>#N/A</v>
      </c>
      <c r="CV264" s="52" t="e">
        <f>IF(ISNA(Eu_tabel_g[[#This Row],[Sand negativ
Nulhypotese afvises
Korrekt]]),NA(),IF($CR$3,1,NA()))</f>
        <v>#N/A</v>
      </c>
      <c r="CW264" s="34" t="str" cm="1">
        <f t="array" ref="CW264">_xlfn.SWITCH(BZ264,_xlfn.IFNA(CU$2,-99),CU$5,_xlfn.IFNA(CU$3,-99),CU$6,_xlfn.IFNA(CU$4,-99),CU$7,"")</f>
        <v/>
      </c>
      <c r="DA264" s="7">
        <f t="shared" si="364"/>
        <v>0.8</v>
      </c>
      <c r="DB264">
        <f>IF(ROW(Styrkeberegning_G[[#This Row],[X base venstre]])=ROW(Styrkeberegning_G[[#Headers],[X base venstre]])+1,DB$7/(DA$7/$B$67),DB263/(DA263/$B$67))</f>
        <v>-2.8015817870135784</v>
      </c>
      <c r="DC264">
        <f>Styrkeberegning_G[[#This Row],[X base venstre]]*-1</f>
        <v>2.8015817870135784</v>
      </c>
      <c r="DN264" s="59">
        <f t="shared" si="365"/>
        <v>254</v>
      </c>
      <c r="DO264" s="32">
        <f t="shared" si="366"/>
        <v>255</v>
      </c>
      <c r="DP264" s="59">
        <f t="shared" si="367"/>
        <v>30.807850194571945</v>
      </c>
      <c r="DQ264" s="59" t="e">
        <f t="shared" si="368"/>
        <v>#N/A</v>
      </c>
      <c r="DR264" s="59" t="e">
        <f t="shared" si="369"/>
        <v>#N/A</v>
      </c>
      <c r="DS264" s="59">
        <f t="shared" si="370"/>
        <v>4.3113656788701659E-4</v>
      </c>
      <c r="DT264" s="59" t="e">
        <f t="shared" si="371"/>
        <v>#N/A</v>
      </c>
      <c r="DU264" s="59" t="b">
        <f t="shared" si="372"/>
        <v>0</v>
      </c>
      <c r="DV264" s="59" t="b">
        <f t="shared" si="373"/>
        <v>1</v>
      </c>
      <c r="DW264" s="59" t="b">
        <f t="shared" si="374"/>
        <v>1</v>
      </c>
      <c r="DX264" s="59" t="b">
        <f t="shared" si="375"/>
        <v>0</v>
      </c>
      <c r="DY264" s="59">
        <f t="shared" si="376"/>
        <v>4.3113656788701659E-4</v>
      </c>
      <c r="DZ264" s="59">
        <f t="shared" si="377"/>
        <v>4.3113656788701659E-4</v>
      </c>
      <c r="EA264" s="59" t="e">
        <f t="shared" si="378"/>
        <v>#N/A</v>
      </c>
      <c r="EB264" s="60" t="str">
        <f t="shared" si="379"/>
        <v/>
      </c>
      <c r="EG264" s="59">
        <f t="shared" si="380"/>
        <v>254</v>
      </c>
      <c r="EH264" s="32">
        <f t="shared" si="381"/>
        <v>255</v>
      </c>
      <c r="EI264" s="59">
        <f t="shared" si="382"/>
        <v>2.9944111493874157</v>
      </c>
      <c r="EJ264" s="59">
        <f t="shared" si="383"/>
        <v>4.5067112740675413E-3</v>
      </c>
      <c r="EK264" s="59" t="e">
        <f t="shared" si="384"/>
        <v>#N/A</v>
      </c>
      <c r="EL264" s="59" t="e">
        <f t="shared" si="385"/>
        <v>#N/A</v>
      </c>
      <c r="EM264" s="59" t="e">
        <f t="shared" si="386"/>
        <v>#N/A</v>
      </c>
      <c r="EN264" s="59" t="b">
        <f t="shared" si="387"/>
        <v>0</v>
      </c>
      <c r="EO264" s="59" t="b">
        <f t="shared" si="388"/>
        <v>1</v>
      </c>
      <c r="EP264" s="59" t="b">
        <f t="shared" si="389"/>
        <v>1</v>
      </c>
      <c r="EQ264" s="59" t="b">
        <f t="shared" si="390"/>
        <v>0</v>
      </c>
      <c r="ER264" s="59">
        <f t="shared" si="391"/>
        <v>4.5067112740675413E-3</v>
      </c>
      <c r="ES264" s="59">
        <f t="shared" si="392"/>
        <v>4.5067112740675413E-3</v>
      </c>
      <c r="ET264" s="59" t="e">
        <f t="shared" si="393"/>
        <v>#N/A</v>
      </c>
      <c r="EU264" s="60" t="str">
        <f t="shared" si="394"/>
        <v/>
      </c>
      <c r="EV26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4"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4"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4" s="32" t="e" cm="1">
        <f t="array" ref="EY264">IF($CR$3,INDEX(Eu_tabel_a[[#This Row],[Styrke venstre]:[Styrke tosidet]],EY$7),NA())</f>
        <v>#N/A</v>
      </c>
      <c r="EZ264" s="32" t="e">
        <f>IF(EY$3,IF(CHOOSE(EY$7,Eu_tabel_a[[#This Row],[x base]]&gt;0,Eu_tabel_a[[#This Row],[x base]]&lt;0,Eu_tabel_a[[#This Row],[x base]]=0),1,NA()),NA())</f>
        <v>#N/A</v>
      </c>
      <c r="FA264" s="32" t="e">
        <f>IF(CHOOSE(EY$7,Eu_tabel_a[[#This Row],[x base]]&gt;0,Eu_tabel_a[[#This Row],[x base]]&lt;0,Eu_tabel_a[[#This Row],[x base]]=0),Eu_tabel_a[[#This Row],[Styrke, aktiv]],NA())</f>
        <v>#N/A</v>
      </c>
      <c r="FB264" s="32" t="e">
        <f>IFERROR(IF($EY$3,Eu_tabel_a[[#This Row],[Styrke, aktiv]],NA()),NA())</f>
        <v>#N/A</v>
      </c>
      <c r="FC264" s="32" t="e">
        <f>IF(ISNA(Eu_tabel_a[[#This Row],[Sand negativ
Nulhypotese afvises
Korrekt]]),NA(),IF(EY$3,1,NA()))</f>
        <v>#N/A</v>
      </c>
      <c r="FD264" s="33" t="str" cm="1">
        <f t="array" ref="FD264">IFERROR(_xlfn.SWITCH(Eu_tabel_a[[#This Row],[Indeks]],_xlfn.IFNA(FB$2,-99),FB$5,_xlfn.IFNA(FB$3,-99),FB$6,_xlfn.IFNA(FB$4,-99),FB$7,""),"")</f>
        <v/>
      </c>
      <c r="FE264" s="32">
        <f>Eu_tabel_a[[#This Row],[x base]]*SQRT(Eu_a_h0_x*(1-Eu_a_h0_x)/Eu_a_n_x)+Eu_a_h0_x</f>
        <v>0</v>
      </c>
      <c r="FJ264" s="74" t="e">
        <f t="shared" si="443"/>
        <v>#N/A</v>
      </c>
      <c r="FK264" s="82" t="e">
        <f t="shared" si="426"/>
        <v>#DIV/0!</v>
      </c>
      <c r="FL264" s="7" t="e">
        <f t="shared" si="437"/>
        <v>#DIV/0!</v>
      </c>
      <c r="FM264" t="e">
        <f t="shared" si="427"/>
        <v>#DIV/0!</v>
      </c>
      <c r="FN264" s="8" t="e">
        <f t="shared" si="428"/>
        <v>#DIV/0!</v>
      </c>
      <c r="FO264" s="8" t="e">
        <f t="shared" si="429"/>
        <v>#DIV/0!</v>
      </c>
      <c r="FP264" s="81" t="e">
        <f t="shared" si="430"/>
        <v>#DIV/0!</v>
      </c>
      <c r="FQ264" s="74" t="e">
        <f t="shared" ca="1" si="438"/>
        <v>#N/A</v>
      </c>
      <c r="FR264" s="82" t="e" vm="3">
        <f t="shared" ca="1" si="444"/>
        <v>#VALUE!</v>
      </c>
      <c r="FS264" s="7" t="e" vm="3">
        <f t="shared" ca="1" si="439"/>
        <v>#VALUE!</v>
      </c>
      <c r="FT264" t="e" vm="3">
        <f t="shared" ca="1" si="433"/>
        <v>#VALUE!</v>
      </c>
      <c r="FU264" s="8" t="e" vm="3">
        <f t="shared" ca="1" si="434"/>
        <v>#VALUE!</v>
      </c>
      <c r="FV264" s="8" t="e" vm="3">
        <f t="shared" ca="1" si="435"/>
        <v>#VALUE!</v>
      </c>
      <c r="FW264" s="81" t="e" vm="3">
        <f t="shared" ca="1" si="436"/>
        <v>#VALUE!</v>
      </c>
      <c r="FX264" s="74" t="e">
        <f t="shared" si="440"/>
        <v>#N/A</v>
      </c>
      <c r="FY264" s="82" t="e">
        <f t="shared" si="445"/>
        <v>#N/A</v>
      </c>
      <c r="FZ264" s="7" t="e">
        <f t="shared" si="441"/>
        <v>#N/A</v>
      </c>
      <c r="GA264" t="e">
        <f t="shared" si="446"/>
        <v>#N/A</v>
      </c>
      <c r="GB264" s="8" t="e">
        <f t="shared" si="447"/>
        <v>#N/A</v>
      </c>
      <c r="GC264" s="8" t="e">
        <f t="shared" si="448"/>
        <v>#N/A</v>
      </c>
      <c r="GD264" s="81" t="e">
        <f t="shared" si="449"/>
        <v>#N/A</v>
      </c>
      <c r="GE264" s="74" t="e">
        <f t="shared" si="450"/>
        <v>#N/A</v>
      </c>
      <c r="GF264" s="82" t="e">
        <f t="shared" si="451"/>
        <v>#N/A</v>
      </c>
      <c r="GG264" s="7" t="e">
        <f t="shared" si="442"/>
        <v>#N/A</v>
      </c>
      <c r="GH264" t="e">
        <f t="shared" si="452"/>
        <v>#N/A</v>
      </c>
      <c r="GI264" s="8" t="e">
        <f t="shared" si="453"/>
        <v>#N/A</v>
      </c>
      <c r="GJ264" s="8" t="e">
        <f t="shared" si="454"/>
        <v>#N/A</v>
      </c>
      <c r="GK264" s="81" t="e">
        <f t="shared" si="455"/>
        <v>#N/A</v>
      </c>
      <c r="GL264" s="81"/>
      <c r="GM264" s="81"/>
      <c r="GP264" s="59">
        <f t="shared" si="395"/>
        <v>254</v>
      </c>
      <c r="GQ264" s="32">
        <f t="shared" si="396"/>
        <v>255</v>
      </c>
      <c r="GR264" s="59">
        <f t="shared" si="397"/>
        <v>2.9944111493874157</v>
      </c>
      <c r="GS264" s="59">
        <f t="shared" si="398"/>
        <v>4.5067112740675413E-3</v>
      </c>
      <c r="GT264" s="59" t="e">
        <f t="shared" si="399"/>
        <v>#N/A</v>
      </c>
      <c r="GU264" s="59" t="e">
        <f t="shared" si="400"/>
        <v>#N/A</v>
      </c>
      <c r="GV264" s="59" t="e">
        <f t="shared" si="401"/>
        <v>#N/A</v>
      </c>
      <c r="GW264" s="59" t="b">
        <f t="shared" si="402"/>
        <v>0</v>
      </c>
      <c r="GX264" s="59" t="b">
        <f t="shared" si="403"/>
        <v>1</v>
      </c>
      <c r="GY264" s="59" t="b">
        <f t="shared" si="404"/>
        <v>1</v>
      </c>
      <c r="GZ264" s="59" t="b">
        <f t="shared" si="405"/>
        <v>0</v>
      </c>
      <c r="HA264" s="59">
        <f t="shared" si="406"/>
        <v>4.5067112740675413E-3</v>
      </c>
      <c r="HB264" s="59">
        <f t="shared" si="407"/>
        <v>4.5067112740675413E-3</v>
      </c>
      <c r="HC264" s="59" t="e">
        <f t="shared" si="408"/>
        <v>#N/A</v>
      </c>
      <c r="HD264" s="60" t="str">
        <f t="shared" si="409"/>
        <v/>
      </c>
      <c r="HJ264" s="59">
        <f t="shared" si="410"/>
        <v>254</v>
      </c>
      <c r="HK264" s="32">
        <f t="shared" si="411"/>
        <v>255</v>
      </c>
      <c r="HL264" s="59">
        <f t="shared" si="412"/>
        <v>4.6369085548821065</v>
      </c>
      <c r="HM264" s="59" t="e">
        <f t="shared" si="413"/>
        <v>#N/A</v>
      </c>
      <c r="HN264" s="59">
        <f t="shared" si="414"/>
        <v>1.4009017297980497E-3</v>
      </c>
      <c r="HO264" s="59" t="e">
        <f t="shared" si="415"/>
        <v>#N/A</v>
      </c>
      <c r="HP264" s="59" t="e">
        <f t="shared" si="416"/>
        <v>#N/A</v>
      </c>
      <c r="HQ264" s="59" t="b">
        <f t="shared" si="417"/>
        <v>0</v>
      </c>
      <c r="HR264" s="59" t="b">
        <f t="shared" si="418"/>
        <v>1</v>
      </c>
      <c r="HS264" s="59" t="b">
        <f t="shared" si="419"/>
        <v>1</v>
      </c>
      <c r="HT264" s="59" t="b">
        <f t="shared" si="420"/>
        <v>0</v>
      </c>
      <c r="HU264" s="59">
        <f t="shared" si="421"/>
        <v>1.4009017297980497E-3</v>
      </c>
      <c r="HV264" s="59" t="e">
        <f t="shared" si="422"/>
        <v>#N/A</v>
      </c>
      <c r="HW264" s="59">
        <f t="shared" si="423"/>
        <v>1.4009017297980497E-3</v>
      </c>
      <c r="HX264" s="60" t="str">
        <f t="shared" si="424"/>
        <v/>
      </c>
    </row>
    <row r="265" spans="78:232" x14ac:dyDescent="0.2">
      <c r="BZ265" s="59">
        <f t="shared" si="351"/>
        <v>255</v>
      </c>
      <c r="CA265" s="32">
        <f>Eu_tabel_g[[#This Row],[Indeks]]+1</f>
        <v>256</v>
      </c>
      <c r="CB265" s="59">
        <f t="shared" si="352"/>
        <v>3.0183664385825155</v>
      </c>
      <c r="CC265" s="59">
        <f t="shared" si="353"/>
        <v>4.1935547655993438E-3</v>
      </c>
      <c r="CD265" s="59" t="e">
        <f t="shared" si="354"/>
        <v>#N/A</v>
      </c>
      <c r="CE265" s="59" t="e">
        <f t="shared" si="355"/>
        <v>#N/A</v>
      </c>
      <c r="CF265" s="59" t="e">
        <f t="shared" si="356"/>
        <v>#N/A</v>
      </c>
      <c r="CG265" s="59" t="b">
        <f t="shared" si="357"/>
        <v>0</v>
      </c>
      <c r="CH265" s="59" t="b">
        <f t="shared" si="358"/>
        <v>1</v>
      </c>
      <c r="CI265" s="59" t="b">
        <f t="shared" si="359"/>
        <v>1</v>
      </c>
      <c r="CJ265" s="59" t="b">
        <f t="shared" si="360"/>
        <v>0</v>
      </c>
      <c r="CK265" s="59">
        <f t="shared" si="432"/>
        <v>4.1935547655993438E-3</v>
      </c>
      <c r="CL265" s="59">
        <f t="shared" si="361"/>
        <v>4.1935547655993438E-3</v>
      </c>
      <c r="CM265" s="59" t="e">
        <f t="shared" si="362"/>
        <v>#N/A</v>
      </c>
      <c r="CN265" s="60" t="str">
        <f t="shared" si="363"/>
        <v/>
      </c>
      <c r="CO265" s="32">
        <f>_xlfn.NORM.DIST(_xlfn.NORM.INV(1-Eu_g_konfidensniveau,0,1)-Eu_tabel_g[[#This Row],[x base]],0,1,TRUE)</f>
        <v>1.5564977342734397E-6</v>
      </c>
      <c r="CP265" s="32">
        <f>1-_xlfn.NORM.DIST(_xlfn.NORM.INV(Eu_g_konfidensniveau,0,1)-Eu_tabel_g[[#This Row],[x base]],0,1,TRUE)</f>
        <v>0.91520350942874473</v>
      </c>
      <c r="CQ265" s="32">
        <f>_xlfn.NORM.DIST(_xlfn.NORM.INV((1-Eu_g_konfidensniveau)/2,0,1)-Eu_tabel_g[[#This Row],[x base]],0,1,TRUE)+1-_xlfn.NORM.DIST(_xlfn.NORM.INV(1-(1-Eu_g_konfidensniveau)/2,0,1)-Eu_tabel_g[[#This Row],[x base]],0,1,TRUE)</f>
        <v>0.85506432011602818</v>
      </c>
      <c r="CR265" s="32" t="e" cm="1">
        <f t="array" ref="CR265">IF($CR$3,INDEX(Eu_tabel_g[[#This Row],[Styrke venstre]:[Styrke tosidet]],CR$7),NA())</f>
        <v>#N/A</v>
      </c>
      <c r="CS265" s="52" t="e">
        <f>Eu_tabel_g[[#This Row],[Falsk positiv
Nulhypotese accepteres
Fejltype 1]]</f>
        <v>#N/A</v>
      </c>
      <c r="CT265" s="52" t="e">
        <f>IF(CHOOSE(CR$7,Eu_tabel_g[[#This Row],[x base]]&gt;0,Eu_tabel_g[[#This Row],[x base]]&lt;0,Eu_tabel_g[[#This Row],[x base]]=0),Eu_tabel_g[[#This Row],[Styrke, aktiv]],NA())</f>
        <v>#N/A</v>
      </c>
      <c r="CU265" s="52" t="e">
        <f>IFERROR(IF($CR$3,Eu_tabel_g[[#This Row],[Styrke, aktiv]],NA()),NA())</f>
        <v>#N/A</v>
      </c>
      <c r="CV265" s="52" t="e">
        <f>IF(ISNA(Eu_tabel_g[[#This Row],[Sand negativ
Nulhypotese afvises
Korrekt]]),NA(),IF($CR$3,1,NA()))</f>
        <v>#N/A</v>
      </c>
      <c r="CW265" s="34" t="str" cm="1">
        <f t="array" ref="CW265">_xlfn.SWITCH(BZ265,_xlfn.IFNA(CU$2,-99),CU$5,_xlfn.IFNA(CU$3,-99),CU$6,_xlfn.IFNA(CU$4,-99),CU$7,"")</f>
        <v/>
      </c>
      <c r="DA265" s="7">
        <f t="shared" si="364"/>
        <v>0.8</v>
      </c>
      <c r="DB265">
        <f>IF(ROW(Styrkeberegning_G[[#This Row],[X base venstre]])=ROW(Styrkeberegning_G[[#Headers],[X base venstre]])+1,DB$7/(DA$7/$B$67),DB264/(DA264/$B$67))</f>
        <v>-2.8015817870135784</v>
      </c>
      <c r="DC265">
        <f>Styrkeberegning_G[[#This Row],[X base venstre]]*-1</f>
        <v>2.8015817870135784</v>
      </c>
      <c r="DN265" s="59">
        <f t="shared" si="365"/>
        <v>255</v>
      </c>
      <c r="DO265" s="32">
        <f t="shared" si="366"/>
        <v>256</v>
      </c>
      <c r="DP265" s="59">
        <f t="shared" si="367"/>
        <v>30.921921050988946</v>
      </c>
      <c r="DQ265" s="59" t="e">
        <f t="shared" si="368"/>
        <v>#N/A</v>
      </c>
      <c r="DR265" s="59" t="e">
        <f t="shared" si="369"/>
        <v>#N/A</v>
      </c>
      <c r="DS265" s="59">
        <f t="shared" si="370"/>
        <v>4.1406404236711146E-4</v>
      </c>
      <c r="DT265" s="59" t="e">
        <f t="shared" si="371"/>
        <v>#N/A</v>
      </c>
      <c r="DU265" s="59" t="b">
        <f t="shared" si="372"/>
        <v>0</v>
      </c>
      <c r="DV265" s="59" t="b">
        <f t="shared" si="373"/>
        <v>1</v>
      </c>
      <c r="DW265" s="59" t="b">
        <f t="shared" si="374"/>
        <v>1</v>
      </c>
      <c r="DX265" s="59" t="b">
        <f t="shared" si="375"/>
        <v>0</v>
      </c>
      <c r="DY265" s="59">
        <f t="shared" si="376"/>
        <v>4.1406404236711146E-4</v>
      </c>
      <c r="DZ265" s="59">
        <f t="shared" si="377"/>
        <v>4.1406404236711146E-4</v>
      </c>
      <c r="EA265" s="59" t="e">
        <f t="shared" si="378"/>
        <v>#N/A</v>
      </c>
      <c r="EB265" s="60" t="str">
        <f t="shared" si="379"/>
        <v/>
      </c>
      <c r="EG265" s="59">
        <f t="shared" si="380"/>
        <v>255</v>
      </c>
      <c r="EH265" s="32">
        <f t="shared" si="381"/>
        <v>256</v>
      </c>
      <c r="EI265" s="59">
        <f t="shared" si="382"/>
        <v>3.0183664385825155</v>
      </c>
      <c r="EJ265" s="59">
        <f t="shared" si="383"/>
        <v>4.1935547655993438E-3</v>
      </c>
      <c r="EK265" s="59" t="e">
        <f t="shared" si="384"/>
        <v>#N/A</v>
      </c>
      <c r="EL265" s="59" t="e">
        <f t="shared" si="385"/>
        <v>#N/A</v>
      </c>
      <c r="EM265" s="59" t="e">
        <f t="shared" si="386"/>
        <v>#N/A</v>
      </c>
      <c r="EN265" s="59" t="b">
        <f t="shared" si="387"/>
        <v>0</v>
      </c>
      <c r="EO265" s="59" t="b">
        <f t="shared" si="388"/>
        <v>1</v>
      </c>
      <c r="EP265" s="59" t="b">
        <f t="shared" si="389"/>
        <v>1</v>
      </c>
      <c r="EQ265" s="59" t="b">
        <f t="shared" si="390"/>
        <v>0</v>
      </c>
      <c r="ER265" s="59">
        <f t="shared" si="391"/>
        <v>4.1935547655993438E-3</v>
      </c>
      <c r="ES265" s="59">
        <f t="shared" si="392"/>
        <v>4.1935547655993438E-3</v>
      </c>
      <c r="ET265" s="59" t="e">
        <f t="shared" si="393"/>
        <v>#N/A</v>
      </c>
      <c r="EU265" s="60" t="str">
        <f t="shared" si="394"/>
        <v/>
      </c>
      <c r="EV26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5"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5"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5" s="32" t="e" cm="1">
        <f t="array" ref="EY265">IF($CR$3,INDEX(Eu_tabel_a[[#This Row],[Styrke venstre]:[Styrke tosidet]],EY$7),NA())</f>
        <v>#N/A</v>
      </c>
      <c r="EZ265" s="32" t="e">
        <f>IF(EY$3,IF(CHOOSE(EY$7,Eu_tabel_a[[#This Row],[x base]]&gt;0,Eu_tabel_a[[#This Row],[x base]]&lt;0,Eu_tabel_a[[#This Row],[x base]]=0),1,NA()),NA())</f>
        <v>#N/A</v>
      </c>
      <c r="FA265" s="32" t="e">
        <f>IF(CHOOSE(EY$7,Eu_tabel_a[[#This Row],[x base]]&gt;0,Eu_tabel_a[[#This Row],[x base]]&lt;0,Eu_tabel_a[[#This Row],[x base]]=0),Eu_tabel_a[[#This Row],[Styrke, aktiv]],NA())</f>
        <v>#N/A</v>
      </c>
      <c r="FB265" s="32" t="e">
        <f>IFERROR(IF($EY$3,Eu_tabel_a[[#This Row],[Styrke, aktiv]],NA()),NA())</f>
        <v>#N/A</v>
      </c>
      <c r="FC265" s="32" t="e">
        <f>IF(ISNA(Eu_tabel_a[[#This Row],[Sand negativ
Nulhypotese afvises
Korrekt]]),NA(),IF(EY$3,1,NA()))</f>
        <v>#N/A</v>
      </c>
      <c r="FD265" s="33" t="str" cm="1">
        <f t="array" ref="FD265">IFERROR(_xlfn.SWITCH(Eu_tabel_a[[#This Row],[Indeks]],_xlfn.IFNA(FB$2,-99),FB$5,_xlfn.IFNA(FB$3,-99),FB$6,_xlfn.IFNA(FB$4,-99),FB$7,""),"")</f>
        <v/>
      </c>
      <c r="FE265" s="32">
        <f>Eu_tabel_a[[#This Row],[x base]]*SQRT(Eu_a_h0_x*(1-Eu_a_h0_x)/Eu_a_n_x)+Eu_a_h0_x</f>
        <v>0</v>
      </c>
      <c r="FJ265" s="74" t="e">
        <f t="shared" si="443"/>
        <v>#N/A</v>
      </c>
      <c r="FK265" s="82" t="e">
        <f t="shared" si="426"/>
        <v>#DIV/0!</v>
      </c>
      <c r="FL265" s="7" t="e">
        <f t="shared" si="437"/>
        <v>#DIV/0!</v>
      </c>
      <c r="FM265" t="e">
        <f t="shared" si="427"/>
        <v>#DIV/0!</v>
      </c>
      <c r="FN265" s="8" t="e">
        <f t="shared" si="428"/>
        <v>#DIV/0!</v>
      </c>
      <c r="FO265" s="8" t="e">
        <f t="shared" si="429"/>
        <v>#DIV/0!</v>
      </c>
      <c r="FP265" s="81" t="e">
        <f t="shared" si="430"/>
        <v>#DIV/0!</v>
      </c>
      <c r="FQ265" s="74" t="e">
        <f t="shared" ca="1" si="438"/>
        <v>#N/A</v>
      </c>
      <c r="FR265" s="82" t="e" vm="3">
        <f t="shared" ca="1" si="444"/>
        <v>#VALUE!</v>
      </c>
      <c r="FS265" s="7" t="e" vm="3">
        <f t="shared" ca="1" si="439"/>
        <v>#VALUE!</v>
      </c>
      <c r="FT265" t="e" vm="3">
        <f t="shared" ca="1" si="433"/>
        <v>#VALUE!</v>
      </c>
      <c r="FU265" s="8" t="e" vm="3">
        <f t="shared" ca="1" si="434"/>
        <v>#VALUE!</v>
      </c>
      <c r="FV265" s="8" t="e" vm="3">
        <f t="shared" ca="1" si="435"/>
        <v>#VALUE!</v>
      </c>
      <c r="FW265" s="81" t="e" vm="3">
        <f t="shared" ca="1" si="436"/>
        <v>#VALUE!</v>
      </c>
      <c r="FX265" s="74" t="e">
        <f t="shared" si="440"/>
        <v>#N/A</v>
      </c>
      <c r="FY265" s="82" t="e">
        <f t="shared" si="445"/>
        <v>#N/A</v>
      </c>
      <c r="FZ265" s="7" t="e">
        <f t="shared" si="441"/>
        <v>#N/A</v>
      </c>
      <c r="GA265" t="e">
        <f t="shared" si="446"/>
        <v>#N/A</v>
      </c>
      <c r="GB265" s="8" t="e">
        <f t="shared" si="447"/>
        <v>#N/A</v>
      </c>
      <c r="GC265" s="8" t="e">
        <f t="shared" si="448"/>
        <v>#N/A</v>
      </c>
      <c r="GD265" s="81" t="e">
        <f t="shared" si="449"/>
        <v>#N/A</v>
      </c>
      <c r="GE265" s="74" t="e">
        <f t="shared" si="450"/>
        <v>#N/A</v>
      </c>
      <c r="GF265" s="82" t="e">
        <f t="shared" si="451"/>
        <v>#N/A</v>
      </c>
      <c r="GG265" s="7" t="e">
        <f t="shared" si="442"/>
        <v>#N/A</v>
      </c>
      <c r="GH265" t="e">
        <f t="shared" si="452"/>
        <v>#N/A</v>
      </c>
      <c r="GI265" s="8" t="e">
        <f t="shared" si="453"/>
        <v>#N/A</v>
      </c>
      <c r="GJ265" s="8" t="e">
        <f t="shared" si="454"/>
        <v>#N/A</v>
      </c>
      <c r="GK265" s="81" t="e">
        <f t="shared" si="455"/>
        <v>#N/A</v>
      </c>
      <c r="GL265" s="81"/>
      <c r="GM265" s="81"/>
      <c r="GP265" s="59">
        <f t="shared" si="395"/>
        <v>255</v>
      </c>
      <c r="GQ265" s="32">
        <f t="shared" si="396"/>
        <v>256</v>
      </c>
      <c r="GR265" s="59">
        <f t="shared" si="397"/>
        <v>3.0183664385825155</v>
      </c>
      <c r="GS265" s="59">
        <f t="shared" si="398"/>
        <v>4.1935547655993438E-3</v>
      </c>
      <c r="GT265" s="59" t="e">
        <f t="shared" si="399"/>
        <v>#N/A</v>
      </c>
      <c r="GU265" s="59" t="e">
        <f t="shared" si="400"/>
        <v>#N/A</v>
      </c>
      <c r="GV265" s="59" t="e">
        <f t="shared" si="401"/>
        <v>#N/A</v>
      </c>
      <c r="GW265" s="59" t="b">
        <f t="shared" si="402"/>
        <v>0</v>
      </c>
      <c r="GX265" s="59" t="b">
        <f t="shared" si="403"/>
        <v>1</v>
      </c>
      <c r="GY265" s="59" t="b">
        <f t="shared" si="404"/>
        <v>1</v>
      </c>
      <c r="GZ265" s="59" t="b">
        <f t="shared" si="405"/>
        <v>0</v>
      </c>
      <c r="HA265" s="59">
        <f t="shared" si="406"/>
        <v>4.1935547655993438E-3</v>
      </c>
      <c r="HB265" s="59">
        <f t="shared" si="407"/>
        <v>4.1935547655993438E-3</v>
      </c>
      <c r="HC265" s="59" t="e">
        <f t="shared" si="408"/>
        <v>#N/A</v>
      </c>
      <c r="HD265" s="60" t="str">
        <f t="shared" si="409"/>
        <v/>
      </c>
      <c r="HJ265" s="59">
        <f t="shared" si="410"/>
        <v>255</v>
      </c>
      <c r="HK265" s="32">
        <f t="shared" si="411"/>
        <v>256</v>
      </c>
      <c r="HL265" s="59">
        <f t="shared" si="412"/>
        <v>4.6740038233211632</v>
      </c>
      <c r="HM265" s="59" t="e">
        <f t="shared" si="413"/>
        <v>#N/A</v>
      </c>
      <c r="HN265" s="59">
        <f t="shared" si="414"/>
        <v>1.3350024886192543E-3</v>
      </c>
      <c r="HO265" s="59" t="e">
        <f t="shared" si="415"/>
        <v>#N/A</v>
      </c>
      <c r="HP265" s="59" t="e">
        <f t="shared" si="416"/>
        <v>#N/A</v>
      </c>
      <c r="HQ265" s="59" t="b">
        <f t="shared" si="417"/>
        <v>0</v>
      </c>
      <c r="HR265" s="59" t="b">
        <f t="shared" si="418"/>
        <v>1</v>
      </c>
      <c r="HS265" s="59" t="b">
        <f t="shared" si="419"/>
        <v>1</v>
      </c>
      <c r="HT265" s="59" t="b">
        <f t="shared" si="420"/>
        <v>0</v>
      </c>
      <c r="HU265" s="59">
        <f t="shared" si="421"/>
        <v>1.3350024886192543E-3</v>
      </c>
      <c r="HV265" s="59" t="e">
        <f t="shared" si="422"/>
        <v>#N/A</v>
      </c>
      <c r="HW265" s="59">
        <f t="shared" si="423"/>
        <v>1.3350024886192543E-3</v>
      </c>
      <c r="HX265" s="60" t="str">
        <f t="shared" si="424"/>
        <v/>
      </c>
    </row>
    <row r="266" spans="78:232" x14ac:dyDescent="0.2">
      <c r="BZ266" s="59">
        <f t="shared" si="351"/>
        <v>256</v>
      </c>
      <c r="CA266" s="32">
        <f>Eu_tabel_g[[#This Row],[Indeks]]+1</f>
        <v>257</v>
      </c>
      <c r="CB266" s="59">
        <f t="shared" si="352"/>
        <v>3.0423217277776144</v>
      </c>
      <c r="CC266" s="59">
        <f t="shared" ref="CC266:CC268" si="456">IF(CC$3,_xlfn.NORM.DIST(CB266,CC$5,CC$7,FALSE),NA())</f>
        <v>3.8999198362770038E-3</v>
      </c>
      <c r="CD266" s="59" t="e">
        <f t="shared" si="354"/>
        <v>#N/A</v>
      </c>
      <c r="CE266" s="59" t="e">
        <f t="shared" si="355"/>
        <v>#N/A</v>
      </c>
      <c r="CF266" s="59" t="e">
        <f t="shared" si="356"/>
        <v>#N/A</v>
      </c>
      <c r="CG266" s="59" t="b">
        <f t="shared" si="357"/>
        <v>0</v>
      </c>
      <c r="CH266" s="59" t="b">
        <f t="shared" ref="CH266:CH268" si="457">CB266&gt;CG$3</f>
        <v>1</v>
      </c>
      <c r="CI266" s="59" t="b">
        <f t="shared" si="359"/>
        <v>1</v>
      </c>
      <c r="CJ266" s="59" t="b">
        <f t="shared" ref="CJ266:CJ268" si="458">AND(CB266&gt;CI$3,CB266&lt;CI$5)</f>
        <v>0</v>
      </c>
      <c r="CK266" s="59">
        <f t="shared" si="432"/>
        <v>3.8999198362770038E-3</v>
      </c>
      <c r="CL266" s="59">
        <f t="shared" ref="CL266:CL268" si="459">IF(INDEX(CG266:CJ266,CK$7),CK266,NA())</f>
        <v>3.8999198362770038E-3</v>
      </c>
      <c r="CM266" s="59" t="e">
        <f t="shared" ref="CM266:CM268" si="460">IF(INDEX(CG266:CJ266,CL$7),CK266,NA())</f>
        <v>#N/A</v>
      </c>
      <c r="CN266" s="60" t="str">
        <f t="shared" si="363"/>
        <v/>
      </c>
      <c r="CO266" s="32">
        <f>_xlfn.NORM.DIST(_xlfn.NORM.INV(1-Eu_g_konfidensniveau,0,1)-Eu_tabel_g[[#This Row],[x base]],0,1,TRUE)</f>
        <v>1.3850080688862689E-6</v>
      </c>
      <c r="CP266" s="32">
        <f>1-_xlfn.NORM.DIST(_xlfn.NORM.INV(Eu_g_konfidensniveau,0,1)-Eu_tabel_g[[#This Row],[x base]],0,1,TRUE)</f>
        <v>0.91886357365027505</v>
      </c>
      <c r="CQ266" s="32">
        <f>_xlfn.NORM.DIST(_xlfn.NORM.INV((1-Eu_g_konfidensniveau)/2,0,1)-Eu_tabel_g[[#This Row],[x base]],0,1,TRUE)+1-_xlfn.NORM.DIST(_xlfn.NORM.INV(1-(1-Eu_g_konfidensniveau)/2,0,1)-Eu_tabel_g[[#This Row],[x base]],0,1,TRUE)</f>
        <v>0.8604534846774361</v>
      </c>
      <c r="CR266" s="32" t="e" cm="1">
        <f t="array" ref="CR266">IF($CR$3,INDEX(Eu_tabel_g[[#This Row],[Styrke venstre]:[Styrke tosidet]],CR$7),NA())</f>
        <v>#N/A</v>
      </c>
      <c r="CS266" s="52" t="e">
        <f>Eu_tabel_g[[#This Row],[Falsk positiv
Nulhypotese accepteres
Fejltype 1]]</f>
        <v>#N/A</v>
      </c>
      <c r="CT266" s="52" t="e">
        <f>IF(CHOOSE(CR$7,Eu_tabel_g[[#This Row],[x base]]&gt;0,Eu_tabel_g[[#This Row],[x base]]&lt;0,Eu_tabel_g[[#This Row],[x base]]=0),Eu_tabel_g[[#This Row],[Styrke, aktiv]],NA())</f>
        <v>#N/A</v>
      </c>
      <c r="CU266" s="52" t="e">
        <f>IFERROR(IF($CR$3,Eu_tabel_g[[#This Row],[Styrke, aktiv]],NA()),NA())</f>
        <v>#N/A</v>
      </c>
      <c r="CV266" s="52" t="e">
        <f>IF(ISNA(Eu_tabel_g[[#This Row],[Sand negativ
Nulhypotese afvises
Korrekt]]),NA(),IF($CR$3,1,NA()))</f>
        <v>#N/A</v>
      </c>
      <c r="CW266" s="34" t="str" cm="1">
        <f t="array" ref="CW266">_xlfn.SWITCH(BZ266,_xlfn.IFNA(CU$2,-99),CU$5,_xlfn.IFNA(CU$3,-99),CU$6,_xlfn.IFNA(CU$4,-99),CU$7,"")</f>
        <v/>
      </c>
      <c r="DA266" s="7">
        <f t="shared" ref="DA266:DA268" si="461">_xlfn.NORM.DIST(_xlfn.NORM.INV((1-Eu_g_konfidensniveau)/2,0,1)-DB266,0,1,TRUE)+1-_xlfn.NORM.DIST(_xlfn.NORM.INV(1-(1-Eu_g_konfidensniveau)/2,0,1)-DB266,0,1,TRUE)</f>
        <v>0.8</v>
      </c>
      <c r="DB266">
        <f>IF(ROW(Styrkeberegning_G[[#This Row],[X base venstre]])=ROW(Styrkeberegning_G[[#Headers],[X base venstre]])+1,DB$7/(DA$7/$B$67),DB265/(DA265/$B$67))</f>
        <v>-2.8015817870135784</v>
      </c>
      <c r="DC266">
        <f>Styrkeberegning_G[[#This Row],[X base venstre]]*-1</f>
        <v>2.8015817870135784</v>
      </c>
      <c r="DN266" s="59">
        <f t="shared" si="365"/>
        <v>256</v>
      </c>
      <c r="DO266" s="32">
        <f t="shared" ref="DO266:DO268" si="462">DN266+1</f>
        <v>257</v>
      </c>
      <c r="DP266" s="59">
        <f t="shared" si="367"/>
        <v>31.035991907405947</v>
      </c>
      <c r="DQ266" s="59" t="e">
        <f t="shared" ref="DQ266:DQ268" si="463">IF(DQ$3,_xlfn.NORM.DIST(DP266,DQ$5,DQ$7,FALSE),NA())</f>
        <v>#N/A</v>
      </c>
      <c r="DR266" s="59" t="e">
        <f t="shared" si="369"/>
        <v>#N/A</v>
      </c>
      <c r="DS266" s="59">
        <f t="shared" si="370"/>
        <v>3.9764321751416568E-4</v>
      </c>
      <c r="DT266" s="59" t="e">
        <f t="shared" si="371"/>
        <v>#N/A</v>
      </c>
      <c r="DU266" s="59" t="b">
        <f t="shared" si="372"/>
        <v>0</v>
      </c>
      <c r="DV266" s="59" t="b">
        <f t="shared" ref="DV266:DV268" si="464">DP266&gt;DU$3</f>
        <v>1</v>
      </c>
      <c r="DW266" s="59" t="b">
        <f t="shared" si="374"/>
        <v>1</v>
      </c>
      <c r="DX266" s="59" t="b">
        <f t="shared" ref="DX266:DX268" si="465">AND(DP266&gt;DW$3,DP266&lt;DW$5)</f>
        <v>0</v>
      </c>
      <c r="DY266" s="59">
        <f t="shared" ref="DY266:DY268" si="466">_xlfn.AGGREGATE(9,6,DQ266:DT266)</f>
        <v>3.9764321751416568E-4</v>
      </c>
      <c r="DZ266" s="59">
        <f t="shared" ref="DZ266:DZ268" si="467">IF(INDEX(DU266:DX266,DY$7),DY266,NA())</f>
        <v>3.9764321751416568E-4</v>
      </c>
      <c r="EA266" s="59" t="e">
        <f t="shared" ref="EA266:EA268" si="468">IF(INDEX(DU266:DX266,DZ$7),DY266,NA())</f>
        <v>#N/A</v>
      </c>
      <c r="EB266" s="60" t="str">
        <f t="shared" si="379"/>
        <v/>
      </c>
      <c r="EG266" s="59">
        <f t="shared" si="380"/>
        <v>256</v>
      </c>
      <c r="EH266" s="32">
        <f t="shared" ref="EH266:EH268" si="469">EG266+1</f>
        <v>257</v>
      </c>
      <c r="EI266" s="59">
        <f t="shared" si="382"/>
        <v>3.0423217277776144</v>
      </c>
      <c r="EJ266" s="59">
        <f t="shared" ref="EJ266:EJ268" si="470">IF(EJ$3,_xlfn.NORM.DIST(EI266,EJ$5,EJ$7,FALSE),NA())</f>
        <v>3.8999198362770038E-3</v>
      </c>
      <c r="EK266" s="59" t="e">
        <f t="shared" si="384"/>
        <v>#N/A</v>
      </c>
      <c r="EL266" s="59" t="e">
        <f t="shared" si="385"/>
        <v>#N/A</v>
      </c>
      <c r="EM266" s="59" t="e">
        <f t="shared" si="386"/>
        <v>#N/A</v>
      </c>
      <c r="EN266" s="59" t="b">
        <f t="shared" si="387"/>
        <v>0</v>
      </c>
      <c r="EO266" s="59" t="b">
        <f t="shared" ref="EO266:EO268" si="471">EI266&gt;EN$3</f>
        <v>1</v>
      </c>
      <c r="EP266" s="59" t="b">
        <f t="shared" si="389"/>
        <v>1</v>
      </c>
      <c r="EQ266" s="59" t="b">
        <f t="shared" ref="EQ266:EQ268" si="472">AND(EI266&gt;EP$3,EI266&lt;EP$5)</f>
        <v>0</v>
      </c>
      <c r="ER266" s="59">
        <f t="shared" ref="ER266:ER268" si="473">_xlfn.AGGREGATE(9,6,EJ266:EM266)</f>
        <v>3.8999198362770038E-3</v>
      </c>
      <c r="ES266" s="59">
        <f t="shared" ref="ES266:ES268" si="474">IF(INDEX(EN266:EQ266,ER$7),ER266,NA())</f>
        <v>3.8999198362770038E-3</v>
      </c>
      <c r="ET266" s="59" t="e">
        <f t="shared" ref="ET266:ET268" si="475">IF(INDEX(EN266:EQ266,ES$7),ER266,NA())</f>
        <v>#N/A</v>
      </c>
      <c r="EU266" s="60" t="str">
        <f t="shared" si="394"/>
        <v/>
      </c>
      <c r="EV26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6"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6"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6" s="32" t="e" cm="1">
        <f t="array" ref="EY266">IF($CR$3,INDEX(Eu_tabel_a[[#This Row],[Styrke venstre]:[Styrke tosidet]],EY$7),NA())</f>
        <v>#N/A</v>
      </c>
      <c r="EZ266" s="32" t="e">
        <f>IF(EY$3,IF(CHOOSE(EY$7,Eu_tabel_a[[#This Row],[x base]]&gt;0,Eu_tabel_a[[#This Row],[x base]]&lt;0,Eu_tabel_a[[#This Row],[x base]]=0),1,NA()),NA())</f>
        <v>#N/A</v>
      </c>
      <c r="FA266" s="32" t="e">
        <f>IF(CHOOSE(EY$7,Eu_tabel_a[[#This Row],[x base]]&gt;0,Eu_tabel_a[[#This Row],[x base]]&lt;0,Eu_tabel_a[[#This Row],[x base]]=0),Eu_tabel_a[[#This Row],[Styrke, aktiv]],NA())</f>
        <v>#N/A</v>
      </c>
      <c r="FB266" s="32" t="e">
        <f>IFERROR(IF($EY$3,Eu_tabel_a[[#This Row],[Styrke, aktiv]],NA()),NA())</f>
        <v>#N/A</v>
      </c>
      <c r="FC266" s="32" t="e">
        <f>IF(ISNA(Eu_tabel_a[[#This Row],[Sand negativ
Nulhypotese afvises
Korrekt]]),NA(),IF(EY$3,1,NA()))</f>
        <v>#N/A</v>
      </c>
      <c r="FD266" s="33" t="str" cm="1">
        <f t="array" ref="FD266">IFERROR(_xlfn.SWITCH(Eu_tabel_a[[#This Row],[Indeks]],_xlfn.IFNA(FB$2,-99),FB$5,_xlfn.IFNA(FB$3,-99),FB$6,_xlfn.IFNA(FB$4,-99),FB$7,""),"")</f>
        <v/>
      </c>
      <c r="FE266" s="32">
        <f>Eu_tabel_a[[#This Row],[x base]]*SQRT(Eu_a_h0_x*(1-Eu_a_h0_x)/Eu_a_n_x)+Eu_a_h0_x</f>
        <v>0</v>
      </c>
      <c r="FJ266" s="74" t="e">
        <f t="shared" si="443"/>
        <v>#N/A</v>
      </c>
      <c r="FK266" s="82" t="e">
        <f t="shared" si="426"/>
        <v>#DIV/0!</v>
      </c>
      <c r="FL266" s="7" t="e">
        <f t="shared" si="437"/>
        <v>#DIV/0!</v>
      </c>
      <c r="FM266" t="e">
        <f t="shared" si="427"/>
        <v>#DIV/0!</v>
      </c>
      <c r="FN266" s="8" t="e">
        <f t="shared" si="428"/>
        <v>#DIV/0!</v>
      </c>
      <c r="FO266" s="8" t="e">
        <f t="shared" si="429"/>
        <v>#DIV/0!</v>
      </c>
      <c r="FP266" s="81" t="e">
        <f t="shared" si="430"/>
        <v>#DIV/0!</v>
      </c>
      <c r="FQ266" s="74" t="e">
        <f t="shared" ca="1" si="438"/>
        <v>#N/A</v>
      </c>
      <c r="FR266" s="82" t="e" vm="3">
        <f t="shared" ca="1" si="444"/>
        <v>#VALUE!</v>
      </c>
      <c r="FS266" s="7" t="e" vm="3">
        <f t="shared" ca="1" si="439"/>
        <v>#VALUE!</v>
      </c>
      <c r="FT266" t="e" vm="3">
        <f t="shared" ca="1" si="433"/>
        <v>#VALUE!</v>
      </c>
      <c r="FU266" s="8" t="e" vm="3">
        <f t="shared" ca="1" si="434"/>
        <v>#VALUE!</v>
      </c>
      <c r="FV266" s="8" t="e" vm="3">
        <f t="shared" ca="1" si="435"/>
        <v>#VALUE!</v>
      </c>
      <c r="FW266" s="81" t="e" vm="3">
        <f t="shared" ca="1" si="436"/>
        <v>#VALUE!</v>
      </c>
      <c r="FX266" s="74" t="e">
        <f t="shared" si="440"/>
        <v>#N/A</v>
      </c>
      <c r="FY266" s="82" t="e">
        <f t="shared" si="445"/>
        <v>#N/A</v>
      </c>
      <c r="FZ266" s="7" t="e">
        <f t="shared" si="441"/>
        <v>#N/A</v>
      </c>
      <c r="GA266" t="e">
        <f t="shared" si="446"/>
        <v>#N/A</v>
      </c>
      <c r="GB266" s="8" t="e">
        <f t="shared" si="447"/>
        <v>#N/A</v>
      </c>
      <c r="GC266" s="8" t="e">
        <f t="shared" si="448"/>
        <v>#N/A</v>
      </c>
      <c r="GD266" s="81" t="e">
        <f t="shared" si="449"/>
        <v>#N/A</v>
      </c>
      <c r="GE266" s="74" t="e">
        <f t="shared" si="450"/>
        <v>#N/A</v>
      </c>
      <c r="GF266" s="82" t="e">
        <f t="shared" si="451"/>
        <v>#N/A</v>
      </c>
      <c r="GG266" s="7" t="e">
        <f t="shared" si="442"/>
        <v>#N/A</v>
      </c>
      <c r="GH266" t="e">
        <f t="shared" si="452"/>
        <v>#N/A</v>
      </c>
      <c r="GI266" s="8" t="e">
        <f t="shared" si="453"/>
        <v>#N/A</v>
      </c>
      <c r="GJ266" s="8" t="e">
        <f t="shared" si="454"/>
        <v>#N/A</v>
      </c>
      <c r="GK266" s="81" t="e">
        <f t="shared" si="455"/>
        <v>#N/A</v>
      </c>
      <c r="GL266" s="81"/>
      <c r="GM266" s="81"/>
      <c r="GP266" s="59">
        <f t="shared" si="395"/>
        <v>256</v>
      </c>
      <c r="GQ266" s="32">
        <f t="shared" ref="GQ266:GQ268" si="476">GP266+1</f>
        <v>257</v>
      </c>
      <c r="GR266" s="59">
        <f t="shared" si="397"/>
        <v>3.0423217277776144</v>
      </c>
      <c r="GS266" s="59">
        <f t="shared" ref="GS266:GS268" si="477">IF(GS$3,_xlfn.NORM.DIST(GR266,GS$5,GS$7,FALSE),NA())</f>
        <v>3.8999198362770038E-3</v>
      </c>
      <c r="GT266" s="59" t="e">
        <f t="shared" si="399"/>
        <v>#N/A</v>
      </c>
      <c r="GU266" s="59" t="e">
        <f t="shared" si="400"/>
        <v>#N/A</v>
      </c>
      <c r="GV266" s="59" t="e">
        <f t="shared" si="401"/>
        <v>#N/A</v>
      </c>
      <c r="GW266" s="59" t="b">
        <f t="shared" si="402"/>
        <v>0</v>
      </c>
      <c r="GX266" s="59" t="b">
        <f t="shared" ref="GX266:GX268" si="478">GR266&gt;GW$3</f>
        <v>1</v>
      </c>
      <c r="GY266" s="59" t="b">
        <f t="shared" si="404"/>
        <v>1</v>
      </c>
      <c r="GZ266" s="59" t="b">
        <f t="shared" ref="GZ266:GZ268" si="479">AND(GR266&gt;GY$3,GR266&lt;GY$5)</f>
        <v>0</v>
      </c>
      <c r="HA266" s="59">
        <f t="shared" ref="HA266:HA268" si="480">_xlfn.AGGREGATE(9,6,GS266:GV266)</f>
        <v>3.8999198362770038E-3</v>
      </c>
      <c r="HB266" s="59">
        <f t="shared" ref="HB266:HB268" si="481">IF(INDEX(GW266:GZ266,HA$7),HA266,NA())</f>
        <v>3.8999198362770038E-3</v>
      </c>
      <c r="HC266" s="59" t="e">
        <f t="shared" ref="HC266:HC268" si="482">IF(INDEX(GW266:GZ266,HB$7),HA266,NA())</f>
        <v>#N/A</v>
      </c>
      <c r="HD266" s="60" t="str">
        <f t="shared" si="409"/>
        <v/>
      </c>
      <c r="HJ266" s="59">
        <f t="shared" si="410"/>
        <v>256</v>
      </c>
      <c r="HK266" s="32">
        <f t="shared" ref="HK266:HK268" si="483">HJ266+1</f>
        <v>257</v>
      </c>
      <c r="HL266" s="59">
        <f t="shared" si="412"/>
        <v>4.7110990917602198</v>
      </c>
      <c r="HM266" s="59" t="e">
        <f t="shared" ref="HM266:HM268" si="484">IF(HM$3,_xlfn.NORM.DIST(HL266,HM$5,HM$7,FALSE),NA())</f>
        <v>#N/A</v>
      </c>
      <c r="HN266" s="59">
        <f t="shared" si="414"/>
        <v>1.2724530798355995E-3</v>
      </c>
      <c r="HO266" s="59" t="e">
        <f t="shared" si="415"/>
        <v>#N/A</v>
      </c>
      <c r="HP266" s="59" t="e">
        <f t="shared" si="416"/>
        <v>#N/A</v>
      </c>
      <c r="HQ266" s="59" t="b">
        <f t="shared" si="417"/>
        <v>0</v>
      </c>
      <c r="HR266" s="59" t="b">
        <f t="shared" ref="HR266:HR268" si="485">HL266&gt;HQ$3</f>
        <v>1</v>
      </c>
      <c r="HS266" s="59" t="b">
        <f t="shared" si="419"/>
        <v>1</v>
      </c>
      <c r="HT266" s="59" t="b">
        <f t="shared" ref="HT266:HT268" si="486">AND(HL266&gt;HS$3,HL266&lt;HS$5)</f>
        <v>0</v>
      </c>
      <c r="HU266" s="59">
        <f t="shared" ref="HU266:HU268" si="487">_xlfn.AGGREGATE(9,6,HM266:HP266)</f>
        <v>1.2724530798355995E-3</v>
      </c>
      <c r="HV266" s="59" t="e">
        <f t="shared" ref="HV266:HV268" si="488">IF(INDEX(HQ266:HT266,HU$7),HU266,NA())</f>
        <v>#N/A</v>
      </c>
      <c r="HW266" s="59">
        <f t="shared" ref="HW266:HW268" si="489">IF(INDEX(HQ266:HT266,HV$7),HU266,NA())</f>
        <v>1.2724530798355995E-3</v>
      </c>
      <c r="HX266" s="60" t="str">
        <f t="shared" si="424"/>
        <v/>
      </c>
    </row>
    <row r="267" spans="78:232" x14ac:dyDescent="0.2">
      <c r="BZ267" s="59">
        <f t="shared" si="351"/>
        <v>257</v>
      </c>
      <c r="CA267" s="32">
        <f>Eu_tabel_g[[#This Row],[Indeks]]+1</f>
        <v>258</v>
      </c>
      <c r="CB267" s="59">
        <f t="shared" si="352"/>
        <v>3.0662770169727134</v>
      </c>
      <c r="CC267" s="59">
        <f t="shared" si="456"/>
        <v>3.6247646909920261E-3</v>
      </c>
      <c r="CD267" s="59" t="e">
        <f t="shared" si="354"/>
        <v>#N/A</v>
      </c>
      <c r="CE267" s="59" t="e">
        <f t="shared" si="355"/>
        <v>#N/A</v>
      </c>
      <c r="CF267" s="59" t="e">
        <f t="shared" si="356"/>
        <v>#N/A</v>
      </c>
      <c r="CG267" s="59" t="b">
        <f t="shared" si="357"/>
        <v>0</v>
      </c>
      <c r="CH267" s="59" t="b">
        <f t="shared" si="457"/>
        <v>1</v>
      </c>
      <c r="CI267" s="59" t="b">
        <f t="shared" si="359"/>
        <v>1</v>
      </c>
      <c r="CJ267" s="59" t="b">
        <f t="shared" si="458"/>
        <v>0</v>
      </c>
      <c r="CK267" s="59">
        <f t="shared" ref="CK267:CK268" si="490">_xlfn.AGGREGATE(9,6,CC267:CF267)</f>
        <v>3.6247646909920261E-3</v>
      </c>
      <c r="CL267" s="59">
        <f t="shared" si="459"/>
        <v>3.6247646909920261E-3</v>
      </c>
      <c r="CM267" s="59" t="e">
        <f t="shared" si="460"/>
        <v>#N/A</v>
      </c>
      <c r="CN267" s="60" t="str">
        <f t="shared" si="363"/>
        <v/>
      </c>
      <c r="CO267" s="32">
        <f>_xlfn.NORM.DIST(_xlfn.NORM.INV(1-Eu_g_konfidensniveau,0,1)-Eu_tabel_g[[#This Row],[x base]],0,1,TRUE)</f>
        <v>1.2317312237274667E-6</v>
      </c>
      <c r="CP267" s="32">
        <f>1-_xlfn.NORM.DIST(_xlfn.NORM.INV(Eu_g_konfidensniveau,0,1)-Eu_tabel_g[[#This Row],[x base]],0,1,TRUE)</f>
        <v>0.92240314468252083</v>
      </c>
      <c r="CQ267" s="32">
        <f>_xlfn.NORM.DIST(_xlfn.NORM.INV((1-Eu_g_konfidensniveau)/2,0,1)-Eu_tabel_g[[#This Row],[x base]],0,1,TRUE)+1-_xlfn.NORM.DIST(_xlfn.NORM.INV(1-(1-Eu_g_konfidensniveau)/2,0,1)-Eu_tabel_g[[#This Row],[x base]],0,1,TRUE)</f>
        <v>0.86570472365340967</v>
      </c>
      <c r="CR267" s="32" t="e" cm="1">
        <f t="array" ref="CR267">IF($CR$3,INDEX(Eu_tabel_g[[#This Row],[Styrke venstre]:[Styrke tosidet]],CR$7),NA())</f>
        <v>#N/A</v>
      </c>
      <c r="CS267" s="52" t="e">
        <f>Eu_tabel_g[[#This Row],[Falsk positiv
Nulhypotese accepteres
Fejltype 1]]</f>
        <v>#N/A</v>
      </c>
      <c r="CT267" s="52" t="e">
        <f>IF(CHOOSE(CR$7,Eu_tabel_g[[#This Row],[x base]]&gt;0,Eu_tabel_g[[#This Row],[x base]]&lt;0,Eu_tabel_g[[#This Row],[x base]]=0),Eu_tabel_g[[#This Row],[Styrke, aktiv]],NA())</f>
        <v>#N/A</v>
      </c>
      <c r="CU267" s="52" t="e">
        <f>IFERROR(IF($CR$3,Eu_tabel_g[[#This Row],[Styrke, aktiv]],NA()),NA())</f>
        <v>#N/A</v>
      </c>
      <c r="CV267" s="52" t="e">
        <f>IF(ISNA(Eu_tabel_g[[#This Row],[Sand negativ
Nulhypotese afvises
Korrekt]]),NA(),IF($CR$3,1,NA()))</f>
        <v>#N/A</v>
      </c>
      <c r="CW267" s="34" t="str" cm="1">
        <f t="array" ref="CW267">_xlfn.SWITCH(BZ267,_xlfn.IFNA(CU$2,-99),CU$5,_xlfn.IFNA(CU$3,-99),CU$6,_xlfn.IFNA(CU$4,-99),CU$7,"")</f>
        <v/>
      </c>
      <c r="DA267" s="7">
        <f t="shared" si="461"/>
        <v>0.8</v>
      </c>
      <c r="DB267">
        <f>IF(ROW(Styrkeberegning_G[[#This Row],[X base venstre]])=ROW(Styrkeberegning_G[[#Headers],[X base venstre]])+1,DB$7/(DA$7/$B$67),DB266/(DA266/$B$67))</f>
        <v>-2.8015817870135784</v>
      </c>
      <c r="DC267">
        <f>Styrkeberegning_G[[#This Row],[X base venstre]]*-1</f>
        <v>2.8015817870135784</v>
      </c>
      <c r="DN267" s="59">
        <f t="shared" si="365"/>
        <v>257</v>
      </c>
      <c r="DO267" s="32">
        <f t="shared" si="462"/>
        <v>258</v>
      </c>
      <c r="DP267" s="59">
        <f t="shared" si="367"/>
        <v>31.150062763822948</v>
      </c>
      <c r="DQ267" s="59" t="e">
        <f t="shared" si="463"/>
        <v>#N/A</v>
      </c>
      <c r="DR267" s="59" t="e">
        <f t="shared" si="369"/>
        <v>#N/A</v>
      </c>
      <c r="DS267" s="59">
        <f t="shared" si="370"/>
        <v>3.8185039123086372E-4</v>
      </c>
      <c r="DT267" s="59" t="e">
        <f t="shared" si="371"/>
        <v>#N/A</v>
      </c>
      <c r="DU267" s="59" t="b">
        <f t="shared" si="372"/>
        <v>0</v>
      </c>
      <c r="DV267" s="59" t="b">
        <f t="shared" si="464"/>
        <v>1</v>
      </c>
      <c r="DW267" s="59" t="b">
        <f t="shared" si="374"/>
        <v>1</v>
      </c>
      <c r="DX267" s="59" t="b">
        <f t="shared" si="465"/>
        <v>0</v>
      </c>
      <c r="DY267" s="59">
        <f t="shared" si="466"/>
        <v>3.8185039123086372E-4</v>
      </c>
      <c r="DZ267" s="59">
        <f t="shared" si="467"/>
        <v>3.8185039123086372E-4</v>
      </c>
      <c r="EA267" s="59" t="e">
        <f t="shared" si="468"/>
        <v>#N/A</v>
      </c>
      <c r="EB267" s="60" t="str">
        <f t="shared" si="379"/>
        <v/>
      </c>
      <c r="EG267" s="59">
        <f t="shared" si="380"/>
        <v>257</v>
      </c>
      <c r="EH267" s="32">
        <f t="shared" si="469"/>
        <v>258</v>
      </c>
      <c r="EI267" s="59">
        <f t="shared" si="382"/>
        <v>3.0662770169727134</v>
      </c>
      <c r="EJ267" s="59">
        <f t="shared" si="470"/>
        <v>3.6247646909920261E-3</v>
      </c>
      <c r="EK267" s="59" t="e">
        <f t="shared" si="384"/>
        <v>#N/A</v>
      </c>
      <c r="EL267" s="59" t="e">
        <f t="shared" si="385"/>
        <v>#N/A</v>
      </c>
      <c r="EM267" s="59" t="e">
        <f t="shared" si="386"/>
        <v>#N/A</v>
      </c>
      <c r="EN267" s="59" t="b">
        <f t="shared" si="387"/>
        <v>0</v>
      </c>
      <c r="EO267" s="59" t="b">
        <f t="shared" si="471"/>
        <v>1</v>
      </c>
      <c r="EP267" s="59" t="b">
        <f t="shared" si="389"/>
        <v>1</v>
      </c>
      <c r="EQ267" s="59" t="b">
        <f t="shared" si="472"/>
        <v>0</v>
      </c>
      <c r="ER267" s="59">
        <f t="shared" si="473"/>
        <v>3.6247646909920261E-3</v>
      </c>
      <c r="ES267" s="59">
        <f t="shared" si="474"/>
        <v>3.6247646909920261E-3</v>
      </c>
      <c r="ET267" s="59" t="e">
        <f t="shared" si="475"/>
        <v>#N/A</v>
      </c>
      <c r="EU267" s="60" t="str">
        <f t="shared" si="394"/>
        <v/>
      </c>
      <c r="EV26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7"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7"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7" s="32" t="e" cm="1">
        <f t="array" ref="EY267">IF($CR$3,INDEX(Eu_tabel_a[[#This Row],[Styrke venstre]:[Styrke tosidet]],EY$7),NA())</f>
        <v>#N/A</v>
      </c>
      <c r="EZ267" s="32" t="e">
        <f>IF(EY$3,IF(CHOOSE(EY$7,Eu_tabel_a[[#This Row],[x base]]&gt;0,Eu_tabel_a[[#This Row],[x base]]&lt;0,Eu_tabel_a[[#This Row],[x base]]=0),1,NA()),NA())</f>
        <v>#N/A</v>
      </c>
      <c r="FA267" s="32" t="e">
        <f>IF(CHOOSE(EY$7,Eu_tabel_a[[#This Row],[x base]]&gt;0,Eu_tabel_a[[#This Row],[x base]]&lt;0,Eu_tabel_a[[#This Row],[x base]]=0),Eu_tabel_a[[#This Row],[Styrke, aktiv]],NA())</f>
        <v>#N/A</v>
      </c>
      <c r="FB267" s="32" t="e">
        <f>IFERROR(IF($EY$3,Eu_tabel_a[[#This Row],[Styrke, aktiv]],NA()),NA())</f>
        <v>#N/A</v>
      </c>
      <c r="FC267" s="32" t="e">
        <f>IF(ISNA(Eu_tabel_a[[#This Row],[Sand negativ
Nulhypotese afvises
Korrekt]]),NA(),IF(EY$3,1,NA()))</f>
        <v>#N/A</v>
      </c>
      <c r="FD267" s="33" t="str" cm="1">
        <f t="array" ref="FD267">IFERROR(_xlfn.SWITCH(Eu_tabel_a[[#This Row],[Indeks]],_xlfn.IFNA(FB$2,-99),FB$5,_xlfn.IFNA(FB$3,-99),FB$6,_xlfn.IFNA(FB$4,-99),FB$7,""),"")</f>
        <v/>
      </c>
      <c r="FE267" s="32">
        <f>Eu_tabel_a[[#This Row],[x base]]*SQRT(Eu_a_h0_x*(1-Eu_a_h0_x)/Eu_a_n_x)+Eu_a_h0_x</f>
        <v>0</v>
      </c>
      <c r="FJ267" s="74" t="e">
        <f t="shared" si="443"/>
        <v>#N/A</v>
      </c>
      <c r="FK267" s="82" t="e">
        <f t="shared" si="426"/>
        <v>#DIV/0!</v>
      </c>
      <c r="FL267" s="7" t="e">
        <f t="shared" si="437"/>
        <v>#DIV/0!</v>
      </c>
      <c r="FM267" t="e">
        <f t="shared" si="427"/>
        <v>#DIV/0!</v>
      </c>
      <c r="FN267" s="8" t="e">
        <f t="shared" si="428"/>
        <v>#DIV/0!</v>
      </c>
      <c r="FO267" s="8" t="e">
        <f t="shared" si="429"/>
        <v>#DIV/0!</v>
      </c>
      <c r="FP267" s="81" t="e">
        <f t="shared" si="430"/>
        <v>#DIV/0!</v>
      </c>
      <c r="FQ267" s="74" t="e">
        <f t="shared" ca="1" si="438"/>
        <v>#N/A</v>
      </c>
      <c r="FR267" s="82" t="e" vm="3">
        <f t="shared" ca="1" si="444"/>
        <v>#VALUE!</v>
      </c>
      <c r="FS267" s="7" t="e" vm="3">
        <f t="shared" ca="1" si="439"/>
        <v>#VALUE!</v>
      </c>
      <c r="FT267" t="e" vm="3">
        <f t="shared" ca="1" si="433"/>
        <v>#VALUE!</v>
      </c>
      <c r="FU267" s="8" t="e" vm="3">
        <f t="shared" ca="1" si="434"/>
        <v>#VALUE!</v>
      </c>
      <c r="FV267" s="8" t="e" vm="3">
        <f t="shared" ca="1" si="435"/>
        <v>#VALUE!</v>
      </c>
      <c r="FW267" s="81" t="e" vm="3">
        <f t="shared" ca="1" si="436"/>
        <v>#VALUE!</v>
      </c>
      <c r="FX267" s="74" t="e">
        <f t="shared" si="440"/>
        <v>#N/A</v>
      </c>
      <c r="FY267" s="82" t="e">
        <f t="shared" si="445"/>
        <v>#N/A</v>
      </c>
      <c r="FZ267" s="7" t="e">
        <f t="shared" si="441"/>
        <v>#N/A</v>
      </c>
      <c r="GA267" t="e">
        <f t="shared" si="446"/>
        <v>#N/A</v>
      </c>
      <c r="GB267" s="8" t="e">
        <f t="shared" si="447"/>
        <v>#N/A</v>
      </c>
      <c r="GC267" s="8" t="e">
        <f t="shared" si="448"/>
        <v>#N/A</v>
      </c>
      <c r="GD267" s="81" t="e">
        <f t="shared" si="449"/>
        <v>#N/A</v>
      </c>
      <c r="GE267" s="74" t="e">
        <f t="shared" si="450"/>
        <v>#N/A</v>
      </c>
      <c r="GF267" s="82" t="e">
        <f t="shared" si="451"/>
        <v>#N/A</v>
      </c>
      <c r="GG267" s="7" t="e">
        <f t="shared" si="442"/>
        <v>#N/A</v>
      </c>
      <c r="GH267" t="e">
        <f t="shared" si="452"/>
        <v>#N/A</v>
      </c>
      <c r="GI267" s="8" t="e">
        <f t="shared" si="453"/>
        <v>#N/A</v>
      </c>
      <c r="GJ267" s="8" t="e">
        <f t="shared" si="454"/>
        <v>#N/A</v>
      </c>
      <c r="GK267" s="81" t="e">
        <f t="shared" si="455"/>
        <v>#N/A</v>
      </c>
      <c r="GL267" s="81"/>
      <c r="GM267" s="81"/>
      <c r="GP267" s="59">
        <f t="shared" si="395"/>
        <v>257</v>
      </c>
      <c r="GQ267" s="32">
        <f t="shared" si="476"/>
        <v>258</v>
      </c>
      <c r="GR267" s="59">
        <f t="shared" si="397"/>
        <v>3.0662770169727134</v>
      </c>
      <c r="GS267" s="59">
        <f t="shared" si="477"/>
        <v>3.6247646909920261E-3</v>
      </c>
      <c r="GT267" s="59" t="e">
        <f t="shared" si="399"/>
        <v>#N/A</v>
      </c>
      <c r="GU267" s="59" t="e">
        <f t="shared" si="400"/>
        <v>#N/A</v>
      </c>
      <c r="GV267" s="59" t="e">
        <f t="shared" si="401"/>
        <v>#N/A</v>
      </c>
      <c r="GW267" s="59" t="b">
        <f t="shared" si="402"/>
        <v>0</v>
      </c>
      <c r="GX267" s="59" t="b">
        <f t="shared" si="478"/>
        <v>1</v>
      </c>
      <c r="GY267" s="59" t="b">
        <f t="shared" si="404"/>
        <v>1</v>
      </c>
      <c r="GZ267" s="59" t="b">
        <f t="shared" si="479"/>
        <v>0</v>
      </c>
      <c r="HA267" s="59">
        <f t="shared" si="480"/>
        <v>3.6247646909920261E-3</v>
      </c>
      <c r="HB267" s="59">
        <f t="shared" si="481"/>
        <v>3.6247646909920261E-3</v>
      </c>
      <c r="HC267" s="59" t="e">
        <f t="shared" si="482"/>
        <v>#N/A</v>
      </c>
      <c r="HD267" s="60" t="str">
        <f t="shared" si="409"/>
        <v/>
      </c>
      <c r="HJ267" s="59">
        <f t="shared" si="410"/>
        <v>257</v>
      </c>
      <c r="HK267" s="32">
        <f t="shared" si="483"/>
        <v>258</v>
      </c>
      <c r="HL267" s="59">
        <f t="shared" si="412"/>
        <v>4.7481943601992764</v>
      </c>
      <c r="HM267" s="59" t="e">
        <f t="shared" si="484"/>
        <v>#N/A</v>
      </c>
      <c r="HN267" s="59">
        <f t="shared" si="414"/>
        <v>1.2130723617778491E-3</v>
      </c>
      <c r="HO267" s="59" t="e">
        <f t="shared" si="415"/>
        <v>#N/A</v>
      </c>
      <c r="HP267" s="59" t="e">
        <f t="shared" si="416"/>
        <v>#N/A</v>
      </c>
      <c r="HQ267" s="59" t="b">
        <f t="shared" si="417"/>
        <v>0</v>
      </c>
      <c r="HR267" s="59" t="b">
        <f t="shared" si="485"/>
        <v>1</v>
      </c>
      <c r="HS267" s="59" t="b">
        <f t="shared" si="419"/>
        <v>1</v>
      </c>
      <c r="HT267" s="59" t="b">
        <f t="shared" si="486"/>
        <v>0</v>
      </c>
      <c r="HU267" s="59">
        <f t="shared" si="487"/>
        <v>1.2130723617778491E-3</v>
      </c>
      <c r="HV267" s="59" t="e">
        <f t="shared" si="488"/>
        <v>#N/A</v>
      </c>
      <c r="HW267" s="59">
        <f t="shared" si="489"/>
        <v>1.2130723617778491E-3</v>
      </c>
      <c r="HX267" s="60" t="str">
        <f t="shared" si="424"/>
        <v/>
      </c>
    </row>
    <row r="268" spans="78:232" x14ac:dyDescent="0.2">
      <c r="BZ268" s="59">
        <f t="shared" si="351"/>
        <v>258</v>
      </c>
      <c r="CA268" s="32">
        <f>Eu_tabel_g[[#This Row],[Indeks]]+1</f>
        <v>259</v>
      </c>
      <c r="CB268" s="59">
        <f t="shared" si="352"/>
        <v>3.0902323061678132</v>
      </c>
      <c r="CC268" s="59">
        <f t="shared" si="456"/>
        <v>3.3670900770639959E-3</v>
      </c>
      <c r="CD268" s="59" t="e">
        <f t="shared" si="354"/>
        <v>#N/A</v>
      </c>
      <c r="CE268" s="59" t="e">
        <f t="shared" si="355"/>
        <v>#N/A</v>
      </c>
      <c r="CF268" s="59" t="e">
        <f t="shared" si="356"/>
        <v>#N/A</v>
      </c>
      <c r="CG268" s="59" t="b">
        <f t="shared" si="357"/>
        <v>0</v>
      </c>
      <c r="CH268" s="59" t="b">
        <f t="shared" si="457"/>
        <v>1</v>
      </c>
      <c r="CI268" s="59" t="b">
        <f t="shared" si="359"/>
        <v>1</v>
      </c>
      <c r="CJ268" s="59" t="b">
        <f t="shared" si="458"/>
        <v>0</v>
      </c>
      <c r="CK268" s="59">
        <f t="shared" si="490"/>
        <v>3.3670900770639959E-3</v>
      </c>
      <c r="CL268" s="59">
        <f t="shared" si="459"/>
        <v>3.3670900770639959E-3</v>
      </c>
      <c r="CM268" s="59" t="e">
        <f t="shared" si="460"/>
        <v>#N/A</v>
      </c>
      <c r="CN268" s="60" t="str">
        <f t="shared" si="363"/>
        <v/>
      </c>
      <c r="CO268" s="32">
        <f>_xlfn.NORM.DIST(_xlfn.NORM.INV(1-Eu_g_konfidensniveau,0,1)-Eu_tabel_g[[#This Row],[x base]],0,1,TRUE)</f>
        <v>1.0948115226473381E-6</v>
      </c>
      <c r="CP268" s="32">
        <f>1-_xlfn.NORM.DIST(_xlfn.NORM.INV(Eu_g_konfidensniveau,0,1)-Eu_tabel_g[[#This Row],[x base]],0,1,TRUE)</f>
        <v>0.92582422561196043</v>
      </c>
      <c r="CQ268" s="32">
        <f>_xlfn.NORM.DIST(_xlfn.NORM.INV((1-Eu_g_konfidensniveau)/2,0,1)-Eu_tabel_g[[#This Row],[x base]],0,1,TRUE)+1-_xlfn.NORM.DIST(_xlfn.NORM.INV(1-(1-Eu_g_konfidensniveau)/2,0,1)-Eu_tabel_g[[#This Row],[x base]],0,1,TRUE)</f>
        <v>0.870818631358238</v>
      </c>
      <c r="CR268" s="32" t="e" cm="1">
        <f t="array" ref="CR268">IF($CR$3,INDEX(Eu_tabel_g[[#This Row],[Styrke venstre]:[Styrke tosidet]],CR$7),NA())</f>
        <v>#N/A</v>
      </c>
      <c r="CS268" s="52" t="e">
        <f>Eu_tabel_g[[#This Row],[Falsk positiv
Nulhypotese accepteres
Fejltype 1]]</f>
        <v>#N/A</v>
      </c>
      <c r="CT268" s="52" t="e">
        <f>IF(CHOOSE(CR$7,Eu_tabel_g[[#This Row],[x base]]&gt;0,Eu_tabel_g[[#This Row],[x base]]&lt;0,Eu_tabel_g[[#This Row],[x base]]=0),Eu_tabel_g[[#This Row],[Styrke, aktiv]],NA())</f>
        <v>#N/A</v>
      </c>
      <c r="CU268" s="52" t="e">
        <f>IFERROR(IF($CR$3,Eu_tabel_g[[#This Row],[Styrke, aktiv]],NA()),NA())</f>
        <v>#N/A</v>
      </c>
      <c r="CV268" s="52" t="e">
        <f>IF(ISNA(Eu_tabel_g[[#This Row],[Sand negativ
Nulhypotese afvises
Korrekt]]),NA(),IF($CR$3,1,NA()))</f>
        <v>#N/A</v>
      </c>
      <c r="CW268" s="34" t="str" cm="1">
        <f t="array" ref="CW268">_xlfn.SWITCH(BZ268,_xlfn.IFNA(CU$2,-99),CU$5,_xlfn.IFNA(CU$3,-99),CU$6,_xlfn.IFNA(CU$4,-99),CU$7,"")</f>
        <v/>
      </c>
      <c r="DA268" s="7">
        <f t="shared" si="461"/>
        <v>0.8</v>
      </c>
      <c r="DB268">
        <f>IF(ROW(Styrkeberegning_G[[#This Row],[X base venstre]])=ROW(Styrkeberegning_G[[#Headers],[X base venstre]])+1,DB$7/(DA$7/$B$67),DB267/(DA267/$B$67))</f>
        <v>-2.8015817870135784</v>
      </c>
      <c r="DC268">
        <f>Styrkeberegning_G[[#This Row],[X base venstre]]*-1</f>
        <v>2.8015817870135784</v>
      </c>
      <c r="DN268" s="59">
        <f t="shared" si="365"/>
        <v>258</v>
      </c>
      <c r="DO268" s="32">
        <f t="shared" si="462"/>
        <v>259</v>
      </c>
      <c r="DP268" s="59">
        <f t="shared" si="367"/>
        <v>31.264133620239949</v>
      </c>
      <c r="DQ268" s="59" t="e">
        <f t="shared" si="463"/>
        <v>#N/A</v>
      </c>
      <c r="DR268" s="59" t="e">
        <f t="shared" si="369"/>
        <v>#N/A</v>
      </c>
      <c r="DS268" s="59">
        <f t="shared" si="370"/>
        <v>3.6666266674250183E-4</v>
      </c>
      <c r="DT268" s="59" t="e">
        <f t="shared" si="371"/>
        <v>#N/A</v>
      </c>
      <c r="DU268" s="59" t="b">
        <f t="shared" si="372"/>
        <v>0</v>
      </c>
      <c r="DV268" s="59" t="b">
        <f t="shared" si="464"/>
        <v>1</v>
      </c>
      <c r="DW268" s="59" t="b">
        <f t="shared" si="374"/>
        <v>1</v>
      </c>
      <c r="DX268" s="59" t="b">
        <f t="shared" si="465"/>
        <v>0</v>
      </c>
      <c r="DY268" s="59">
        <f t="shared" si="466"/>
        <v>3.6666266674250183E-4</v>
      </c>
      <c r="DZ268" s="59">
        <f t="shared" si="467"/>
        <v>3.6666266674250183E-4</v>
      </c>
      <c r="EA268" s="59" t="e">
        <f t="shared" si="468"/>
        <v>#N/A</v>
      </c>
      <c r="EB268" s="60" t="str">
        <f t="shared" si="379"/>
        <v/>
      </c>
      <c r="EG268" s="59">
        <f t="shared" si="380"/>
        <v>258</v>
      </c>
      <c r="EH268" s="32">
        <f t="shared" si="469"/>
        <v>259</v>
      </c>
      <c r="EI268" s="59">
        <f t="shared" si="382"/>
        <v>3.0902323061678132</v>
      </c>
      <c r="EJ268" s="59">
        <f t="shared" si="470"/>
        <v>3.3670900770639959E-3</v>
      </c>
      <c r="EK268" s="59" t="e">
        <f t="shared" si="384"/>
        <v>#N/A</v>
      </c>
      <c r="EL268" s="59" t="e">
        <f t="shared" si="385"/>
        <v>#N/A</v>
      </c>
      <c r="EM268" s="59" t="e">
        <f t="shared" si="386"/>
        <v>#N/A</v>
      </c>
      <c r="EN268" s="59" t="b">
        <f t="shared" si="387"/>
        <v>0</v>
      </c>
      <c r="EO268" s="59" t="b">
        <f t="shared" si="471"/>
        <v>1</v>
      </c>
      <c r="EP268" s="59" t="b">
        <f t="shared" si="389"/>
        <v>1</v>
      </c>
      <c r="EQ268" s="59" t="b">
        <f t="shared" si="472"/>
        <v>0</v>
      </c>
      <c r="ER268" s="59">
        <f t="shared" si="473"/>
        <v>3.3670900770639959E-3</v>
      </c>
      <c r="ES268" s="59">
        <f t="shared" si="474"/>
        <v>3.3670900770639959E-3</v>
      </c>
      <c r="ET268" s="59" t="e">
        <f t="shared" si="475"/>
        <v>#N/A</v>
      </c>
      <c r="EU268" s="60" t="str">
        <f t="shared" si="394"/>
        <v/>
      </c>
      <c r="EV26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8" s="32"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8" s="32">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8" s="32" t="e" cm="1">
        <f t="array" ref="EY268">IF($CR$3,INDEX(Eu_tabel_a[[#This Row],[Styrke venstre]:[Styrke tosidet]],EY$7),NA())</f>
        <v>#N/A</v>
      </c>
      <c r="EZ268" s="32" t="e">
        <f>IF(EY$3,IF(CHOOSE(EY$7,Eu_tabel_a[[#This Row],[x base]]&gt;0,Eu_tabel_a[[#This Row],[x base]]&lt;0,Eu_tabel_a[[#This Row],[x base]]=0),1,NA()),NA())</f>
        <v>#N/A</v>
      </c>
      <c r="FA268" s="32" t="e">
        <f>IF(CHOOSE(EY$7,Eu_tabel_a[[#This Row],[x base]]&gt;0,Eu_tabel_a[[#This Row],[x base]]&lt;0,Eu_tabel_a[[#This Row],[x base]]=0),Eu_tabel_a[[#This Row],[Styrke, aktiv]],NA())</f>
        <v>#N/A</v>
      </c>
      <c r="FB268" s="32" t="e">
        <f>IFERROR(IF($EY$3,Eu_tabel_a[[#This Row],[Styrke, aktiv]],NA()),NA())</f>
        <v>#N/A</v>
      </c>
      <c r="FC268" s="32" t="e">
        <f>IF(ISNA(Eu_tabel_a[[#This Row],[Sand negativ
Nulhypotese afvises
Korrekt]]),NA(),IF(EY$3,1,NA()))</f>
        <v>#N/A</v>
      </c>
      <c r="FD268" s="33" t="str" cm="1">
        <f t="array" ref="FD268">IFERROR(_xlfn.SWITCH(Eu_tabel_a[[#This Row],[Indeks]],_xlfn.IFNA(FB$2,-99),FB$5,_xlfn.IFNA(FB$3,-99),FB$6,_xlfn.IFNA(FB$4,-99),FB$7,""),"")</f>
        <v/>
      </c>
      <c r="FE268" s="32">
        <f>Eu_tabel_a[[#This Row],[x base]]*SQRT(Eu_a_h0_x*(1-Eu_a_h0_x)/Eu_a_n_x)+Eu_a_h0_x</f>
        <v>0</v>
      </c>
      <c r="FJ268" s="74" t="e">
        <f t="shared" si="443"/>
        <v>#N/A</v>
      </c>
      <c r="FK268" s="82" t="e">
        <f t="shared" si="426"/>
        <v>#DIV/0!</v>
      </c>
      <c r="FL268" s="7" t="e">
        <f t="shared" si="437"/>
        <v>#DIV/0!</v>
      </c>
      <c r="FM268" t="e">
        <f t="shared" si="427"/>
        <v>#DIV/0!</v>
      </c>
      <c r="FN268" s="8" t="e">
        <f t="shared" si="428"/>
        <v>#DIV/0!</v>
      </c>
      <c r="FO268" s="8" t="e">
        <f t="shared" si="429"/>
        <v>#DIV/0!</v>
      </c>
      <c r="FP268" s="81" t="e">
        <f t="shared" si="430"/>
        <v>#DIV/0!</v>
      </c>
      <c r="FQ268" s="74" t="e">
        <f t="shared" ca="1" si="438"/>
        <v>#N/A</v>
      </c>
      <c r="FR268" s="82" t="e" vm="3">
        <f t="shared" ca="1" si="444"/>
        <v>#VALUE!</v>
      </c>
      <c r="FS268" s="7" t="e" vm="3">
        <f t="shared" ca="1" si="439"/>
        <v>#VALUE!</v>
      </c>
      <c r="FT268" t="e" vm="3">
        <f t="shared" ca="1" si="433"/>
        <v>#VALUE!</v>
      </c>
      <c r="FU268" s="8" t="e" vm="3">
        <f t="shared" ca="1" si="434"/>
        <v>#VALUE!</v>
      </c>
      <c r="FV268" s="8" t="e" vm="3">
        <f t="shared" ca="1" si="435"/>
        <v>#VALUE!</v>
      </c>
      <c r="FW268" s="81" t="e" vm="3">
        <f t="shared" ca="1" si="436"/>
        <v>#VALUE!</v>
      </c>
      <c r="FX268" s="74" t="e">
        <f t="shared" si="440"/>
        <v>#N/A</v>
      </c>
      <c r="FY268" s="82" t="e">
        <f t="shared" si="445"/>
        <v>#N/A</v>
      </c>
      <c r="FZ268" s="7" t="e">
        <f t="shared" si="441"/>
        <v>#N/A</v>
      </c>
      <c r="GA268" t="e">
        <f t="shared" si="446"/>
        <v>#N/A</v>
      </c>
      <c r="GB268" s="8" t="e">
        <f t="shared" si="447"/>
        <v>#N/A</v>
      </c>
      <c r="GC268" s="8" t="e">
        <f t="shared" si="448"/>
        <v>#N/A</v>
      </c>
      <c r="GD268" s="81" t="e">
        <f t="shared" si="449"/>
        <v>#N/A</v>
      </c>
      <c r="GE268" s="74" t="e">
        <f t="shared" si="450"/>
        <v>#N/A</v>
      </c>
      <c r="GF268" s="82" t="e">
        <f t="shared" si="451"/>
        <v>#N/A</v>
      </c>
      <c r="GG268" s="7" t="e">
        <f t="shared" si="442"/>
        <v>#N/A</v>
      </c>
      <c r="GH268" t="e">
        <f t="shared" si="452"/>
        <v>#N/A</v>
      </c>
      <c r="GI268" s="8" t="e">
        <f t="shared" si="453"/>
        <v>#N/A</v>
      </c>
      <c r="GJ268" s="8" t="e">
        <f t="shared" si="454"/>
        <v>#N/A</v>
      </c>
      <c r="GK268" s="81" t="e">
        <f t="shared" si="455"/>
        <v>#N/A</v>
      </c>
      <c r="GL268" s="81"/>
      <c r="GM268" s="81"/>
      <c r="GP268" s="59">
        <f t="shared" si="395"/>
        <v>258</v>
      </c>
      <c r="GQ268" s="32">
        <f t="shared" si="476"/>
        <v>259</v>
      </c>
      <c r="GR268" s="59">
        <f t="shared" si="397"/>
        <v>3.0902323061678132</v>
      </c>
      <c r="GS268" s="59">
        <f t="shared" si="477"/>
        <v>3.3670900770639959E-3</v>
      </c>
      <c r="GT268" s="59" t="e">
        <f t="shared" si="399"/>
        <v>#N/A</v>
      </c>
      <c r="GU268" s="59" t="e">
        <f t="shared" si="400"/>
        <v>#N/A</v>
      </c>
      <c r="GV268" s="59" t="e">
        <f t="shared" si="401"/>
        <v>#N/A</v>
      </c>
      <c r="GW268" s="59" t="b">
        <f t="shared" si="402"/>
        <v>0</v>
      </c>
      <c r="GX268" s="59" t="b">
        <f t="shared" si="478"/>
        <v>1</v>
      </c>
      <c r="GY268" s="59" t="b">
        <f t="shared" si="404"/>
        <v>1</v>
      </c>
      <c r="GZ268" s="59" t="b">
        <f t="shared" si="479"/>
        <v>0</v>
      </c>
      <c r="HA268" s="59">
        <f t="shared" si="480"/>
        <v>3.3670900770639959E-3</v>
      </c>
      <c r="HB268" s="59">
        <f t="shared" si="481"/>
        <v>3.3670900770639959E-3</v>
      </c>
      <c r="HC268" s="59" t="e">
        <f t="shared" si="482"/>
        <v>#N/A</v>
      </c>
      <c r="HD268" s="60" t="str">
        <f t="shared" si="409"/>
        <v/>
      </c>
      <c r="HJ268" s="59">
        <f t="shared" si="410"/>
        <v>258</v>
      </c>
      <c r="HK268" s="32">
        <f t="shared" si="483"/>
        <v>259</v>
      </c>
      <c r="HL268" s="59">
        <f t="shared" si="412"/>
        <v>4.7852896286383331</v>
      </c>
      <c r="HM268" s="59" t="e">
        <f t="shared" si="484"/>
        <v>#N/A</v>
      </c>
      <c r="HN268" s="59">
        <f t="shared" si="414"/>
        <v>1.1566894571072798E-3</v>
      </c>
      <c r="HO268" s="59" t="e">
        <f t="shared" si="415"/>
        <v>#N/A</v>
      </c>
      <c r="HP268" s="59" t="e">
        <f t="shared" si="416"/>
        <v>#N/A</v>
      </c>
      <c r="HQ268" s="59" t="b">
        <f t="shared" si="417"/>
        <v>0</v>
      </c>
      <c r="HR268" s="59" t="b">
        <f t="shared" si="485"/>
        <v>1</v>
      </c>
      <c r="HS268" s="59" t="b">
        <f t="shared" si="419"/>
        <v>1</v>
      </c>
      <c r="HT268" s="59" t="b">
        <f t="shared" si="486"/>
        <v>0</v>
      </c>
      <c r="HU268" s="59">
        <f t="shared" si="487"/>
        <v>1.1566894571072798E-3</v>
      </c>
      <c r="HV268" s="59" t="e">
        <f t="shared" si="488"/>
        <v>#N/A</v>
      </c>
      <c r="HW268" s="59">
        <f t="shared" si="489"/>
        <v>1.1566894571072798E-3</v>
      </c>
      <c r="HX268" s="60" t="str">
        <f t="shared" si="424"/>
        <v/>
      </c>
    </row>
  </sheetData>
  <phoneticPr fontId="15" type="noConversion"/>
  <conditionalFormatting sqref="C35:C38">
    <cfRule type="cellIs" dxfId="185" priority="36" operator="equal">
      <formula>"Ikke opfyldt"</formula>
    </cfRule>
  </conditionalFormatting>
  <conditionalFormatting sqref="J35:J38">
    <cfRule type="cellIs" dxfId="184" priority="34" operator="equal">
      <formula>"Ikke opfyldt"</formula>
    </cfRule>
  </conditionalFormatting>
  <conditionalFormatting sqref="Q35:Q38">
    <cfRule type="cellIs" dxfId="183" priority="32" operator="equal">
      <formula>"Ikke opfyldt"</formula>
    </cfRule>
  </conditionalFormatting>
  <conditionalFormatting sqref="X35:X38">
    <cfRule type="cellIs" dxfId="182" priority="28" operator="equal">
      <formula>"Ikke opfyldt"</formula>
    </cfRule>
  </conditionalFormatting>
  <conditionalFormatting sqref="AE35:AE38">
    <cfRule type="cellIs" dxfId="181" priority="22" operator="equal">
      <formula>"Ikke opfyldt"</formula>
    </cfRule>
  </conditionalFormatting>
  <conditionalFormatting sqref="C6:C11">
    <cfRule type="expression" dxfId="180" priority="191">
      <formula>NOT($BF$4)</formula>
    </cfRule>
  </conditionalFormatting>
  <conditionalFormatting sqref="J6:J9 X8">
    <cfRule type="expression" dxfId="179" priority="192">
      <formula>NOT($BG$4)</formula>
    </cfRule>
  </conditionalFormatting>
  <conditionalFormatting sqref="Q6:Q9">
    <cfRule type="expression" dxfId="178" priority="194">
      <formula>NOT($BH$4)</formula>
    </cfRule>
  </conditionalFormatting>
  <conditionalFormatting sqref="B16">
    <cfRule type="expression" dxfId="177" priority="195">
      <formula>NOT($BF$2)</formula>
    </cfRule>
  </conditionalFormatting>
  <conditionalFormatting sqref="P16">
    <cfRule type="expression" dxfId="176" priority="196">
      <formula>NOT($BH$2)</formula>
    </cfRule>
  </conditionalFormatting>
  <conditionalFormatting sqref="X6:X7 X9">
    <cfRule type="expression" dxfId="175" priority="197">
      <formula>NOT($BI$4)</formula>
    </cfRule>
  </conditionalFormatting>
  <conditionalFormatting sqref="W16">
    <cfRule type="expression" dxfId="174" priority="199">
      <formula>NOT($BI$2)</formula>
    </cfRule>
  </conditionalFormatting>
  <conditionalFormatting sqref="B8">
    <cfRule type="expression" dxfId="173" priority="200">
      <formula>$BF$2</formula>
    </cfRule>
  </conditionalFormatting>
  <conditionalFormatting sqref="B9:C9">
    <cfRule type="expression" dxfId="172" priority="18">
      <formula>$BF$5</formula>
    </cfRule>
  </conditionalFormatting>
  <conditionalFormatting sqref="B10:C10">
    <cfRule type="expression" dxfId="171" priority="17">
      <formula>NOT($BF$5)</formula>
    </cfRule>
  </conditionalFormatting>
  <conditionalFormatting sqref="I8">
    <cfRule type="expression" dxfId="170" priority="16">
      <formula>NOT($BG$3)</formula>
    </cfRule>
  </conditionalFormatting>
  <conditionalFormatting sqref="P8">
    <cfRule type="expression" dxfId="169" priority="15">
      <formula>$BH$2</formula>
    </cfRule>
  </conditionalFormatting>
  <conditionalFormatting sqref="W8">
    <cfRule type="expression" dxfId="168" priority="14">
      <formula>NOT($BI$3)</formula>
    </cfRule>
  </conditionalFormatting>
  <conditionalFormatting sqref="A35:C38">
    <cfRule type="expression" dxfId="167" priority="10">
      <formula>ISBLANK($A35)</formula>
    </cfRule>
  </conditionalFormatting>
  <conditionalFormatting sqref="E35:F46">
    <cfRule type="expression" dxfId="166" priority="9">
      <formula>ISBLANK($E35)</formula>
    </cfRule>
  </conditionalFormatting>
  <conditionalFormatting sqref="L35:M46">
    <cfRule type="expression" dxfId="165" priority="8">
      <formula>ISBLANK($L35)</formula>
    </cfRule>
  </conditionalFormatting>
  <conditionalFormatting sqref="H35:J38">
    <cfRule type="expression" dxfId="164" priority="7">
      <formula>ISBLANK($H35)</formula>
    </cfRule>
  </conditionalFormatting>
  <conditionalFormatting sqref="O35:Q38">
    <cfRule type="expression" dxfId="163" priority="6">
      <formula>ISBLANK($O35)</formula>
    </cfRule>
  </conditionalFormatting>
  <conditionalFormatting sqref="V35:X38">
    <cfRule type="expression" dxfId="162" priority="5">
      <formula>ISBLANK($V35)</formula>
    </cfRule>
  </conditionalFormatting>
  <conditionalFormatting sqref="AC35:AE38">
    <cfRule type="expression" dxfId="161" priority="4">
      <formula>ISBLANK($AC35)</formula>
    </cfRule>
  </conditionalFormatting>
  <conditionalFormatting sqref="S35:T46">
    <cfRule type="expression" dxfId="160" priority="3">
      <formula>ISBLANK($S35)</formula>
    </cfRule>
  </conditionalFormatting>
  <conditionalFormatting sqref="Z35:AA46">
    <cfRule type="expression" dxfId="159" priority="2">
      <formula>ISBLANK($Z35)</formula>
    </cfRule>
  </conditionalFormatting>
  <conditionalFormatting sqref="AG35:AH46">
    <cfRule type="expression" dxfId="158" priority="1">
      <formula>ISBLANK($AG35)</formula>
    </cfRule>
  </conditionalFormatting>
  <dataValidations xWindow="1058" yWindow="952" count="39">
    <dataValidation type="custom" allowBlank="1" showInputMessage="1" showErrorMessage="1" errorTitle="Vælg et tal" error="Indtast et tal." promptTitle="Vælg et gennemsnit" prompt="Indtast et tal." sqref="B7" xr:uid="{2EAC87B4-B724-4413-99C5-B998ADF8669A}">
      <formula1>ISNUMBER(B7)</formula1>
    </dataValidation>
    <dataValidation type="decimal" allowBlank="1" showInputMessage="1" showErrorMessage="1" errorTitle="Vælg et konfidensniveau" error="Indtast et procenttal mellem 50% og 100%" promptTitle="Vælg et konfidensniveau" prompt="Indtast et procenttal mellem 50% og 100%" sqref="B15 I16 P15 W15 AD16" xr:uid="{C3BF607E-C741-48C2-87BD-17BAD7458F3E}">
      <formula1>0.5</formula1>
      <formula2>1</formula2>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DataTitel_liste</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styrkeniveau" error="Indtast et procenttal mellem 0% og 100%" promptTitle="Vælg et styrkeniveau" prompt="Indtast et procenttal mellem 0% og 100%" sqref="B67 P67" xr:uid="{08C10ED0-5D83-4A5C-9459-F73D4279E601}">
      <formula1>0</formula1>
      <formula2>1</formula2>
    </dataValidation>
    <dataValidation type="custom" allowBlank="1" showInputMessage="1" showErrorMessage="1" errorTitle="Vælg en ønsket fejlmargin" error="Indtast et tal." promptTitle="Vælg en ønsket fejlmargin" prompt="Indtast et tal." sqref="B68" xr:uid="{8DA01C50-4B8F-4631-886B-9E1A66C458BC}">
      <formula1>ISNUMBER(B68)</formula1>
    </dataValidation>
    <dataValidation type="custom" allowBlank="1" showInputMessage="1" showErrorMessage="1" errorTitle="Vælg en stikprøvestørrelse" error="Indtast et tal, der er større end 0." promptTitle="Vælg en stikprøvestørrelse" prompt="Indtast et tal, der er større end 0." sqref="B69" xr:uid="{37E7D6C6-82B8-4A25-B8D6-4C65E14D0D57}">
      <formula1>AND(B69&gt;0,ISNUMBER(B69))</formula1>
    </dataValidation>
    <dataValidation type="custom" allowBlank="1" showInputMessage="1" showErrorMessage="1" errorTitle="Vælg en ønsket fejlmargin" error="Indtast et procenttal." promptTitle="Vælg en ønsket fejlmargin" prompt="Indtast et procenttal." sqref="P68:P69" xr:uid="{E973F9AD-1B94-46BE-8253-4204A5A98D46}">
      <formula1>ISNUMBER(P68)</formula1>
    </dataValidation>
  </dataValidations>
  <pageMargins left="0.7" right="0.7" top="0.75" bottom="0.75" header="0.3" footer="0.3"/>
  <pageSetup paperSize="9"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C1" zoomScaleNormal="100" workbookViewId="0">
      <selection activeCell="S2" sqref="S2"/>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42</v>
      </c>
      <c r="B1" t="s">
        <v>49</v>
      </c>
      <c r="C1" t="s">
        <v>108</v>
      </c>
      <c r="D1" t="s">
        <v>53</v>
      </c>
      <c r="E1" t="s">
        <v>147</v>
      </c>
      <c r="F1" t="s">
        <v>148</v>
      </c>
      <c r="G1" t="s">
        <v>29</v>
      </c>
      <c r="H1" t="s">
        <v>163</v>
      </c>
      <c r="I1" t="s">
        <v>185</v>
      </c>
      <c r="J1" t="s">
        <v>186</v>
      </c>
      <c r="K1" t="s">
        <v>187</v>
      </c>
      <c r="L1" t="s">
        <v>164</v>
      </c>
      <c r="M1" t="s">
        <v>161</v>
      </c>
      <c r="N1" t="s">
        <v>173</v>
      </c>
      <c r="O1" t="s">
        <v>188</v>
      </c>
      <c r="P1" t="s">
        <v>30</v>
      </c>
      <c r="Q1" t="s">
        <v>192</v>
      </c>
      <c r="R1" t="s">
        <v>191</v>
      </c>
      <c r="S1" t="s">
        <v>184</v>
      </c>
      <c r="T1" t="s">
        <v>19</v>
      </c>
      <c r="U1" t="s">
        <v>20</v>
      </c>
      <c r="V1" t="s">
        <v>166</v>
      </c>
      <c r="W1" t="s">
        <v>175</v>
      </c>
      <c r="X1" t="s">
        <v>167</v>
      </c>
      <c r="Y1" t="s">
        <v>168</v>
      </c>
      <c r="Z1" t="s">
        <v>170</v>
      </c>
      <c r="AA1" t="s">
        <v>171</v>
      </c>
      <c r="AB1" t="s">
        <v>169</v>
      </c>
      <c r="AC1" t="s">
        <v>172</v>
      </c>
      <c r="AD1" t="s">
        <v>178</v>
      </c>
      <c r="AE1" t="s">
        <v>179</v>
      </c>
      <c r="AF1" t="s">
        <v>180</v>
      </c>
      <c r="AG1" t="s">
        <v>165</v>
      </c>
      <c r="AH1" t="s">
        <v>162</v>
      </c>
      <c r="AI1" t="s">
        <v>174</v>
      </c>
      <c r="AJ1" t="s">
        <v>160</v>
      </c>
      <c r="AK1" t="s">
        <v>50</v>
      </c>
      <c r="AL1" t="s">
        <v>143</v>
      </c>
      <c r="AM1" t="s">
        <v>10</v>
      </c>
      <c r="AN1" t="s">
        <v>57</v>
      </c>
      <c r="AO1" t="s">
        <v>55</v>
      </c>
      <c r="AP1" t="s">
        <v>58</v>
      </c>
      <c r="AQ1" t="s">
        <v>75</v>
      </c>
      <c r="AR1" t="s">
        <v>59</v>
      </c>
      <c r="AS1" t="s">
        <v>76</v>
      </c>
      <c r="AT1" t="s">
        <v>63</v>
      </c>
      <c r="AU1" t="s">
        <v>79</v>
      </c>
      <c r="AV1" t="s">
        <v>68</v>
      </c>
      <c r="AW1" t="s">
        <v>90</v>
      </c>
      <c r="AX1" t="s">
        <v>203</v>
      </c>
    </row>
    <row r="2" spans="1:50" x14ac:dyDescent="0.2">
      <c r="A2" t="s">
        <v>0</v>
      </c>
      <c r="B2" t="s">
        <v>21</v>
      </c>
      <c r="C2" t="s">
        <v>32</v>
      </c>
      <c r="D2" t="s">
        <v>32</v>
      </c>
      <c r="E2" s="17">
        <v>0</v>
      </c>
      <c r="F2">
        <v>1</v>
      </c>
      <c r="G2">
        <f>IF(ISNUMBER(Eu_g_g_x),_xlfn.NORM.INV((1-Eu_g_konfidensniveau)/2,0,1),NA())</f>
        <v>-1.9599639845400536</v>
      </c>
      <c r="H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Row],[Hypotese]],HypoteseRetning_liste,0)=2,MATCH(E_g_valg[[#This Row],[Hypotese]],HypoteseRetning_liste,0)=3)</f>
        <v>0</v>
      </c>
      <c r="Q2"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Row],[Hypotese]],HypoteseRetning_liste,0)=1,MATCH(E_g_valg[[#This Row],[Hypotese]],HypoteseRetning_liste,0)=4),ROUND(E_g_valg[[#This Row],[Midt %]],5)*100&amp;"% mellem "&amp;E_g_valg[[#This Row],[Venstre label]]&amp;" og "&amp;E_g_valg[[#This Row],[Højre label]]," ")</f>
        <v>95% mellem -0.583 og 4.291</v>
      </c>
      <c r="AF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21</v>
      </c>
      <c r="AK2">
        <f>_xlfn.AGGREGATE(3,5,E_g_valg[[#This Row],[Parameter]])</f>
        <v>1</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9</v>
      </c>
      <c r="AQ2" t="b">
        <f t="shared" ref="AQ2:AQ13" si="1">NOT(ISNA(Eu_g_g_x))</f>
        <v>1</v>
      </c>
      <c r="AT2" t="s">
        <v>69</v>
      </c>
      <c r="AU2" t="b">
        <f>Eu_g_n_x&gt;=30</f>
        <v>0</v>
      </c>
      <c r="AV2" t="s">
        <v>61</v>
      </c>
      <c r="AW2" t="s">
        <v>91</v>
      </c>
      <c r="AX2">
        <f>ROUNDUP((_xlfn.NORM.INV((1-Eu_g_konfidensniveau)/2,0,1)*Eu_g_s_x/Eu_g_ønsket_fejlmargin)^2,0)</f>
        <v>72</v>
      </c>
    </row>
    <row r="3" spans="1:50" x14ac:dyDescent="0.2">
      <c r="A3" t="s">
        <v>0</v>
      </c>
      <c r="B3" t="s">
        <v>21</v>
      </c>
      <c r="C3" t="s">
        <v>34</v>
      </c>
      <c r="D3" t="s">
        <v>34</v>
      </c>
      <c r="E3" s="17">
        <f>Eu_g_n_x-1</f>
        <v>11</v>
      </c>
      <c r="G3">
        <f>IF(ISNUMBER(Eu_g_g_x),_xlfn.T.INV((1-Eu_g_konfidensniveau)/2,Eu_g_n_x-1),NA())</f>
        <v>-2.2009851600916384</v>
      </c>
      <c r="H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Row],[Hypotese]],HypoteseRetning_liste,0)=2,MATCH(E_g_valg[[#This Row],[Hypotese]],HypoteseRetning_liste,0)=3)</f>
        <v>0</v>
      </c>
      <c r="Q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Row],[Hypotese]],HypoteseRetning_liste,0)=1,MATCH(E_g_valg[[#This Row],[Hypotese]],HypoteseRetning_liste,0)=4),ROUND(E_g_valg[[#This Row],[Midt %]],5)*100&amp;"% mellem "&amp;E_g_valg[[#This Row],[Venstre label]]&amp;" og "&amp;E_g_valg[[#This Row],[Højre label]]," ")</f>
        <v>95% mellem -0.882 og 4.59</v>
      </c>
      <c r="AF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21</v>
      </c>
      <c r="AK3">
        <f>_xlfn.AGGREGATE(3,5,E_g_valg[[#This Row],[Parameter]])</f>
        <v>1</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9</v>
      </c>
      <c r="AQ3" t="b">
        <f t="shared" si="1"/>
        <v>1</v>
      </c>
      <c r="AT3" t="s">
        <v>70</v>
      </c>
      <c r="AU3" t="b">
        <f>Eu_g_n_x&lt;30</f>
        <v>1</v>
      </c>
      <c r="AV3" t="s">
        <v>61</v>
      </c>
      <c r="AW3" t="s">
        <v>91</v>
      </c>
      <c r="AX3">
        <f>ROUNDUP((_xlfn.T.INV((1-Eu_g_konfidensniveau)/2,Eu_g_n_x-1)*Eu_g_s_x/Eu_g_ønsket_fejlmargin)^2,0)</f>
        <v>90</v>
      </c>
    </row>
    <row r="4" spans="1:50" x14ac:dyDescent="0.2">
      <c r="A4" t="s">
        <v>0</v>
      </c>
      <c r="B4" t="s">
        <v>21</v>
      </c>
      <c r="C4" t="s">
        <v>35</v>
      </c>
      <c r="D4" t="s">
        <v>32</v>
      </c>
      <c r="E4" s="17">
        <v>0</v>
      </c>
      <c r="F4">
        <v>1</v>
      </c>
      <c r="G4">
        <f>IF(ISNUMBER(Eu_g_g_x),_xlfn.NORM.INV((1-Eu_g_konfidensniveau)/2,0,1),NA())</f>
        <v>-1.9599639845400536</v>
      </c>
      <c r="H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Row],[Hypotese]],HypoteseRetning_liste,0)=2,MATCH(E_g_valg[[#This Row],[Hypotese]],HypoteseRetning_liste,0)=3)</f>
        <v>0</v>
      </c>
      <c r="Q4"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Row],[Hypotese]],HypoteseRetning_liste,0)=1,MATCH(E_g_valg[[#This Row],[Hypotese]],HypoteseRetning_liste,0)=4),ROUND(E_g_valg[[#This Row],[Midt %]],5)*100&amp;"% mellem "&amp;E_g_valg[[#This Row],[Venstre label]]&amp;" og "&amp;E_g_valg[[#This Row],[Højre label]]," ")</f>
        <v>95% mellem 1.854 og 1.854</v>
      </c>
      <c r="AF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21</v>
      </c>
      <c r="AK4">
        <f>_xlfn.AGGREGATE(3,5,E_g_valg[[#This Row],[Parameter]])</f>
        <v>1</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9</v>
      </c>
      <c r="AQ4" t="b">
        <f t="shared" si="1"/>
        <v>1</v>
      </c>
      <c r="AT4" t="s">
        <v>80</v>
      </c>
      <c r="AU4" t="b">
        <f>NOT(ISNA(Eu_g_s_population_x))</f>
        <v>1</v>
      </c>
      <c r="AV4" t="s">
        <v>60</v>
      </c>
      <c r="AW4" t="s">
        <v>91</v>
      </c>
      <c r="AX4">
        <f>ROUNDUP((_xlfn.NORM.INV((1-Eu_g_konfidensniveau)/2,0,1)*Eu_g_s_population_x/Eu_g_ønsket_fejlmargin)^2,0)</f>
        <v>0</v>
      </c>
    </row>
    <row r="5" spans="1:50" x14ac:dyDescent="0.2">
      <c r="A5" t="s">
        <v>0</v>
      </c>
      <c r="B5" t="s">
        <v>36</v>
      </c>
      <c r="C5" t="s">
        <v>32</v>
      </c>
      <c r="D5" t="s">
        <v>32</v>
      </c>
      <c r="E5" s="17">
        <v>0</v>
      </c>
      <c r="F5">
        <v>1</v>
      </c>
      <c r="G5">
        <f>IFERROR((Eu_g_g_x-Eu_g_h0_x)/(Eu_g_s_x/SQRT(Eu_g_n_x)),NA())</f>
        <v>1.4912141687513114</v>
      </c>
      <c r="H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Row],[Hypotese]],HypoteseRetning_liste,0)=2,MATCH(E_g_valg[[#This Row],[Hypotese]],HypoteseRetning_liste,0)=3)</f>
        <v>1</v>
      </c>
      <c r="Q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Row],[Hypotese]],HypoteseRetning_liste,0)=1,MATCH(E_g_valg[[#This Row],[Hypotese]],HypoteseRetning_liste,0)=4),ROUND(E_g_valg[[#This Row],[Midt %]],5)*100&amp;"% mellem "&amp;E_g_valg[[#This Row],[Venstre label]]&amp;" og "&amp;E_g_valg[[#This Row],[Højre label]]," ")</f>
        <v xml:space="preserve"> </v>
      </c>
      <c r="AF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158</v>
      </c>
      <c r="AK5">
        <f>_xlfn.AGGREGATE(3,5,E_g_valg[[#This Row],[Parameter]])</f>
        <v>1</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9</v>
      </c>
      <c r="AQ5" t="b">
        <f t="shared" si="1"/>
        <v>1</v>
      </c>
      <c r="AR5" t="s">
        <v>77</v>
      </c>
      <c r="AS5" t="b">
        <f t="shared" ref="AS5:AS13" si="2">NOT(ISNA(Eu_g_h0_x))</f>
        <v>1</v>
      </c>
      <c r="AT5" t="s">
        <v>69</v>
      </c>
      <c r="AU5" t="b">
        <f>Eu_g_n_x&gt;=30</f>
        <v>0</v>
      </c>
      <c r="AV5" t="s">
        <v>61</v>
      </c>
      <c r="AW5" t="s">
        <v>91</v>
      </c>
    </row>
    <row r="6" spans="1:50" x14ac:dyDescent="0.2">
      <c r="A6" t="s">
        <v>0</v>
      </c>
      <c r="B6" t="s">
        <v>36</v>
      </c>
      <c r="C6" t="s">
        <v>34</v>
      </c>
      <c r="D6" t="s">
        <v>34</v>
      </c>
      <c r="E6" s="17">
        <f>Eu_g_n_x-1</f>
        <v>11</v>
      </c>
      <c r="G6">
        <f>IFERROR((Eu_g_g_x-Eu_g_h0_x)/(Eu_g_s_x/SQRT(Eu_g_n_x)),NA())</f>
        <v>1.4912141687513114</v>
      </c>
      <c r="H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Row],[Hypotese]],HypoteseRetning_liste,0)=2,MATCH(E_g_valg[[#This Row],[Hypotese]],HypoteseRetning_liste,0)=3)</f>
        <v>1</v>
      </c>
      <c r="Q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Row],[Hypotese]],HypoteseRetning_liste,0)=1,MATCH(E_g_valg[[#This Row],[Hypotese]],HypoteseRetning_liste,0)=4),ROUND(E_g_valg[[#This Row],[Midt %]],5)*100&amp;"% mellem "&amp;E_g_valg[[#This Row],[Venstre label]]&amp;" og "&amp;E_g_valg[[#This Row],[Højre label]]," ")</f>
        <v xml:space="preserve"> </v>
      </c>
      <c r="AF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158</v>
      </c>
      <c r="AK6">
        <f>_xlfn.AGGREGATE(3,5,E_g_valg[[#This Row],[Parameter]])</f>
        <v>1</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9</v>
      </c>
      <c r="AQ6" t="b">
        <f t="shared" si="1"/>
        <v>1</v>
      </c>
      <c r="AR6" t="s">
        <v>77</v>
      </c>
      <c r="AS6" t="b">
        <f t="shared" si="2"/>
        <v>1</v>
      </c>
      <c r="AT6" t="s">
        <v>70</v>
      </c>
      <c r="AU6" t="b">
        <f>Eu_g_n_x&lt;30</f>
        <v>1</v>
      </c>
      <c r="AV6" t="s">
        <v>61</v>
      </c>
      <c r="AW6" t="s">
        <v>91</v>
      </c>
    </row>
    <row r="7" spans="1:50" x14ac:dyDescent="0.2">
      <c r="A7" t="s">
        <v>0</v>
      </c>
      <c r="B7" t="s">
        <v>36</v>
      </c>
      <c r="C7" t="s">
        <v>35</v>
      </c>
      <c r="D7" t="s">
        <v>32</v>
      </c>
      <c r="E7" s="17">
        <v>0</v>
      </c>
      <c r="F7">
        <v>1</v>
      </c>
      <c r="G7" t="e">
        <f>IFERROR((Eu_g_g_x-Eu_g_h0_x)/(Eu_g_s_population_x/SQRT(Eu_g_n_x)),NA())</f>
        <v>#N/A</v>
      </c>
      <c r="H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Row],[Hypotese]],HypoteseRetning_liste,0)=2,MATCH(E_g_valg[[#This Row],[Hypotese]],HypoteseRetning_liste,0)=3)</f>
        <v>1</v>
      </c>
      <c r="Q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Row],[Hypotese]],HypoteseRetning_liste,0)=1,MATCH(E_g_valg[[#This Row],[Hypotese]],HypoteseRetning_liste,0)=4),ROUND(E_g_valg[[#This Row],[Midt %]],5)*100&amp;"% mellem "&amp;E_g_valg[[#This Row],[Venstre label]]&amp;" og "&amp;E_g_valg[[#This Row],[Højre label]]," ")</f>
        <v xml:space="preserve"> </v>
      </c>
      <c r="AF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158</v>
      </c>
      <c r="AK7">
        <f>_xlfn.AGGREGATE(3,5,E_g_valg[[#This Row],[Parameter]])</f>
        <v>1</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9</v>
      </c>
      <c r="AQ7" t="b">
        <f t="shared" si="1"/>
        <v>1</v>
      </c>
      <c r="AR7" t="s">
        <v>77</v>
      </c>
      <c r="AS7" t="b">
        <f t="shared" si="2"/>
        <v>1</v>
      </c>
      <c r="AT7" t="s">
        <v>80</v>
      </c>
      <c r="AU7" t="b">
        <f>NOT(ISNA(Eu_g_s_population_x))</f>
        <v>1</v>
      </c>
      <c r="AV7" t="s">
        <v>60</v>
      </c>
      <c r="AW7" t="s">
        <v>91</v>
      </c>
    </row>
    <row r="8" spans="1:50" x14ac:dyDescent="0.2">
      <c r="A8" t="s">
        <v>0</v>
      </c>
      <c r="B8" t="s">
        <v>37</v>
      </c>
      <c r="C8" t="s">
        <v>32</v>
      </c>
      <c r="D8" t="s">
        <v>32</v>
      </c>
      <c r="E8" s="17">
        <v>0</v>
      </c>
      <c r="F8">
        <v>1</v>
      </c>
      <c r="G8">
        <f>IFERROR((Eu_g_g_x-Eu_g_h0_x)/(Eu_g_s_x/SQRT(Eu_g_n_x)),NA())</f>
        <v>1.4912141687513114</v>
      </c>
      <c r="H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Row],[Hypotese]],HypoteseRetning_liste,0)=2,MATCH(E_g_valg[[#This Row],[Hypotese]],HypoteseRetning_liste,0)=3)</f>
        <v>1</v>
      </c>
      <c r="Q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Row],[Hypotese]],HypoteseRetning_liste,0)=1,MATCH(E_g_valg[[#This Row],[Hypotese]],HypoteseRetning_liste,0)=4),ROUND(E_g_valg[[#This Row],[Midt %]],5)*100&amp;"% mellem "&amp;E_g_valg[[#This Row],[Venstre label]]&amp;" og "&amp;E_g_valg[[#This Row],[Højre label]]," ")</f>
        <v xml:space="preserve"> </v>
      </c>
      <c r="AF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159</v>
      </c>
      <c r="AK8">
        <f>_xlfn.AGGREGATE(3,5,E_g_valg[[#This Row],[Parameter]])</f>
        <v>1</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9</v>
      </c>
      <c r="AQ8" t="b">
        <f t="shared" si="1"/>
        <v>1</v>
      </c>
      <c r="AR8" t="s">
        <v>77</v>
      </c>
      <c r="AS8" t="b">
        <f t="shared" si="2"/>
        <v>1</v>
      </c>
      <c r="AT8" t="s">
        <v>69</v>
      </c>
      <c r="AU8" t="b">
        <f>Eu_g_n_x&gt;=30</f>
        <v>0</v>
      </c>
      <c r="AV8" t="s">
        <v>61</v>
      </c>
      <c r="AW8" t="s">
        <v>91</v>
      </c>
    </row>
    <row r="9" spans="1:50" x14ac:dyDescent="0.2">
      <c r="A9" t="s">
        <v>0</v>
      </c>
      <c r="B9" t="s">
        <v>37</v>
      </c>
      <c r="C9" t="s">
        <v>34</v>
      </c>
      <c r="D9" t="s">
        <v>34</v>
      </c>
      <c r="E9" s="17">
        <f>Eu_g_n_x-1</f>
        <v>11</v>
      </c>
      <c r="G9">
        <f>IFERROR((Eu_g_g_x-Eu_g_h0_x)/(Eu_g_s_x/SQRT(Eu_g_n_x)),NA())</f>
        <v>1.4912141687513114</v>
      </c>
      <c r="H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Row],[Hypotese]],HypoteseRetning_liste,0)=2,MATCH(E_g_valg[[#This Row],[Hypotese]],HypoteseRetning_liste,0)=3)</f>
        <v>1</v>
      </c>
      <c r="Q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Row],[Hypotese]],HypoteseRetning_liste,0)=1,MATCH(E_g_valg[[#This Row],[Hypotese]],HypoteseRetning_liste,0)=4),ROUND(E_g_valg[[#This Row],[Midt %]],5)*100&amp;"% mellem "&amp;E_g_valg[[#This Row],[Venstre label]]&amp;" og "&amp;E_g_valg[[#This Row],[Højre label]]," ")</f>
        <v xml:space="preserve"> </v>
      </c>
      <c r="AF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159</v>
      </c>
      <c r="AK9">
        <f>_xlfn.AGGREGATE(3,5,E_g_valg[[#This Row],[Parameter]])</f>
        <v>1</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9</v>
      </c>
      <c r="AQ9" t="b">
        <f t="shared" si="1"/>
        <v>1</v>
      </c>
      <c r="AR9" t="s">
        <v>77</v>
      </c>
      <c r="AS9" t="b">
        <f t="shared" si="2"/>
        <v>1</v>
      </c>
      <c r="AT9" t="s">
        <v>70</v>
      </c>
      <c r="AU9" t="b">
        <f>Eu_g_n_x&lt;30</f>
        <v>1</v>
      </c>
      <c r="AV9" t="s">
        <v>61</v>
      </c>
      <c r="AW9" t="s">
        <v>91</v>
      </c>
    </row>
    <row r="10" spans="1:50" x14ac:dyDescent="0.2">
      <c r="A10" t="s">
        <v>0</v>
      </c>
      <c r="B10" t="s">
        <v>37</v>
      </c>
      <c r="C10" t="s">
        <v>35</v>
      </c>
      <c r="D10" t="s">
        <v>32</v>
      </c>
      <c r="E10" s="17">
        <v>0</v>
      </c>
      <c r="F10">
        <v>1</v>
      </c>
      <c r="G10" t="e">
        <f>IFERROR((Eu_g_g_x-Eu_g_h0_x)/(Eu_g_s_population_x/SQRT(Eu_g_n_x)),NA())</f>
        <v>#N/A</v>
      </c>
      <c r="H10"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Row],[Hypotese]],HypoteseRetning_liste,0)=2,MATCH(E_g_valg[[#This Row],[Hypotese]],HypoteseRetning_liste,0)=3)</f>
        <v>1</v>
      </c>
      <c r="Q10"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Row],[Hypotese]],HypoteseRetning_liste,0)=1,MATCH(E_g_valg[[#This Row],[Hypotese]],HypoteseRetning_liste,0)=4),ROUND(E_g_valg[[#This Row],[Midt %]],5)*100&amp;"% mellem "&amp;E_g_valg[[#This Row],[Venstre label]]&amp;" og "&amp;E_g_valg[[#This Row],[Højre label]]," ")</f>
        <v xml:space="preserve"> </v>
      </c>
      <c r="AF10"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159</v>
      </c>
      <c r="AK10">
        <f>_xlfn.AGGREGATE(3,5,E_g_valg[[#This Row],[Parameter]])</f>
        <v>1</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9</v>
      </c>
      <c r="AQ10" t="b">
        <f t="shared" si="1"/>
        <v>1</v>
      </c>
      <c r="AR10" t="s">
        <v>77</v>
      </c>
      <c r="AS10" t="b">
        <f t="shared" si="2"/>
        <v>1</v>
      </c>
      <c r="AT10" t="s">
        <v>80</v>
      </c>
      <c r="AU10" t="b">
        <f>NOT(ISNA(Eu_g_s_population_x))</f>
        <v>1</v>
      </c>
      <c r="AV10" t="s">
        <v>60</v>
      </c>
      <c r="AW10" t="s">
        <v>91</v>
      </c>
    </row>
    <row r="11" spans="1:50" x14ac:dyDescent="0.2">
      <c r="A11" t="s">
        <v>0</v>
      </c>
      <c r="B11" t="s">
        <v>38</v>
      </c>
      <c r="C11" t="s">
        <v>32</v>
      </c>
      <c r="D11" t="s">
        <v>32</v>
      </c>
      <c r="E11" s="17">
        <v>0</v>
      </c>
      <c r="F11">
        <v>1</v>
      </c>
      <c r="G11">
        <f>IFERROR((Eu_g_g_x-Eu_g_h0_x)/(Eu_g_s_x/SQRT(Eu_g_n_x)),NA())</f>
        <v>1.4912141687513114</v>
      </c>
      <c r="H11">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Row],[Hypotese]],HypoteseRetning_liste,0)=2,MATCH(E_g_valg[[#This Row],[Hypotese]],HypoteseRetning_liste,0)=3)</f>
        <v>0</v>
      </c>
      <c r="Q11">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Row],[Hypotese]],HypoteseRetning_liste,0)=1,MATCH(E_g_valg[[#This Row],[Hypotese]],HypoteseRetning_liste,0)=4),ROUND(E_g_valg[[#This Row],[Midt %]],5)*100&amp;"% mellem "&amp;E_g_valg[[#This Row],[Venstre label]]&amp;" og "&amp;E_g_valg[[#This Row],[Højre label]]," ")</f>
        <v>86.409% mellem -1.854 og 1.854</v>
      </c>
      <c r="AF11"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31</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9</v>
      </c>
      <c r="AQ11" t="b">
        <f t="shared" si="1"/>
        <v>1</v>
      </c>
      <c r="AR11" t="s">
        <v>77</v>
      </c>
      <c r="AS11" t="b">
        <f t="shared" si="2"/>
        <v>1</v>
      </c>
      <c r="AT11" t="s">
        <v>69</v>
      </c>
      <c r="AU11" t="b">
        <f>Eu_g_n_x&gt;=30</f>
        <v>0</v>
      </c>
      <c r="AV11" t="s">
        <v>61</v>
      </c>
      <c r="AW11" t="s">
        <v>91</v>
      </c>
    </row>
    <row r="12" spans="1:50" x14ac:dyDescent="0.2">
      <c r="A12" t="s">
        <v>0</v>
      </c>
      <c r="B12" t="s">
        <v>38</v>
      </c>
      <c r="C12" t="s">
        <v>34</v>
      </c>
      <c r="D12" t="s">
        <v>34</v>
      </c>
      <c r="E12" s="17">
        <f>Eu_g_n_x-1</f>
        <v>11</v>
      </c>
      <c r="G12">
        <f>IFERROR((Eu_g_g_x-Eu_g_h0_x)/(Eu_g_s_x/SQRT(Eu_g_n_x)),NA())</f>
        <v>1.4912141687513114</v>
      </c>
      <c r="H1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Row],[Hypotese]],HypoteseRetning_liste,0)=2,MATCH(E_g_valg[[#This Row],[Hypotese]],HypoteseRetning_liste,0)=3)</f>
        <v>0</v>
      </c>
      <c r="Q1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Row],[Hypotese]],HypoteseRetning_liste,0)=1,MATCH(E_g_valg[[#This Row],[Hypotese]],HypoteseRetning_liste,0)=4),ROUND(E_g_valg[[#This Row],[Midt %]],5)*100&amp;"% mellem "&amp;E_g_valg[[#This Row],[Venstre label]]&amp;" og "&amp;E_g_valg[[#This Row],[Højre label]]," ")</f>
        <v>83.599% mellem -1.854 og 1.854</v>
      </c>
      <c r="AF1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31</v>
      </c>
      <c r="AK12">
        <f>_xlfn.AGGREGATE(3,5,E_g_valg[[#This Row],[Parameter]])</f>
        <v>1</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9</v>
      </c>
      <c r="AQ12" t="b">
        <f t="shared" si="1"/>
        <v>1</v>
      </c>
      <c r="AR12" t="s">
        <v>77</v>
      </c>
      <c r="AS12" t="b">
        <f t="shared" si="2"/>
        <v>1</v>
      </c>
      <c r="AT12" t="s">
        <v>70</v>
      </c>
      <c r="AU12" t="b">
        <f>Eu_g_n_x&lt;30</f>
        <v>1</v>
      </c>
      <c r="AV12" t="s">
        <v>61</v>
      </c>
      <c r="AW12" t="s">
        <v>91</v>
      </c>
    </row>
    <row r="13" spans="1:50" x14ac:dyDescent="0.2">
      <c r="A13" t="s">
        <v>0</v>
      </c>
      <c r="B13" t="s">
        <v>38</v>
      </c>
      <c r="C13" t="s">
        <v>35</v>
      </c>
      <c r="D13" t="s">
        <v>32</v>
      </c>
      <c r="E13" s="17">
        <v>0</v>
      </c>
      <c r="F13">
        <v>1</v>
      </c>
      <c r="G13" t="e">
        <f>IFERROR((Eu_g_g_x-Eu_g_h0_x)/(Eu_g_s_population_x/SQRT(Eu_g_n_x)),NA())</f>
        <v>#N/A</v>
      </c>
      <c r="H13"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Row],[Hypotese]],HypoteseRetning_liste,0)=2,MATCH(E_g_valg[[#This Row],[Hypotese]],HypoteseRetning_liste,0)=3)</f>
        <v>0</v>
      </c>
      <c r="Q1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Row],[Hypotese]],HypoteseRetning_liste,0)=1,MATCH(E_g_valg[[#This Row],[Hypotese]],HypoteseRetning_liste,0)=4),ROUND(E_g_valg[[#This Row],[Midt %]],5)*100&amp;"% mellem "&amp;E_g_valg[[#This Row],[Venstre label]]&amp;" og "&amp;E_g_valg[[#This Row],[Højre label]]," ")</f>
        <v>#N/A</v>
      </c>
      <c r="AF13"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31</v>
      </c>
      <c r="AK13">
        <f>_xlfn.AGGREGATE(3,5,E_g_valg[[#This Row],[Parameter]])</f>
        <v>1</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9</v>
      </c>
      <c r="AQ13" t="b">
        <f t="shared" si="1"/>
        <v>1</v>
      </c>
      <c r="AR13" t="s">
        <v>77</v>
      </c>
      <c r="AS13" t="b">
        <f t="shared" si="2"/>
        <v>1</v>
      </c>
      <c r="AT13" t="s">
        <v>80</v>
      </c>
      <c r="AU13" t="b">
        <f>NOT(ISNA(Eu_g_s_population_x))</f>
        <v>1</v>
      </c>
      <c r="AV13" t="s">
        <v>60</v>
      </c>
      <c r="AW13" t="s">
        <v>91</v>
      </c>
    </row>
    <row r="14" spans="1:50" x14ac:dyDescent="0.2">
      <c r="A14" t="s">
        <v>0</v>
      </c>
      <c r="B14" t="s">
        <v>39</v>
      </c>
      <c r="C14" t="s">
        <v>32</v>
      </c>
      <c r="D14" t="s">
        <v>32</v>
      </c>
      <c r="E14" s="17">
        <v>0</v>
      </c>
      <c r="F14">
        <v>1</v>
      </c>
      <c r="G14">
        <f>IFERROR((Eu_g_g_x-Eu_g_g_y-(Eu_g_h0_x-Eu_g_h0_y))/SQRT(Eu_g_s_x^2/Eu_g_n_x+Eu_g_s_y^2/Eu_g_n_y),NA())</f>
        <v>-0.8845698192548983</v>
      </c>
      <c r="H1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Row],[Hypotese]],HypoteseRetning_liste,0)=2,MATCH(E_g_valg[[#This Row],[Hypotese]],HypoteseRetning_liste,0)=3)</f>
        <v>1</v>
      </c>
      <c r="Q1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Row],[Hypotese]],HypoteseRetning_liste,0)=1,MATCH(E_g_valg[[#This Row],[Hypotese]],HypoteseRetning_liste,0)=4),ROUND(E_g_valg[[#This Row],[Midt %]],5)*100&amp;"% mellem "&amp;E_g_valg[[#This Row],[Venstre label]]&amp;" og "&amp;E_g_valg[[#This Row],[Højre label]]," ")</f>
        <v xml:space="preserve"> </v>
      </c>
      <c r="AF1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158</v>
      </c>
      <c r="AK14">
        <f>_xlfn.AGGREGATE(3,5,E_g_valg[[#This Row],[Parameter]])</f>
        <v>1</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9</v>
      </c>
      <c r="AQ14" t="b">
        <f t="shared" ref="AQ14:AQ25" si="3">NOT(OR(ISNA(Eu_g_g_x),ISNA(Eu_g_g_y)))</f>
        <v>1</v>
      </c>
      <c r="AR14" t="s">
        <v>78</v>
      </c>
      <c r="AS14" t="b">
        <f t="shared" ref="AS14:AS25" si="4">NOT(OR(ISNA(Eu_g_h0_x),ISNA(Eu_g_h0_y)))</f>
        <v>1</v>
      </c>
      <c r="AT14" t="s">
        <v>71</v>
      </c>
      <c r="AU14" t="b">
        <f>AND(Eu_g_n_x&gt;=30,Eu_g_n_y&gt;=30)</f>
        <v>0</v>
      </c>
      <c r="AV14" t="s">
        <v>86</v>
      </c>
      <c r="AW14" t="s">
        <v>91</v>
      </c>
    </row>
    <row r="15" spans="1:50" x14ac:dyDescent="0.2">
      <c r="A15" t="s">
        <v>0</v>
      </c>
      <c r="B15" t="s">
        <v>39</v>
      </c>
      <c r="C15" t="s">
        <v>43</v>
      </c>
      <c r="D15" t="s">
        <v>34</v>
      </c>
      <c r="E15" s="17">
        <f>Eu_g_n_x+Eu_g_n_y-2</f>
        <v>22</v>
      </c>
      <c r="G15">
        <f>IFERROR((Eu_g_g_x-Eu_g_g_y-(Eu_g_h0_x-Eu_g_h0_y))/(SQRT(((Eu_g_n_x-1)*Eu_g_s_x^2+(Eu_g_n_y-1)*Eu_g_s_y^2)/(Eu_g_n_x+Eu_g_n_y-2))*SQRT(1/Eu_g_n_x+1/Eu_g_n_y)),NA())</f>
        <v>-0.8845698192548983</v>
      </c>
      <c r="H1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Row],[Hypotese]],HypoteseRetning_liste,0)=2,MATCH(E_g_valg[[#This Row],[Hypotese]],HypoteseRetning_liste,0)=3)</f>
        <v>1</v>
      </c>
      <c r="Q1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Row],[Hypotese]],HypoteseRetning_liste,0)=1,MATCH(E_g_valg[[#This Row],[Hypotese]],HypoteseRetning_liste,0)=4),ROUND(E_g_valg[[#This Row],[Midt %]],5)*100&amp;"% mellem "&amp;E_g_valg[[#This Row],[Venstre label]]&amp;" og "&amp;E_g_valg[[#This Row],[Højre label]]," ")</f>
        <v xml:space="preserve"> </v>
      </c>
      <c r="AF1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158</v>
      </c>
      <c r="AK15">
        <f>_xlfn.AGGREGATE(3,5,E_g_valg[[#This Row],[Parameter]])</f>
        <v>1</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9</v>
      </c>
      <c r="AQ15" t="b">
        <f t="shared" si="3"/>
        <v>1</v>
      </c>
      <c r="AR15" t="s">
        <v>78</v>
      </c>
      <c r="AS15" t="b">
        <f t="shared" si="4"/>
        <v>1</v>
      </c>
      <c r="AT15" t="s">
        <v>72</v>
      </c>
      <c r="AU15" t="b">
        <f>NOT(AND(Eu_g_n_x&gt;=30,Eu_g_n_y&gt;=30))</f>
        <v>1</v>
      </c>
      <c r="AV15" t="s">
        <v>88</v>
      </c>
      <c r="AW15" t="s">
        <v>92</v>
      </c>
    </row>
    <row r="16" spans="1:50" x14ac:dyDescent="0.2">
      <c r="A16" t="s">
        <v>0</v>
      </c>
      <c r="B16" t="s">
        <v>39</v>
      </c>
      <c r="C16" t="s">
        <v>45</v>
      </c>
      <c r="D16" t="s">
        <v>34</v>
      </c>
      <c r="E16" s="17">
        <f>(Eu_g_s_x^2/Eu_g_n_x+Eu_g_s_y^2/Eu_g_n_y)^2/((Eu_g_s_x^2/Eu_g_n_x)^2/(Eu_g_n_x-1)+(Eu_g_s_y^2/Eu_g_n_y)^2/(Eu_g_n_y-1))</f>
        <v>21.900486557523873</v>
      </c>
      <c r="G16">
        <f>IFERROR((Eu_g_g_x-Eu_g_g_y-(Eu_g_h0_x-Eu_g_h0_y))/(SQRT(Eu_g_s_x^2/Eu_g_n_x+Eu_g_s_y^2/Eu_g_n_y)),NA())</f>
        <v>-0.8845698192548983</v>
      </c>
      <c r="H1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Row],[Hypotese]],HypoteseRetning_liste,0)=2,MATCH(E_g_valg[[#This Row],[Hypotese]],HypoteseRetning_liste,0)=3)</f>
        <v>1</v>
      </c>
      <c r="Q1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Row],[Hypotese]],HypoteseRetning_liste,0)=1,MATCH(E_g_valg[[#This Row],[Hypotese]],HypoteseRetning_liste,0)=4),ROUND(E_g_valg[[#This Row],[Midt %]],5)*100&amp;"% mellem "&amp;E_g_valg[[#This Row],[Venstre label]]&amp;" og "&amp;E_g_valg[[#This Row],[Højre label]]," ")</f>
        <v xml:space="preserve"> </v>
      </c>
      <c r="AF1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158</v>
      </c>
      <c r="AK16">
        <f>_xlfn.AGGREGATE(3,5,E_g_valg[[#This Row],[Parameter]])</f>
        <v>1</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9</v>
      </c>
      <c r="AQ16" t="b">
        <f t="shared" si="3"/>
        <v>1</v>
      </c>
      <c r="AR16" t="s">
        <v>78</v>
      </c>
      <c r="AS16" t="b">
        <f t="shared" si="4"/>
        <v>1</v>
      </c>
      <c r="AT16" t="s">
        <v>72</v>
      </c>
      <c r="AU16" t="b">
        <f>NOT(AND(Eu_g_n_x&gt;=30,Eu_g_n_y&gt;=30))</f>
        <v>1</v>
      </c>
      <c r="AV16" t="s">
        <v>89</v>
      </c>
      <c r="AW16" t="s">
        <v>92</v>
      </c>
    </row>
    <row r="17" spans="1:50" x14ac:dyDescent="0.2">
      <c r="A17" t="s">
        <v>0</v>
      </c>
      <c r="B17" t="s">
        <v>39</v>
      </c>
      <c r="C17" t="s">
        <v>44</v>
      </c>
      <c r="D17" t="s">
        <v>32</v>
      </c>
      <c r="E17" s="17">
        <v>0</v>
      </c>
      <c r="F17">
        <v>1</v>
      </c>
      <c r="G17" t="e">
        <f>IFERROR((Eu_g_g_x-Eu_g_g_y-(Eu_g_h0_x-Eu_g_h0_y))/SQRT(Eu_g_s_population_x^2/Eu_g_n_x+Eu_g_s_population_y^2/Eu_g_n_y),NA())</f>
        <v>#N/A</v>
      </c>
      <c r="H1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Row],[Hypotese]],HypoteseRetning_liste,0)=2,MATCH(E_g_valg[[#This Row],[Hypotese]],HypoteseRetning_liste,0)=3)</f>
        <v>1</v>
      </c>
      <c r="Q1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Row],[Hypotese]],HypoteseRetning_liste,0)=1,MATCH(E_g_valg[[#This Row],[Hypotese]],HypoteseRetning_liste,0)=4),ROUND(E_g_valg[[#This Row],[Midt %]],5)*100&amp;"% mellem "&amp;E_g_valg[[#This Row],[Venstre label]]&amp;" og "&amp;E_g_valg[[#This Row],[Højre label]]," ")</f>
        <v xml:space="preserve"> </v>
      </c>
      <c r="AF1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158</v>
      </c>
      <c r="AK17">
        <f>_xlfn.AGGREGATE(3,5,E_g_valg[[#This Row],[Parameter]])</f>
        <v>1</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9</v>
      </c>
      <c r="AQ17" t="b">
        <f t="shared" si="3"/>
        <v>1</v>
      </c>
      <c r="AR17" t="s">
        <v>78</v>
      </c>
      <c r="AS17" t="b">
        <f t="shared" si="4"/>
        <v>1</v>
      </c>
      <c r="AT17" t="s">
        <v>81</v>
      </c>
      <c r="AU17" t="b">
        <f>NOT(OR(ISNA(Eu_g_s_population_x),ISNA(Eu_g_s_population_y)))</f>
        <v>1</v>
      </c>
      <c r="AV17" t="s">
        <v>87</v>
      </c>
      <c r="AW17" t="s">
        <v>91</v>
      </c>
    </row>
    <row r="18" spans="1:50" x14ac:dyDescent="0.2">
      <c r="A18" t="s">
        <v>0</v>
      </c>
      <c r="B18" t="s">
        <v>40</v>
      </c>
      <c r="C18" t="s">
        <v>32</v>
      </c>
      <c r="D18" t="s">
        <v>32</v>
      </c>
      <c r="E18" s="17">
        <v>0</v>
      </c>
      <c r="F18">
        <v>1</v>
      </c>
      <c r="G18">
        <f>IFERROR((Eu_g_g_x-Eu_g_g_y-(Eu_g_h0_x-Eu_g_h0_y))/SQRT(Eu_g_s_x^2/Eu_g_n_x+Eu_g_s_y^2/Eu_g_n_y),NA())</f>
        <v>-0.8845698192548983</v>
      </c>
      <c r="H1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Row],[Hypotese]],HypoteseRetning_liste,0)=2,MATCH(E_g_valg[[#This Row],[Hypotese]],HypoteseRetning_liste,0)=3)</f>
        <v>1</v>
      </c>
      <c r="Q1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Row],[Hypotese]],HypoteseRetning_liste,0)=1,MATCH(E_g_valg[[#This Row],[Hypotese]],HypoteseRetning_liste,0)=4),ROUND(E_g_valg[[#This Row],[Midt %]],5)*100&amp;"% mellem "&amp;E_g_valg[[#This Row],[Venstre label]]&amp;" og "&amp;E_g_valg[[#This Row],[Højre label]]," ")</f>
        <v xml:space="preserve"> </v>
      </c>
      <c r="AF1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159</v>
      </c>
      <c r="AK18">
        <f>_xlfn.AGGREGATE(3,5,E_g_valg[[#This Row],[Parameter]])</f>
        <v>1</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9</v>
      </c>
      <c r="AQ18" t="b">
        <f t="shared" si="3"/>
        <v>1</v>
      </c>
      <c r="AR18" t="s">
        <v>78</v>
      </c>
      <c r="AS18" t="b">
        <f t="shared" si="4"/>
        <v>1</v>
      </c>
      <c r="AT18" t="s">
        <v>71</v>
      </c>
      <c r="AU18" t="b">
        <f>AND(Eu_g_n_x&gt;=30,Eu_g_n_y&gt;=30)</f>
        <v>0</v>
      </c>
      <c r="AV18" t="s">
        <v>86</v>
      </c>
      <c r="AW18" t="s">
        <v>91</v>
      </c>
    </row>
    <row r="19" spans="1:50" x14ac:dyDescent="0.2">
      <c r="A19" t="s">
        <v>0</v>
      </c>
      <c r="B19" t="s">
        <v>40</v>
      </c>
      <c r="C19" t="s">
        <v>43</v>
      </c>
      <c r="D19" t="s">
        <v>34</v>
      </c>
      <c r="E19" s="17">
        <f>Eu_g_n_x+Eu_g_n_y-2</f>
        <v>22</v>
      </c>
      <c r="G19">
        <f>IFERROR((Eu_g_g_x-Eu_g_g_y-(Eu_g_h0_x-Eu_g_h0_y))/(SQRT(((Eu_g_n_x-1)*Eu_g_s_x^2+(Eu_g_n_y-1)*Eu_g_s_y^2)/(Eu_g_n_x+Eu_g_n_y-2))*SQRT(1/Eu_g_n_x+1/Eu_g_n_y)),NA())</f>
        <v>-0.8845698192548983</v>
      </c>
      <c r="H1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Row],[Hypotese]],HypoteseRetning_liste,0)=2,MATCH(E_g_valg[[#This Row],[Hypotese]],HypoteseRetning_liste,0)=3)</f>
        <v>1</v>
      </c>
      <c r="Q1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Row],[Hypotese]],HypoteseRetning_liste,0)=1,MATCH(E_g_valg[[#This Row],[Hypotese]],HypoteseRetning_liste,0)=4),ROUND(E_g_valg[[#This Row],[Midt %]],5)*100&amp;"% mellem "&amp;E_g_valg[[#This Row],[Venstre label]]&amp;" og "&amp;E_g_valg[[#This Row],[Højre label]]," ")</f>
        <v xml:space="preserve"> </v>
      </c>
      <c r="AF1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159</v>
      </c>
      <c r="AK19">
        <f>_xlfn.AGGREGATE(3,5,E_g_valg[[#This Row],[Parameter]])</f>
        <v>1</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9</v>
      </c>
      <c r="AQ19" t="b">
        <f t="shared" si="3"/>
        <v>1</v>
      </c>
      <c r="AR19" t="s">
        <v>78</v>
      </c>
      <c r="AS19" t="b">
        <f t="shared" si="4"/>
        <v>1</v>
      </c>
      <c r="AT19" t="s">
        <v>72</v>
      </c>
      <c r="AU19" t="b">
        <f>NOT(AND(Eu_g_n_x&gt;=30,Eu_g_n_y&gt;=30))</f>
        <v>1</v>
      </c>
      <c r="AV19" t="s">
        <v>88</v>
      </c>
      <c r="AW19" t="s">
        <v>92</v>
      </c>
    </row>
    <row r="20" spans="1:50" x14ac:dyDescent="0.2">
      <c r="A20" t="s">
        <v>0</v>
      </c>
      <c r="B20" t="s">
        <v>40</v>
      </c>
      <c r="C20" t="s">
        <v>45</v>
      </c>
      <c r="D20" t="s">
        <v>34</v>
      </c>
      <c r="E20" s="17">
        <f>(Eu_g_s_x^2/Eu_g_n_x+Eu_g_s_y^2/Eu_g_n_y)^2/((Eu_g_s_x^2/Eu_g_n_x)^2/(Eu_g_n_x-1)+(Eu_g_s_y^2/Eu_g_n_y)^2/(Eu_g_n_y-1))</f>
        <v>21.900486557523873</v>
      </c>
      <c r="G20">
        <f>IFERROR((Eu_g_g_x-Eu_g_g_y-(Eu_g_h0_x-Eu_g_h0_y))/(SQRT(Eu_g_s_x^2/Eu_g_n_x+Eu_g_s_y^2/Eu_g_n_y)),NA())</f>
        <v>-0.8845698192548983</v>
      </c>
      <c r="H20">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Row],[Hypotese]],HypoteseRetning_liste,0)=2,MATCH(E_g_valg[[#This Row],[Hypotese]],HypoteseRetning_liste,0)=3)</f>
        <v>1</v>
      </c>
      <c r="Q20">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Row],[Hypotese]],HypoteseRetning_liste,0)=1,MATCH(E_g_valg[[#This Row],[Hypotese]],HypoteseRetning_liste,0)=4),ROUND(E_g_valg[[#This Row],[Midt %]],5)*100&amp;"% mellem "&amp;E_g_valg[[#This Row],[Venstre label]]&amp;" og "&amp;E_g_valg[[#This Row],[Højre label]]," ")</f>
        <v xml:space="preserve"> </v>
      </c>
      <c r="AF20"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159</v>
      </c>
      <c r="AK20">
        <f>_xlfn.AGGREGATE(3,5,E_g_valg[[#This Row],[Parameter]])</f>
        <v>1</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9</v>
      </c>
      <c r="AQ20" t="b">
        <f t="shared" si="3"/>
        <v>1</v>
      </c>
      <c r="AR20" t="s">
        <v>78</v>
      </c>
      <c r="AS20" t="b">
        <f t="shared" si="4"/>
        <v>1</v>
      </c>
      <c r="AT20" t="s">
        <v>72</v>
      </c>
      <c r="AU20" t="b">
        <f>NOT(AND(Eu_g_n_x&gt;=30,Eu_g_n_y&gt;=30))</f>
        <v>1</v>
      </c>
      <c r="AV20" t="s">
        <v>89</v>
      </c>
      <c r="AW20" t="s">
        <v>92</v>
      </c>
    </row>
    <row r="21" spans="1:50" x14ac:dyDescent="0.2">
      <c r="A21" t="s">
        <v>0</v>
      </c>
      <c r="B21" t="s">
        <v>40</v>
      </c>
      <c r="C21" t="s">
        <v>44</v>
      </c>
      <c r="D21" t="s">
        <v>32</v>
      </c>
      <c r="E21" s="17">
        <v>0</v>
      </c>
      <c r="F21">
        <v>1</v>
      </c>
      <c r="G21" t="e">
        <f>IFERROR((Eu_g_g_x-Eu_g_g_y-(Eu_g_h0_x-Eu_g_h0_y))/SQRT(Eu_g_s_population_x^2/Eu_g_n_x+Eu_g_s_population_y^2/Eu_g_n_y),NA())</f>
        <v>#N/A</v>
      </c>
      <c r="H21"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Row],[Hypotese]],HypoteseRetning_liste,0)=2,MATCH(E_g_valg[[#This Row],[Hypotese]],HypoteseRetning_liste,0)=3)</f>
        <v>1</v>
      </c>
      <c r="Q21"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Row],[Hypotese]],HypoteseRetning_liste,0)=1,MATCH(E_g_valg[[#This Row],[Hypotese]],HypoteseRetning_liste,0)=4),ROUND(E_g_valg[[#This Row],[Midt %]],5)*100&amp;"% mellem "&amp;E_g_valg[[#This Row],[Venstre label]]&amp;" og "&amp;E_g_valg[[#This Row],[Højre label]]," ")</f>
        <v xml:space="preserve"> </v>
      </c>
      <c r="AF21"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159</v>
      </c>
      <c r="AK21">
        <f>_xlfn.AGGREGATE(3,5,E_g_valg[[#This Row],[Parameter]])</f>
        <v>1</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9</v>
      </c>
      <c r="AQ21" t="b">
        <f t="shared" si="3"/>
        <v>1</v>
      </c>
      <c r="AR21" t="s">
        <v>78</v>
      </c>
      <c r="AS21" t="b">
        <f t="shared" si="4"/>
        <v>1</v>
      </c>
      <c r="AT21" t="s">
        <v>81</v>
      </c>
      <c r="AU21" t="b">
        <f>NOT(OR(ISNA(Eu_g_s_population_x),ISNA(Eu_g_s_population_y)))</f>
        <v>1</v>
      </c>
      <c r="AV21" t="s">
        <v>87</v>
      </c>
      <c r="AW21" t="s">
        <v>91</v>
      </c>
    </row>
    <row r="22" spans="1:50" x14ac:dyDescent="0.2">
      <c r="A22" t="s">
        <v>0</v>
      </c>
      <c r="B22" t="s">
        <v>41</v>
      </c>
      <c r="C22" t="s">
        <v>32</v>
      </c>
      <c r="D22" t="s">
        <v>32</v>
      </c>
      <c r="E22" s="17">
        <v>0</v>
      </c>
      <c r="F22">
        <v>1</v>
      </c>
      <c r="G22">
        <f>IFERROR((Eu_g_g_x-Eu_g_g_y-(Eu_g_h0_x-Eu_g_h0_y))/SQRT(Eu_g_s_x^2/Eu_g_n_x+Eu_g_s_y^2/Eu_g_n_y),NA())</f>
        <v>-0.8845698192548983</v>
      </c>
      <c r="H2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Row],[Hypotese]],HypoteseRetning_liste,0)=2,MATCH(E_g_valg[[#This Row],[Hypotese]],HypoteseRetning_liste,0)=3)</f>
        <v>0</v>
      </c>
      <c r="Q2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Row],[Hypotese]],HypoteseRetning_liste,0)=1,MATCH(E_g_valg[[#This Row],[Hypotese]],HypoteseRetning_liste,0)=4),ROUND(E_g_valg[[#This Row],[Midt %]],5)*100&amp;"% mellem "&amp;E_g_valg[[#This Row],[Venstre label]]&amp;" og "&amp;E_g_valg[[#This Row],[Højre label]]," ")</f>
        <v>62.361% mellem -1.505 og 1.505</v>
      </c>
      <c r="AF2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31</v>
      </c>
      <c r="AK22">
        <f>_xlfn.AGGREGATE(3,5,E_g_valg[[#This Row],[Parameter]])</f>
        <v>1</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9</v>
      </c>
      <c r="AQ22" t="b">
        <f t="shared" si="3"/>
        <v>1</v>
      </c>
      <c r="AR22" t="s">
        <v>78</v>
      </c>
      <c r="AS22" t="b">
        <f t="shared" si="4"/>
        <v>1</v>
      </c>
      <c r="AT22" t="s">
        <v>71</v>
      </c>
      <c r="AU22" t="b">
        <f>AND(Eu_g_n_x&gt;=30,Eu_g_n_y&gt;=30)</f>
        <v>0</v>
      </c>
      <c r="AV22" t="s">
        <v>86</v>
      </c>
      <c r="AW22" t="s">
        <v>91</v>
      </c>
    </row>
    <row r="23" spans="1:50" x14ac:dyDescent="0.2">
      <c r="A23" t="s">
        <v>0</v>
      </c>
      <c r="B23" t="s">
        <v>41</v>
      </c>
      <c r="C23" t="s">
        <v>43</v>
      </c>
      <c r="D23" t="s">
        <v>34</v>
      </c>
      <c r="E23" s="17">
        <f>Eu_g_n_x+Eu_g_n_y-2</f>
        <v>22</v>
      </c>
      <c r="G23">
        <f>IFERROR((Eu_g_g_x-Eu_g_g_y-(Eu_g_h0_x-Eu_g_h0_y))/(SQRT(((Eu_g_n_x-1)*Eu_g_s_x^2+(Eu_g_n_y-1)*Eu_g_s_y^2)/(Eu_g_n_x+Eu_g_n_y-2))*SQRT(1/Eu_g_n_x+1/Eu_g_n_y)),NA())</f>
        <v>-0.8845698192548983</v>
      </c>
      <c r="H2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Row],[Hypotese]],HypoteseRetning_liste,0)=2,MATCH(E_g_valg[[#This Row],[Hypotese]],HypoteseRetning_liste,0)=3)</f>
        <v>0</v>
      </c>
      <c r="Q23">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Row],[Hypotese]],HypoteseRetning_liste,0)=1,MATCH(E_g_valg[[#This Row],[Hypotese]],HypoteseRetning_liste,0)=4),ROUND(E_g_valg[[#This Row],[Midt %]],5)*100&amp;"% mellem "&amp;E_g_valg[[#This Row],[Venstre label]]&amp;" og "&amp;E_g_valg[[#This Row],[Højre label]]," ")</f>
        <v>61.405% mellem -1.505 og 1.505</v>
      </c>
      <c r="AF2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31</v>
      </c>
      <c r="AK23">
        <f>_xlfn.AGGREGATE(3,5,E_g_valg[[#This Row],[Parameter]])</f>
        <v>1</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9</v>
      </c>
      <c r="AQ23" t="b">
        <f t="shared" si="3"/>
        <v>1</v>
      </c>
      <c r="AR23" t="s">
        <v>78</v>
      </c>
      <c r="AS23" t="b">
        <f t="shared" si="4"/>
        <v>1</v>
      </c>
      <c r="AT23" t="s">
        <v>72</v>
      </c>
      <c r="AU23" t="b">
        <f>NOT(AND(Eu_g_n_x&gt;=30,Eu_g_n_y&gt;=30))</f>
        <v>1</v>
      </c>
      <c r="AV23" t="s">
        <v>88</v>
      </c>
      <c r="AW23" t="s">
        <v>92</v>
      </c>
    </row>
    <row r="24" spans="1:50" x14ac:dyDescent="0.2">
      <c r="A24" t="s">
        <v>0</v>
      </c>
      <c r="B24" t="s">
        <v>41</v>
      </c>
      <c r="C24" t="s">
        <v>45</v>
      </c>
      <c r="D24" t="s">
        <v>34</v>
      </c>
      <c r="E24" s="17">
        <f>(Eu_g_s_x^2/Eu_g_n_x+Eu_g_s_y^2/Eu_g_n_y)^2/((Eu_g_s_x^2/Eu_g_n_x)^2/(Eu_g_n_x-1)+(Eu_g_s_y^2/Eu_g_n_y)^2/(Eu_g_n_y-1))</f>
        <v>21.900486557523873</v>
      </c>
      <c r="G24">
        <f>IFERROR((Eu_g_g_x-Eu_g_g_y-(Eu_g_h0_x-Eu_g_h0_y))/(SQRT(Eu_g_s_x^2/Eu_g_n_x+Eu_g_s_y^2/Eu_g_n_y)),NA())</f>
        <v>-0.8845698192548983</v>
      </c>
      <c r="H2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Row],[Hypotese]],HypoteseRetning_liste,0)=2,MATCH(E_g_valg[[#This Row],[Hypotese]],HypoteseRetning_liste,0)=3)</f>
        <v>0</v>
      </c>
      <c r="Q2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Row],[Hypotese]],HypoteseRetning_liste,0)=1,MATCH(E_g_valg[[#This Row],[Hypotese]],HypoteseRetning_liste,0)=4),ROUND(E_g_valg[[#This Row],[Midt %]],5)*100&amp;"% mellem "&amp;E_g_valg[[#This Row],[Venstre label]]&amp;" og "&amp;E_g_valg[[#This Row],[Højre label]]," ")</f>
        <v>61.36% mellem -1.505 og 1.505</v>
      </c>
      <c r="AF2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31</v>
      </c>
      <c r="AK24">
        <f>_xlfn.AGGREGATE(3,5,E_g_valg[[#This Row],[Parameter]])</f>
        <v>1</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9</v>
      </c>
      <c r="AQ24" t="b">
        <f t="shared" si="3"/>
        <v>1</v>
      </c>
      <c r="AR24" t="s">
        <v>78</v>
      </c>
      <c r="AS24" t="b">
        <f t="shared" si="4"/>
        <v>1</v>
      </c>
      <c r="AT24" t="s">
        <v>72</v>
      </c>
      <c r="AU24" t="b">
        <f>NOT(AND(Eu_g_n_x&gt;=30,Eu_g_n_y&gt;=30))</f>
        <v>1</v>
      </c>
      <c r="AV24" t="s">
        <v>89</v>
      </c>
      <c r="AW24" t="s">
        <v>92</v>
      </c>
    </row>
    <row r="25" spans="1:50" x14ac:dyDescent="0.2">
      <c r="A25" t="s">
        <v>0</v>
      </c>
      <c r="B25" t="s">
        <v>41</v>
      </c>
      <c r="C25" t="s">
        <v>44</v>
      </c>
      <c r="D25" t="s">
        <v>32</v>
      </c>
      <c r="E25" s="17">
        <v>0</v>
      </c>
      <c r="F25">
        <v>1</v>
      </c>
      <c r="G25" t="e">
        <f>IFERROR((Eu_g_g_x-Eu_g_g_y-(Eu_g_h0_x-Eu_g_h0_y))/SQRT(Eu_g_s_population_x^2/Eu_g_n_x+Eu_g_s_population_y^2/Eu_g_n_y),NA())</f>
        <v>#N/A</v>
      </c>
      <c r="H25"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Row],[Hypotese]],HypoteseRetning_liste,0)=2,MATCH(E_g_valg[[#This Row],[Hypotese]],HypoteseRetning_liste,0)=3)</f>
        <v>0</v>
      </c>
      <c r="Q25"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Row],[Hypotese]],HypoteseRetning_liste,0)=1,MATCH(E_g_valg[[#This Row],[Hypotese]],HypoteseRetning_liste,0)=4),ROUND(E_g_valg[[#This Row],[Midt %]],5)*100&amp;"% mellem "&amp;E_g_valg[[#This Row],[Venstre label]]&amp;" og "&amp;E_g_valg[[#This Row],[Højre label]]," ")</f>
        <v>#N/A</v>
      </c>
      <c r="AF25"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31</v>
      </c>
      <c r="AK25">
        <f>_xlfn.AGGREGATE(3,5,E_g_valg[[#This Row],[Parameter]])</f>
        <v>1</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9</v>
      </c>
      <c r="AQ25" t="b">
        <f t="shared" si="3"/>
        <v>1</v>
      </c>
      <c r="AR25" t="s">
        <v>78</v>
      </c>
      <c r="AS25" t="b">
        <f t="shared" si="4"/>
        <v>1</v>
      </c>
      <c r="AT25" t="s">
        <v>81</v>
      </c>
      <c r="AU25" t="b">
        <f>NOT(OR(ISNA(Eu_g_s_population_x),ISNA(Eu_g_s_population_y)))</f>
        <v>1</v>
      </c>
      <c r="AV25" t="s">
        <v>87</v>
      </c>
      <c r="AW25" t="s">
        <v>91</v>
      </c>
    </row>
    <row r="27" spans="1:50" x14ac:dyDescent="0.2">
      <c r="A27" t="s">
        <v>42</v>
      </c>
      <c r="B27" t="s">
        <v>49</v>
      </c>
      <c r="C27" t="s">
        <v>108</v>
      </c>
      <c r="D27" t="s">
        <v>53</v>
      </c>
      <c r="E27" t="s">
        <v>147</v>
      </c>
      <c r="F27" t="s">
        <v>148</v>
      </c>
      <c r="G27" t="s">
        <v>29</v>
      </c>
      <c r="H27" t="s">
        <v>163</v>
      </c>
      <c r="I27" t="s">
        <v>185</v>
      </c>
      <c r="J27" t="s">
        <v>186</v>
      </c>
      <c r="K27" t="s">
        <v>187</v>
      </c>
      <c r="L27" t="s">
        <v>164</v>
      </c>
      <c r="M27" t="s">
        <v>161</v>
      </c>
      <c r="N27" t="s">
        <v>173</v>
      </c>
      <c r="O27" t="s">
        <v>188</v>
      </c>
      <c r="P27" t="s">
        <v>30</v>
      </c>
      <c r="Q27" t="s">
        <v>192</v>
      </c>
      <c r="R27" t="s">
        <v>191</v>
      </c>
      <c r="S27" t="s">
        <v>184</v>
      </c>
      <c r="T27" t="s">
        <v>19</v>
      </c>
      <c r="U27" t="s">
        <v>20</v>
      </c>
      <c r="V27" t="s">
        <v>166</v>
      </c>
      <c r="W27" t="s">
        <v>175</v>
      </c>
      <c r="X27" t="s">
        <v>167</v>
      </c>
      <c r="Y27" t="s">
        <v>168</v>
      </c>
      <c r="Z27" t="s">
        <v>170</v>
      </c>
      <c r="AA27" t="s">
        <v>171</v>
      </c>
      <c r="AB27" t="s">
        <v>169</v>
      </c>
      <c r="AC27" t="s">
        <v>172</v>
      </c>
      <c r="AD27" t="s">
        <v>178</v>
      </c>
      <c r="AE27" t="s">
        <v>179</v>
      </c>
      <c r="AF27" t="s">
        <v>180</v>
      </c>
      <c r="AG27" t="s">
        <v>165</v>
      </c>
      <c r="AH27" t="s">
        <v>162</v>
      </c>
      <c r="AI27" t="s">
        <v>174</v>
      </c>
      <c r="AJ27" t="s">
        <v>160</v>
      </c>
      <c r="AK27" t="s">
        <v>50</v>
      </c>
      <c r="AL27" t="s">
        <v>143</v>
      </c>
      <c r="AM27" t="s">
        <v>10</v>
      </c>
      <c r="AN27" t="s">
        <v>57</v>
      </c>
      <c r="AO27" t="s">
        <v>55</v>
      </c>
      <c r="AP27" t="s">
        <v>58</v>
      </c>
      <c r="AQ27" t="s">
        <v>75</v>
      </c>
      <c r="AR27" t="s">
        <v>59</v>
      </c>
      <c r="AS27" t="s">
        <v>76</v>
      </c>
      <c r="AT27" t="s">
        <v>63</v>
      </c>
      <c r="AU27" t="s">
        <v>79</v>
      </c>
      <c r="AV27" t="s">
        <v>68</v>
      </c>
      <c r="AW27" t="s">
        <v>90</v>
      </c>
      <c r="AX27" t="s">
        <v>203</v>
      </c>
    </row>
    <row r="28" spans="1:50" x14ac:dyDescent="0.2">
      <c r="A28" t="s">
        <v>1</v>
      </c>
      <c r="B28" t="s">
        <v>21</v>
      </c>
      <c r="C28" t="s">
        <v>46</v>
      </c>
      <c r="D28" t="s">
        <v>46</v>
      </c>
      <c r="E28">
        <f t="shared" ref="E28:E34" si="5">Eu_s_n_x-1</f>
        <v>11</v>
      </c>
      <c r="G28">
        <f>IF(ISNUMBER(Eu_s_s_x),_xlfn.CHISQ.INV((1-Eu_s_konfidensniveau)/2,E_s_valg[[#This Row],[Parameter 1]]),NA())</f>
        <v>3.8157482522360993</v>
      </c>
      <c r="H28">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Row],[Hypotese]],HypoteseRetning_liste,0)=2,MATCH(E_s_valg[[#This Row],[Hypotese]],HypoteseRetning_liste,0)=3)</f>
        <v>0</v>
      </c>
      <c r="Q28"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Row],[Hypotese]],HypoteseRetning_liste,0)=1,MATCH(E_s_valg[[#This Row],[Hypotese]],HypoteseRetning_liste,0)=4),ROUND(E_s_valg[[#This Row],[Midt %]],5)*100&amp;"% mellem "&amp;E_s_valg[[#This Row],[Venstre label]]&amp;" og "&amp;E_s_valg[[#This Row],[Højre label]]," ")</f>
        <v>95% mellem 3.051 og 7.313</v>
      </c>
      <c r="AF28"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21</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9</v>
      </c>
      <c r="AQ28" t="b">
        <f>NOT(ISNA(Eu_s_s_x))</f>
        <v>1</v>
      </c>
      <c r="AV28" t="s">
        <v>62</v>
      </c>
      <c r="AW28" t="s">
        <v>91</v>
      </c>
    </row>
    <row r="29" spans="1:50" x14ac:dyDescent="0.2">
      <c r="A29" t="s">
        <v>1</v>
      </c>
      <c r="B29" t="s">
        <v>36</v>
      </c>
      <c r="C29" t="s">
        <v>46</v>
      </c>
      <c r="D29" t="s">
        <v>46</v>
      </c>
      <c r="E29">
        <f t="shared" si="5"/>
        <v>11</v>
      </c>
      <c r="G29" t="e">
        <f>IFERROR((Eu_s_n_x-1)*Eu_s_s_x^2/Eu_s_h0_x^2,NA())</f>
        <v>#N/A</v>
      </c>
      <c r="H29"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Row],[Hypotese]],HypoteseRetning_liste,0)=2,MATCH(E_s_valg[[#This Row],[Hypotese]],HypoteseRetning_liste,0)=3)</f>
        <v>1</v>
      </c>
      <c r="Q29"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Row],[Hypotese]],HypoteseRetning_liste,0)=1,MATCH(E_s_valg[[#This Row],[Hypotese]],HypoteseRetning_liste,0)=4),ROUND(E_s_valg[[#This Row],[Midt %]],5)*100&amp;"% mellem "&amp;E_s_valg[[#This Row],[Venstre label]]&amp;" og "&amp;E_s_valg[[#This Row],[Højre label]]," ")</f>
        <v xml:space="preserve"> </v>
      </c>
      <c r="AF29"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158</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9</v>
      </c>
      <c r="AQ29" t="b">
        <f>NOT(ISNA(Eu_s_s_x))</f>
        <v>1</v>
      </c>
      <c r="AR29" t="s">
        <v>80</v>
      </c>
      <c r="AS29" t="b">
        <f>NOT(ISNA(Eu_s_h0_x))</f>
        <v>1</v>
      </c>
      <c r="AV29" t="s">
        <v>62</v>
      </c>
      <c r="AW29" t="s">
        <v>91</v>
      </c>
    </row>
    <row r="30" spans="1:50" x14ac:dyDescent="0.2">
      <c r="A30" t="s">
        <v>1</v>
      </c>
      <c r="B30" t="s">
        <v>37</v>
      </c>
      <c r="C30" t="s">
        <v>46</v>
      </c>
      <c r="D30" t="s">
        <v>46</v>
      </c>
      <c r="E30">
        <f t="shared" si="5"/>
        <v>11</v>
      </c>
      <c r="G30" t="e">
        <f>IFERROR((Eu_s_n_x-1)*Eu_s_s_x^2/Eu_s_h0_x^2,NA())</f>
        <v>#N/A</v>
      </c>
      <c r="H30"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Row],[Hypotese]],HypoteseRetning_liste,0)=2,MATCH(E_s_valg[[#This Row],[Hypotese]],HypoteseRetning_liste,0)=3)</f>
        <v>1</v>
      </c>
      <c r="Q30"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Row],[Hypotese]],HypoteseRetning_liste,0)=1,MATCH(E_s_valg[[#This Row],[Hypotese]],HypoteseRetning_liste,0)=4),ROUND(E_s_valg[[#This Row],[Midt %]],5)*100&amp;"% mellem "&amp;E_s_valg[[#This Row],[Venstre label]]&amp;" og "&amp;E_s_valg[[#This Row],[Højre label]]," ")</f>
        <v xml:space="preserve"> </v>
      </c>
      <c r="AF30"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159</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9</v>
      </c>
      <c r="AQ30" t="b">
        <f>NOT(ISNA(Eu_s_s_x))</f>
        <v>1</v>
      </c>
      <c r="AR30" t="s">
        <v>80</v>
      </c>
      <c r="AS30" t="b">
        <f>NOT(ISNA(Eu_s_h0_x))</f>
        <v>1</v>
      </c>
      <c r="AV30" t="s">
        <v>62</v>
      </c>
      <c r="AW30" t="s">
        <v>91</v>
      </c>
    </row>
    <row r="31" spans="1:50" x14ac:dyDescent="0.2">
      <c r="A31" t="s">
        <v>1</v>
      </c>
      <c r="B31" t="s">
        <v>38</v>
      </c>
      <c r="C31" t="s">
        <v>46</v>
      </c>
      <c r="D31" t="s">
        <v>46</v>
      </c>
      <c r="E31">
        <f t="shared" si="5"/>
        <v>11</v>
      </c>
      <c r="G31" t="e">
        <f>IFERROR((Eu_s_n_x-1)*Eu_s_s_x^2/Eu_s_h0_x^2,NA())</f>
        <v>#N/A</v>
      </c>
      <c r="H31"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Row],[Hypotese]],HypoteseRetning_liste,0)=2,MATCH(E_s_valg[[#This Row],[Hypotese]],HypoteseRetning_liste,0)=3)</f>
        <v>0</v>
      </c>
      <c r="Q31"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Row],[Hypotese]],HypoteseRetning_liste,0)=1,MATCH(E_s_valg[[#This Row],[Hypotese]],HypoteseRetning_liste,0)=4),ROUND(E_s_valg[[#This Row],[Midt %]],5)*100&amp;"% mellem "&amp;E_s_valg[[#This Row],[Venstre label]]&amp;" og "&amp;E_s_valg[[#This Row],[Højre label]]," ")</f>
        <v>#N/A</v>
      </c>
      <c r="AF31"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31</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9</v>
      </c>
      <c r="AQ31" t="b">
        <f>NOT(ISNA(Eu_s_s_x))</f>
        <v>1</v>
      </c>
      <c r="AR31" t="s">
        <v>80</v>
      </c>
      <c r="AS31" t="b">
        <f>NOT(ISNA(Eu_s_h0_x))</f>
        <v>1</v>
      </c>
      <c r="AV31" t="s">
        <v>62</v>
      </c>
      <c r="AW31" t="s">
        <v>91</v>
      </c>
    </row>
    <row r="32" spans="1:50" x14ac:dyDescent="0.2">
      <c r="A32" t="s">
        <v>1</v>
      </c>
      <c r="B32" t="s">
        <v>39</v>
      </c>
      <c r="C32" t="s">
        <v>47</v>
      </c>
      <c r="D32" t="s">
        <v>47</v>
      </c>
      <c r="E32">
        <f t="shared" si="5"/>
        <v>11</v>
      </c>
      <c r="F32">
        <f>Eu_s_n_y-1</f>
        <v>11</v>
      </c>
      <c r="G32">
        <f>IFERROR(Eu_s_s_x^2/Eu_s_s_y^2,NA())</f>
        <v>1.1445614473379149</v>
      </c>
      <c r="H32">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Row],[Hypotese]],HypoteseRetning_liste,0)=2,MATCH(E_s_valg[[#This Row],[Hypotese]],HypoteseRetning_liste,0)=3)</f>
        <v>1</v>
      </c>
      <c r="Q32">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Row],[Hypotese]],HypoteseRetning_liste,0)=1,MATCH(E_s_valg[[#This Row],[Hypotese]],HypoteseRetning_liste,0)=4),ROUND(E_s_valg[[#This Row],[Midt %]],5)*100&amp;"% mellem "&amp;E_s_valg[[#This Row],[Venstre label]]&amp;" og "&amp;E_s_valg[[#This Row],[Højre label]]," ")</f>
        <v xml:space="preserve"> </v>
      </c>
      <c r="AF32"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158</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9</v>
      </c>
      <c r="AQ32" t="b">
        <f>NOT(OR(ISNA(Eu_s_s_x),ISNA(Eu_s_s_y)))</f>
        <v>1</v>
      </c>
      <c r="AV32" t="s">
        <v>67</v>
      </c>
      <c r="AW32" t="s">
        <v>91</v>
      </c>
    </row>
    <row r="33" spans="1:50" x14ac:dyDescent="0.2">
      <c r="A33" t="s">
        <v>1</v>
      </c>
      <c r="B33" t="s">
        <v>40</v>
      </c>
      <c r="C33" t="s">
        <v>47</v>
      </c>
      <c r="D33" t="s">
        <v>47</v>
      </c>
      <c r="E33">
        <f t="shared" si="5"/>
        <v>11</v>
      </c>
      <c r="F33">
        <f>Eu_s_n_y-1</f>
        <v>11</v>
      </c>
      <c r="G33">
        <f>IFERROR(Eu_s_s_x^2/Eu_s_s_y^2,NA())</f>
        <v>1.1445614473379149</v>
      </c>
      <c r="H33">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Row],[Hypotese]],HypoteseRetning_liste,0)=2,MATCH(E_s_valg[[#This Row],[Hypotese]],HypoteseRetning_liste,0)=3)</f>
        <v>1</v>
      </c>
      <c r="Q33">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Row],[Hypotese]],HypoteseRetning_liste,0)=1,MATCH(E_s_valg[[#This Row],[Hypotese]],HypoteseRetning_liste,0)=4),ROUND(E_s_valg[[#This Row],[Midt %]],5)*100&amp;"% mellem "&amp;E_s_valg[[#This Row],[Venstre label]]&amp;" og "&amp;E_s_valg[[#This Row],[Højre label]]," ")</f>
        <v xml:space="preserve"> </v>
      </c>
      <c r="AF33"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159</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9</v>
      </c>
      <c r="AQ33" t="b">
        <f>NOT(OR(ISNA(Eu_s_s_x),ISNA(Eu_s_s_y)))</f>
        <v>1</v>
      </c>
      <c r="AV33" t="s">
        <v>67</v>
      </c>
      <c r="AW33" t="s">
        <v>91</v>
      </c>
    </row>
    <row r="34" spans="1:50" x14ac:dyDescent="0.2">
      <c r="A34" t="s">
        <v>1</v>
      </c>
      <c r="B34" t="s">
        <v>41</v>
      </c>
      <c r="C34" t="s">
        <v>47</v>
      </c>
      <c r="D34" t="s">
        <v>47</v>
      </c>
      <c r="E34">
        <f t="shared" si="5"/>
        <v>11</v>
      </c>
      <c r="F34">
        <f>Eu_s_n_y-1</f>
        <v>11</v>
      </c>
      <c r="G34">
        <f>IFERROR(Eu_s_s_x^2/Eu_s_s_y^2,NA())</f>
        <v>1.1445614473379149</v>
      </c>
      <c r="H34">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Row],[Hypotese]],HypoteseRetning_liste,0)=2,MATCH(E_s_valg[[#This Row],[Hypotese]],HypoteseRetning_liste,0)=3)</f>
        <v>0</v>
      </c>
      <c r="Q34">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Row],[Hypotese]],HypoteseRetning_liste,0)=1,MATCH(E_s_valg[[#This Row],[Hypotese]],HypoteseRetning_liste,0)=4),ROUND(E_s_valg[[#This Row],[Midt %]],5)*100&amp;"% mellem "&amp;E_s_valg[[#This Row],[Venstre label]]&amp;" og "&amp;E_s_valg[[#This Row],[Højre label]]," ")</f>
        <v>17.32% mellem 0.935 og 1.07</v>
      </c>
      <c r="AF34"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31</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9</v>
      </c>
      <c r="AQ34" t="b">
        <f>NOT(OR(ISNA(Eu_s_s_x),ISNA(Eu_s_s_y)))</f>
        <v>1</v>
      </c>
      <c r="AV34" t="s">
        <v>67</v>
      </c>
      <c r="AW34" t="s">
        <v>91</v>
      </c>
    </row>
    <row r="36" spans="1:50" x14ac:dyDescent="0.2">
      <c r="A36" t="s">
        <v>42</v>
      </c>
      <c r="B36" t="s">
        <v>49</v>
      </c>
      <c r="C36" t="s">
        <v>108</v>
      </c>
      <c r="D36" t="s">
        <v>53</v>
      </c>
      <c r="E36" t="s">
        <v>147</v>
      </c>
      <c r="F36" t="s">
        <v>148</v>
      </c>
      <c r="G36" t="s">
        <v>29</v>
      </c>
      <c r="H36" t="s">
        <v>163</v>
      </c>
      <c r="I36" t="s">
        <v>185</v>
      </c>
      <c r="J36" t="s">
        <v>186</v>
      </c>
      <c r="K36" t="s">
        <v>187</v>
      </c>
      <c r="L36" t="s">
        <v>164</v>
      </c>
      <c r="M36" t="s">
        <v>161</v>
      </c>
      <c r="N36" t="s">
        <v>173</v>
      </c>
      <c r="O36" t="s">
        <v>188</v>
      </c>
      <c r="P36" t="s">
        <v>30</v>
      </c>
      <c r="Q36" t="s">
        <v>192</v>
      </c>
      <c r="R36" t="s">
        <v>191</v>
      </c>
      <c r="S36" t="s">
        <v>184</v>
      </c>
      <c r="T36" t="s">
        <v>19</v>
      </c>
      <c r="U36" t="s">
        <v>20</v>
      </c>
      <c r="V36" t="s">
        <v>166</v>
      </c>
      <c r="W36" t="s">
        <v>175</v>
      </c>
      <c r="X36" t="s">
        <v>167</v>
      </c>
      <c r="Y36" t="s">
        <v>168</v>
      </c>
      <c r="Z36" t="s">
        <v>170</v>
      </c>
      <c r="AA36" t="s">
        <v>171</v>
      </c>
      <c r="AB36" t="s">
        <v>169</v>
      </c>
      <c r="AC36" t="s">
        <v>172</v>
      </c>
      <c r="AD36" t="s">
        <v>178</v>
      </c>
      <c r="AE36" t="s">
        <v>179</v>
      </c>
      <c r="AF36" t="s">
        <v>180</v>
      </c>
      <c r="AG36" t="s">
        <v>165</v>
      </c>
      <c r="AH36" t="s">
        <v>162</v>
      </c>
      <c r="AI36" t="s">
        <v>174</v>
      </c>
      <c r="AJ36" t="s">
        <v>160</v>
      </c>
      <c r="AK36" t="s">
        <v>50</v>
      </c>
      <c r="AL36" t="s">
        <v>143</v>
      </c>
      <c r="AM36" t="s">
        <v>10</v>
      </c>
      <c r="AN36" t="s">
        <v>57</v>
      </c>
      <c r="AO36" t="s">
        <v>55</v>
      </c>
      <c r="AP36" t="s">
        <v>58</v>
      </c>
      <c r="AQ36" t="s">
        <v>75</v>
      </c>
      <c r="AR36" t="s">
        <v>59</v>
      </c>
      <c r="AS36" t="s">
        <v>76</v>
      </c>
      <c r="AT36" t="s">
        <v>63</v>
      </c>
      <c r="AU36" t="s">
        <v>79</v>
      </c>
      <c r="AV36" t="s">
        <v>68</v>
      </c>
      <c r="AW36" t="s">
        <v>90</v>
      </c>
      <c r="AX36" t="s">
        <v>203</v>
      </c>
    </row>
    <row r="37" spans="1:50" ht="15" x14ac:dyDescent="0.2">
      <c r="A37" s="18" t="s">
        <v>2</v>
      </c>
      <c r="B37" s="18" t="s">
        <v>21</v>
      </c>
      <c r="C37" s="18" t="s">
        <v>32</v>
      </c>
      <c r="D37" s="18" t="s">
        <v>32</v>
      </c>
      <c r="E37" s="18">
        <v>0</v>
      </c>
      <c r="F37" s="18">
        <v>1</v>
      </c>
      <c r="G37" s="18">
        <f>IF(ISNUMBER(Eu_a_a_x),_xlfn.NORM.INV((1-Eu_a_konfidensniveau)/2,0,1),NA())</f>
        <v>-1.9599639845400536</v>
      </c>
      <c r="H37" s="18">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18" t="b">
        <f>E_a_valg[[#This Row],[Teststørrelse]]=E_a_valg[[#This Row],[Venstre teststørrelse]]</f>
        <v>1</v>
      </c>
      <c r="P37" s="18" t="b">
        <f>OR(MATCH(E_a_valg[[#This Row],[Hypotese]],HypoteseRetning_liste,0)=2,MATCH(E_a_valg[[#This Row],[Hypotese]],HypoteseRetning_liste,0)=3)</f>
        <v>0</v>
      </c>
      <c r="Q37" s="27"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7" s="18" t="e">
        <f>E_a_valg[[#This Row],[p-værdi]]&gt;1-Eu_a_konfidensniveau</f>
        <v>#N/A</v>
      </c>
      <c r="S37" s="18">
        <f t="shared" ref="S37:S46" si="7">IF(Eu_a_konfidensniveau&lt;=0.998,0.999,0.99999)</f>
        <v>0.999</v>
      </c>
      <c r="T37"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18">
        <f>MIN(E_a_valg[[#This Row],[Teststørrelse]],E_a_valg[[#This Row],[Teststørrelse omvendt]])</f>
        <v>-1.9599639845400536</v>
      </c>
      <c r="W37"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7" s="18">
        <f>MAX(E_a_valg[[#This Row],[Teststørrelse]],E_a_valg[[#This Row],[Teststørrelse omvendt]])</f>
        <v>1.9599639845400536</v>
      </c>
      <c r="Y37" s="27">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27">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27">
        <f>E_a_valg[[#This Row],[Mindre end højre %]]-E_a_valg[[#This Row],[Mindre end venstre %]]</f>
        <v>0.95</v>
      </c>
      <c r="AB37" s="27">
        <f>1-E_a_valg[[#This Row],[Mindre end venstre %]]</f>
        <v>0.97499999999999998</v>
      </c>
      <c r="AC37" s="27">
        <f>1-E_a_valg[[#This Row],[Mindre end højre %]]</f>
        <v>2.5000000000000022E-2</v>
      </c>
      <c r="AD37" s="18"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18" t="str">
        <f>IF(OR(MATCH(E_a_valg[[#This Row],[Hypotese]],HypoteseRetning_liste,0)=1,MATCH(E_a_valg[[#This Row],[Hypotese]],HypoteseRetning_liste,0)=4),ROUND(E_a_valg[[#This Row],[Midt %]],5)*100&amp;"% mellem "&amp;E_a_valg[[#This Row],[Venstre label]]&amp;" og "&amp;E_a_valg[[#This Row],[Højre label]]," ")</f>
        <v>95% mellem 20.06% og 63.273%</v>
      </c>
      <c r="AF37" s="18"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18">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18">
        <f>(E_a_valg[[#This Row],[Midtpunkt teststørrelse]]-E_a_valg[[#This Row],[X min]])/(E_a_valg[[#This Row],[X max]]-E_a_valg[[#This Row],[X min]])</f>
        <v>0.5</v>
      </c>
      <c r="AI37" s="18">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18" t="s">
        <v>21</v>
      </c>
      <c r="AK37" s="18">
        <f>_xlfn.AGGREGATE(3,5,E_a_valg[[#This Row],[Parameter]])</f>
        <v>1</v>
      </c>
      <c r="AL37">
        <v>1</v>
      </c>
      <c r="AM37" s="18">
        <v>32</v>
      </c>
      <c r="AN37" s="18" t="str">
        <f>IF(E_a_valg[[#This Row],[Kontrol af forudsætning 1]],Eu_a_konfidensniveau*100&amp;"% Konfidensinterval for andel
af "&amp;Eu_a_t_x,"Kan ikke beregne konfidensinterval for andel")</f>
        <v>95% Konfidensinterval for andel
af Eksempel 4 (nominal)</v>
      </c>
      <c r="AO37" s="18" t="str">
        <f>"Populationsestimat for andel fra stikprøver af størrelsen n = "&amp;Eu_a_n_x&amp;"
fra en population med andel = "&amp;IFERROR(ROUND(Eu_a_a_x,5)*100&amp;"%","Kan ikke beregnes")</f>
        <v>Populationsestimat for andel fra stikprøver af størrelsen n = 20
fra en population med andel = 41.667%</v>
      </c>
      <c r="AP37" s="19" t="str">
        <f>"Datatypen er nominal, hvor succes er "&amp;TRUE&amp;" og øvrige værdier er "&amp;FALSE</f>
        <v>Datatypen er nominal, hvor succes er TRUE og øvrige værdier er FALSE</v>
      </c>
      <c r="AQ37" s="19" t="b">
        <f>NOT(ISNA(Eu_a_a_x))</f>
        <v>1</v>
      </c>
      <c r="AR37" s="19"/>
      <c r="AS37" s="19"/>
      <c r="AT37" s="19" t="s">
        <v>65</v>
      </c>
      <c r="AU37" s="19" t="b">
        <f>IFERROR(Eu_a_n_x*Eu_a_a_x*(1-Eu_a_a_x)&gt;9,FALSE)</f>
        <v>0</v>
      </c>
      <c r="AV37" s="19"/>
      <c r="AW37" s="19"/>
      <c r="AX37" s="19">
        <f>ROUNDUP(_xlfn.NORM.INV(1-(1-Eu_a_konfidensniveau)/2,0,1)^2*Eu_a_a_x*(1-Eu_a_a_x)/Eu_a_ønsket_fejlmargin^2,0)</f>
        <v>9337</v>
      </c>
    </row>
    <row r="38" spans="1:50" ht="15" x14ac:dyDescent="0.2">
      <c r="A38" s="18" t="s">
        <v>2</v>
      </c>
      <c r="B38" s="18" t="s">
        <v>36</v>
      </c>
      <c r="C38" s="18" t="s">
        <v>32</v>
      </c>
      <c r="D38" s="18" t="s">
        <v>32</v>
      </c>
      <c r="E38" s="18">
        <v>0</v>
      </c>
      <c r="F38" s="18">
        <v>1</v>
      </c>
      <c r="G38" s="26" t="e">
        <f>IFERROR((Eu_a_a_x-Eu_a_h0_x)/SQRT(Eu_a_h0_x*(1-Eu_a_h0_x)/Eu_a_n_x),NA())</f>
        <v>#N/A</v>
      </c>
      <c r="H38" s="18"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8" s="7" t="e">
        <f>E_a_valg[[#This Row],[Venstre teststørrelse]]*SQRT(Eu_a_h0_x*(1-Eu_a_h0_x)/Eu_a_n_x)+Eu_a_h0_x</f>
        <v>#N/A</v>
      </c>
      <c r="J38" s="7">
        <f>E_a_valg[[#This Row],[Midtpunkt teststørrelse]]*SQRT(Eu_a_h0_x*(1-Eu_a_h0_x)/Eu_a_n_x)+Eu_a_h0_x</f>
        <v>0</v>
      </c>
      <c r="K38" s="7" t="e">
        <f>E_a_valg[[#This Row],[Højre teststørrelse]]*SQRT(Eu_a_h0_x*(1-Eu_a_h0_x)/Eu_a_n_x)+Eu_a_h0_x</f>
        <v>#N/A</v>
      </c>
      <c r="L38"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8" t="str">
        <f>IF(E_a_valg[[#This Row],[Parameter]]="andel",ROUND(E_a_valg[[#This Row],[Midtpunkt label base]],5)*100&amp;"%",ROUND(E_a_valg[[#This Row],[Midtpunkt label base]],3))</f>
        <v>0%</v>
      </c>
      <c r="N38"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8" s="18" t="e">
        <f>E_a_valg[[#This Row],[Teststørrelse]]=E_a_valg[[#This Row],[Venstre teststørrelse]]</f>
        <v>#N/A</v>
      </c>
      <c r="P38" s="18" t="b">
        <f>OR(MATCH(E_a_valg[[#This Row],[Hypotese]],HypoteseRetning_liste,0)=2,MATCH(E_a_valg[[#This Row],[Hypotese]],HypoteseRetning_liste,0)=3)</f>
        <v>1</v>
      </c>
      <c r="Q38" s="27"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8" s="18" t="e">
        <f>E_a_valg[[#This Row],[p-værdi]]&gt;1-Eu_a_konfidensniveau</f>
        <v>#N/A</v>
      </c>
      <c r="S38" s="18">
        <f t="shared" si="7"/>
        <v>0.999</v>
      </c>
      <c r="T38"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18" t="e">
        <f>MIN(E_a_valg[[#This Row],[Teststørrelse]],E_a_valg[[#This Row],[Teststørrelse omvendt]])</f>
        <v>#N/A</v>
      </c>
      <c r="W38"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8" s="18" t="e">
        <f>MAX(E_a_valg[[#This Row],[Teststørrelse]],E_a_valg[[#This Row],[Teststørrelse omvendt]])</f>
        <v>#N/A</v>
      </c>
      <c r="Y38" s="27"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8" s="27"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8" s="27" t="e">
        <f>E_a_valg[[#This Row],[Mindre end højre %]]-E_a_valg[[#This Row],[Mindre end venstre %]]</f>
        <v>#N/A</v>
      </c>
      <c r="AB38" s="27" t="e">
        <f>1-E_a_valg[[#This Row],[Mindre end venstre %]]</f>
        <v>#N/A</v>
      </c>
      <c r="AC38" s="27" t="e">
        <f>1-E_a_valg[[#This Row],[Mindre end højre %]]</f>
        <v>#N/A</v>
      </c>
      <c r="AD38" s="18"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8" s="18" t="str">
        <f>IF(OR(MATCH(E_a_valg[[#This Row],[Hypotese]],HypoteseRetning_liste,0)=1,MATCH(E_a_valg[[#This Row],[Hypotese]],HypoteseRetning_liste,0)=4),ROUND(E_a_valg[[#This Row],[Midt %]],5)*100&amp;"% mellem "&amp;E_a_valg[[#This Row],[Venstre label]]&amp;" og "&amp;E_a_valg[[#This Row],[Højre label]]," ")</f>
        <v xml:space="preserve"> </v>
      </c>
      <c r="AF38" s="18"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8" s="18" t="e">
        <f>IF(AND(NOT(E_a_valg[[#This Row],[Orientering]]),E_a_valg[[#This Row],[Ensidet]]),(E_a_valg[[#This Row],[Højre teststørrelse]]-E_a_valg[[#This Row],[X min]])/(E_a_valg[[#This Row],[X max]]-E_a_valg[[#This Row],[X min]]),(E_a_valg[[#This Row],[Venstre teststørrelse]]-E_a_valg[[#This Row],[X min]])/(E_a_valg[[#This Row],[X max]]-E_a_valg[[#This Row],[X min]]))</f>
        <v>#N/A</v>
      </c>
      <c r="AH38" s="18">
        <f>(E_a_valg[[#This Row],[Midtpunkt teststørrelse]]-E_a_valg[[#This Row],[X min]])/(E_a_valg[[#This Row],[X max]]-E_a_valg[[#This Row],[X min]])</f>
        <v>0.5</v>
      </c>
      <c r="AI38" s="18" t="e">
        <f>IF(AND(E_a_valg[[#This Row],[Orientering]],E_a_valg[[#This Row],[Ensidet]]),(E_a_valg[[#This Row],[Venstre teststørrelse]]-E_a_valg[[#This Row],[X min]])/(E_a_valg[[#This Row],[X max]]-E_a_valg[[#This Row],[X min]]),(E_a_valg[[#This Row],[Højre teststørrelse]]-E_a_valg[[#This Row],[X min]])/(E_a_valg[[#This Row],[X max]]-E_a_valg[[#This Row],[X min]]))</f>
        <v>#N/A</v>
      </c>
      <c r="AJ38" s="18" t="s">
        <v>158</v>
      </c>
      <c r="AK38" s="18">
        <f>_xlfn.AGGREGATE(3,5,E_a_valg[[#This Row],[Parameter]])</f>
        <v>1</v>
      </c>
      <c r="AL38">
        <v>1</v>
      </c>
      <c r="AM38" s="18">
        <v>33</v>
      </c>
      <c r="AN38" s="18" t="e">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#N/A</v>
      </c>
      <c r="AO38" s="18" t="str">
        <f>"Andel i stikprøver af størrelsen n = "&amp;Eu_a_n_x&amp;"
fra en population med andel = "&amp;IFERROR(ROUND(Eu_a_h0_x,5)*100&amp;"%","Hypotese ikke angivet")</f>
        <v>Andel i stikprøver af størrelsen n = 20
fra en population med andel = 0%</v>
      </c>
      <c r="AP38" s="19" t="str">
        <f t="shared" ref="AP38:AP46" si="8">"Datatypen er nominal, hvor succes er "&amp;TRUE&amp;" og øvrige værdier er "&amp;FALSE</f>
        <v>Datatypen er nominal, hvor succes er TRUE og øvrige værdier er FALSE</v>
      </c>
      <c r="AQ38" s="19" t="b">
        <f>NOT(ISNA(Eu_a_a_x))</f>
        <v>1</v>
      </c>
      <c r="AR38" s="19" t="s">
        <v>82</v>
      </c>
      <c r="AS38" s="19" t="b">
        <f>NOT(ISNA(Eu_a_h0_x))</f>
        <v>1</v>
      </c>
      <c r="AT38" s="19" t="s">
        <v>65</v>
      </c>
      <c r="AU38" s="19" t="b">
        <f>IFERROR(Eu_a_n_x*Eu_a_a_x*(1-Eu_a_a_x)&gt;9,FALSE)</f>
        <v>0</v>
      </c>
      <c r="AV38" s="19"/>
      <c r="AW38" s="19"/>
      <c r="AX38" s="19"/>
    </row>
    <row r="39" spans="1:50" ht="15" x14ac:dyDescent="0.2">
      <c r="A39" s="18" t="s">
        <v>2</v>
      </c>
      <c r="B39" s="18" t="s">
        <v>37</v>
      </c>
      <c r="C39" s="18" t="s">
        <v>32</v>
      </c>
      <c r="D39" s="18" t="s">
        <v>32</v>
      </c>
      <c r="E39" s="18">
        <v>0</v>
      </c>
      <c r="F39" s="18">
        <v>1</v>
      </c>
      <c r="G39" s="26" t="e">
        <f>IFERROR((Eu_a_a_x-Eu_a_h0_x)/SQRT(Eu_a_h0_x*(1-Eu_a_h0_x)/Eu_a_n_x),NA())</f>
        <v>#N/A</v>
      </c>
      <c r="H39" s="18"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9" s="7" t="e">
        <f>E_a_valg[[#This Row],[Venstre teststørrelse]]*SQRT(Eu_a_h0_x*(1-Eu_a_h0_x)/Eu_a_n_x)+Eu_a_h0_x</f>
        <v>#N/A</v>
      </c>
      <c r="J39" s="7">
        <f>E_a_valg[[#This Row],[Midtpunkt teststørrelse]]*SQRT(Eu_a_h0_x*(1-Eu_a_h0_x)/Eu_a_n_x)+Eu_a_h0_x</f>
        <v>0</v>
      </c>
      <c r="K39" s="7" t="e">
        <f>E_a_valg[[#This Row],[Højre teststørrelse]]*SQRT(Eu_a_h0_x*(1-Eu_a_h0_x)/Eu_a_n_x)+Eu_a_h0_x</f>
        <v>#N/A</v>
      </c>
      <c r="L39"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9" t="str">
        <f>IF(E_a_valg[[#This Row],[Parameter]]="andel",ROUND(E_a_valg[[#This Row],[Midtpunkt label base]],5)*100&amp;"%",ROUND(E_a_valg[[#This Row],[Midtpunkt label base]],3))</f>
        <v>0%</v>
      </c>
      <c r="N39"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9" s="18" t="e">
        <f>E_a_valg[[#This Row],[Teststørrelse]]=E_a_valg[[#This Row],[Venstre teststørrelse]]</f>
        <v>#N/A</v>
      </c>
      <c r="P39" s="18" t="b">
        <f>OR(MATCH(E_a_valg[[#This Row],[Hypotese]],HypoteseRetning_liste,0)=2,MATCH(E_a_valg[[#This Row],[Hypotese]],HypoteseRetning_liste,0)=3)</f>
        <v>1</v>
      </c>
      <c r="Q39" s="27"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9" s="18" t="e">
        <f>E_a_valg[[#This Row],[p-værdi]]&gt;1-Eu_a_konfidensniveau</f>
        <v>#N/A</v>
      </c>
      <c r="S39" s="18">
        <f t="shared" si="7"/>
        <v>0.999</v>
      </c>
      <c r="T39"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18" t="e">
        <f>MIN(E_a_valg[[#This Row],[Teststørrelse]],E_a_valg[[#This Row],[Teststørrelse omvendt]])</f>
        <v>#N/A</v>
      </c>
      <c r="W39"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9" s="18" t="e">
        <f>MAX(E_a_valg[[#This Row],[Teststørrelse]],E_a_valg[[#This Row],[Teststørrelse omvendt]])</f>
        <v>#N/A</v>
      </c>
      <c r="Y39" s="27"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9" s="27"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9" s="27" t="e">
        <f>E_a_valg[[#This Row],[Mindre end højre %]]-E_a_valg[[#This Row],[Mindre end venstre %]]</f>
        <v>#N/A</v>
      </c>
      <c r="AB39" s="27" t="e">
        <f>1-E_a_valg[[#This Row],[Mindre end venstre %]]</f>
        <v>#N/A</v>
      </c>
      <c r="AC39" s="27" t="e">
        <f>1-E_a_valg[[#This Row],[Mindre end højre %]]</f>
        <v>#N/A</v>
      </c>
      <c r="AD39" s="18"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9" s="18" t="str">
        <f>IF(OR(MATCH(E_a_valg[[#This Row],[Hypotese]],HypoteseRetning_liste,0)=1,MATCH(E_a_valg[[#This Row],[Hypotese]],HypoteseRetning_liste,0)=4),ROUND(E_a_valg[[#This Row],[Midt %]],5)*100&amp;"% mellem "&amp;E_a_valg[[#This Row],[Venstre label]]&amp;" og "&amp;E_a_valg[[#This Row],[Højre label]]," ")</f>
        <v xml:space="preserve"> </v>
      </c>
      <c r="AF39" s="18"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9" s="18" t="e">
        <f>IF(AND(NOT(E_a_valg[[#This Row],[Orientering]]),E_a_valg[[#This Row],[Ensidet]]),(E_a_valg[[#This Row],[Højre teststørrelse]]-E_a_valg[[#This Row],[X min]])/(E_a_valg[[#This Row],[X max]]-E_a_valg[[#This Row],[X min]]),(E_a_valg[[#This Row],[Venstre teststørrelse]]-E_a_valg[[#This Row],[X min]])/(E_a_valg[[#This Row],[X max]]-E_a_valg[[#This Row],[X min]]))</f>
        <v>#N/A</v>
      </c>
      <c r="AH39" s="18">
        <f>(E_a_valg[[#This Row],[Midtpunkt teststørrelse]]-E_a_valg[[#This Row],[X min]])/(E_a_valg[[#This Row],[X max]]-E_a_valg[[#This Row],[X min]])</f>
        <v>0.5</v>
      </c>
      <c r="AI39" s="18" t="e">
        <f>IF(AND(E_a_valg[[#This Row],[Orientering]],E_a_valg[[#This Row],[Ensidet]]),(E_a_valg[[#This Row],[Venstre teststørrelse]]-E_a_valg[[#This Row],[X min]])/(E_a_valg[[#This Row],[X max]]-E_a_valg[[#This Row],[X min]]),(E_a_valg[[#This Row],[Højre teststørrelse]]-E_a_valg[[#This Row],[X min]])/(E_a_valg[[#This Row],[X max]]-E_a_valg[[#This Row],[X min]]))</f>
        <v>#N/A</v>
      </c>
      <c r="AJ39" s="18" t="s">
        <v>159</v>
      </c>
      <c r="AK39" s="18">
        <f>_xlfn.AGGREGATE(3,5,E_a_valg[[#This Row],[Parameter]])</f>
        <v>1</v>
      </c>
      <c r="AL39">
        <v>1</v>
      </c>
      <c r="AM39" s="18">
        <v>34</v>
      </c>
      <c r="AN39" s="18" t="e">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#N/A</v>
      </c>
      <c r="AO39" s="18" t="str">
        <f>"Andel i stikprøver af størrelsen n = "&amp;Eu_a_n_x&amp;"
fra en population med andel = "&amp;IFERROR(ROUND(Eu_a_h0_x,5)*100&amp;"%","Hypotese ikke angivet")</f>
        <v>Andel i stikprøver af størrelsen n = 20
fra en population med andel = 0%</v>
      </c>
      <c r="AP39" s="19" t="str">
        <f t="shared" si="8"/>
        <v>Datatypen er nominal, hvor succes er TRUE og øvrige værdier er FALSE</v>
      </c>
      <c r="AQ39" s="19" t="b">
        <f>NOT(ISNA(Eu_a_a_x))</f>
        <v>1</v>
      </c>
      <c r="AR39" s="19" t="s">
        <v>82</v>
      </c>
      <c r="AS39" s="19" t="b">
        <f>NOT(ISNA(Eu_a_h0_x))</f>
        <v>1</v>
      </c>
      <c r="AT39" s="19" t="s">
        <v>65</v>
      </c>
      <c r="AU39" s="19" t="b">
        <f>IFERROR(Eu_a_n_x*Eu_a_a_x*(1-Eu_a_a_x)&gt;9,FALSE)</f>
        <v>0</v>
      </c>
      <c r="AV39" s="19"/>
      <c r="AW39" s="19"/>
      <c r="AX39" s="19"/>
    </row>
    <row r="40" spans="1:50" ht="15" x14ac:dyDescent="0.2">
      <c r="A40" s="18" t="s">
        <v>2</v>
      </c>
      <c r="B40" s="18" t="s">
        <v>38</v>
      </c>
      <c r="C40" s="18" t="s">
        <v>32</v>
      </c>
      <c r="D40" s="18" t="s">
        <v>32</v>
      </c>
      <c r="E40" s="18">
        <v>0</v>
      </c>
      <c r="F40" s="18">
        <v>1</v>
      </c>
      <c r="G40" s="26" t="e">
        <f>IFERROR((Eu_a_a_x-Eu_a_h0_x)/SQRT(Eu_a_h0_x*(1-Eu_a_h0_x)/Eu_a_n_x),NA())</f>
        <v>#N/A</v>
      </c>
      <c r="H40" s="18"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40" s="7" t="e">
        <f>E_a_valg[[#This Row],[Venstre teststørrelse]]*SQRT(Eu_a_h0_x*(1-Eu_a_h0_x)/Eu_a_n_x)+Eu_a_h0_x</f>
        <v>#N/A</v>
      </c>
      <c r="J40" s="7">
        <f>E_a_valg[[#This Row],[Midtpunkt teststørrelse]]*SQRT(Eu_a_h0_x*(1-Eu_a_h0_x)/Eu_a_n_x)+Eu_a_h0_x</f>
        <v>0</v>
      </c>
      <c r="K40" s="7" t="e">
        <f>E_a_valg[[#This Row],[Højre teststørrelse]]*SQRT(Eu_a_h0_x*(1-Eu_a_h0_x)/Eu_a_n_x)+Eu_a_h0_x</f>
        <v>#N/A</v>
      </c>
      <c r="L40"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40" t="str">
        <f>IF(E_a_valg[[#This Row],[Parameter]]="andel",ROUND(E_a_valg[[#This Row],[Midtpunkt label base]],5)*100&amp;"%",ROUND(E_a_valg[[#This Row],[Midtpunkt label base]],3))</f>
        <v>0%</v>
      </c>
      <c r="N40"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40" s="18" t="e">
        <f>E_a_valg[[#This Row],[Teststørrelse]]=E_a_valg[[#This Row],[Venstre teststørrelse]]</f>
        <v>#N/A</v>
      </c>
      <c r="P40" s="18" t="b">
        <f>OR(MATCH(E_a_valg[[#This Row],[Hypotese]],HypoteseRetning_liste,0)=2,MATCH(E_a_valg[[#This Row],[Hypotese]],HypoteseRetning_liste,0)=3)</f>
        <v>0</v>
      </c>
      <c r="Q40" s="27"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40" s="18" t="e">
        <f>E_a_valg[[#This Row],[p-værdi]]&gt;1-Eu_a_konfidensniveau</f>
        <v>#N/A</v>
      </c>
      <c r="S40" s="18">
        <f t="shared" si="7"/>
        <v>0.999</v>
      </c>
      <c r="T40"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18" t="e">
        <f>MIN(E_a_valg[[#This Row],[Teststørrelse]],E_a_valg[[#This Row],[Teststørrelse omvendt]])</f>
        <v>#N/A</v>
      </c>
      <c r="W40"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0" s="18" t="e">
        <f>MAX(E_a_valg[[#This Row],[Teststørrelse]],E_a_valg[[#This Row],[Teststørrelse omvendt]])</f>
        <v>#N/A</v>
      </c>
      <c r="Y40" s="27"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40" s="27"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40" s="27" t="e">
        <f>E_a_valg[[#This Row],[Mindre end højre %]]-E_a_valg[[#This Row],[Mindre end venstre %]]</f>
        <v>#N/A</v>
      </c>
      <c r="AB40" s="27" t="e">
        <f>1-E_a_valg[[#This Row],[Mindre end venstre %]]</f>
        <v>#N/A</v>
      </c>
      <c r="AC40" s="27" t="e">
        <f>1-E_a_valg[[#This Row],[Mindre end højre %]]</f>
        <v>#N/A</v>
      </c>
      <c r="AD40" s="18"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40" s="18" t="e">
        <f>IF(OR(MATCH(E_a_valg[[#This Row],[Hypotese]],HypoteseRetning_liste,0)=1,MATCH(E_a_valg[[#This Row],[Hypotese]],HypoteseRetning_liste,0)=4),ROUND(E_a_valg[[#This Row],[Midt %]],5)*100&amp;"% mellem "&amp;E_a_valg[[#This Row],[Venstre label]]&amp;" og "&amp;E_a_valg[[#This Row],[Højre label]]," ")</f>
        <v>#N/A</v>
      </c>
      <c r="AF40" s="18"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40" s="18" t="e">
        <f>IF(AND(NOT(E_a_valg[[#This Row],[Orientering]]),E_a_valg[[#This Row],[Ensidet]]),(E_a_valg[[#This Row],[Højre teststørrelse]]-E_a_valg[[#This Row],[X min]])/(E_a_valg[[#This Row],[X max]]-E_a_valg[[#This Row],[X min]]),(E_a_valg[[#This Row],[Venstre teststørrelse]]-E_a_valg[[#This Row],[X min]])/(E_a_valg[[#This Row],[X max]]-E_a_valg[[#This Row],[X min]]))</f>
        <v>#N/A</v>
      </c>
      <c r="AH40" s="18">
        <f>(E_a_valg[[#This Row],[Midtpunkt teststørrelse]]-E_a_valg[[#This Row],[X min]])/(E_a_valg[[#This Row],[X max]]-E_a_valg[[#This Row],[X min]])</f>
        <v>0.5</v>
      </c>
      <c r="AI40" s="18" t="e">
        <f>IF(AND(E_a_valg[[#This Row],[Orientering]],E_a_valg[[#This Row],[Ensidet]]),(E_a_valg[[#This Row],[Venstre teststørrelse]]-E_a_valg[[#This Row],[X min]])/(E_a_valg[[#This Row],[X max]]-E_a_valg[[#This Row],[X min]]),(E_a_valg[[#This Row],[Højre teststørrelse]]-E_a_valg[[#This Row],[X min]])/(E_a_valg[[#This Row],[X max]]-E_a_valg[[#This Row],[X min]]))</f>
        <v>#N/A</v>
      </c>
      <c r="AJ40" s="18" t="s">
        <v>31</v>
      </c>
      <c r="AK40" s="18">
        <f>_xlfn.AGGREGATE(3,5,E_a_valg[[#This Row],[Parameter]])</f>
        <v>1</v>
      </c>
      <c r="AL40">
        <v>1</v>
      </c>
      <c r="AM40" s="18">
        <v>35</v>
      </c>
      <c r="AN40" s="18" t="e">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#N/A</v>
      </c>
      <c r="AO40" s="18" t="str">
        <f>"Andel i stikprøver af størrelsen n = "&amp;Eu_a_n_x&amp;"
fra en population med andel = "&amp;IFERROR(ROUND(Eu_a_h0_x,5)*100&amp;"%","Hypotese ikke angivet")</f>
        <v>Andel i stikprøver af størrelsen n = 20
fra en population med andel = 0%</v>
      </c>
      <c r="AP40" s="19" t="str">
        <f t="shared" si="8"/>
        <v>Datatypen er nominal, hvor succes er TRUE og øvrige værdier er FALSE</v>
      </c>
      <c r="AQ40" s="19" t="b">
        <f>NOT(ISNA(Eu_a_a_x))</f>
        <v>1</v>
      </c>
      <c r="AR40" s="19" t="s">
        <v>82</v>
      </c>
      <c r="AS40" s="19" t="b">
        <f>NOT(ISNA(Eu_a_h0_x))</f>
        <v>1</v>
      </c>
      <c r="AT40" s="19" t="s">
        <v>65</v>
      </c>
      <c r="AU40" s="19" t="b">
        <f>IFERROR(Eu_a_n_x*Eu_a_a_x*(1-Eu_a_a_x)&gt;9,FALSE)</f>
        <v>0</v>
      </c>
      <c r="AV40" s="19"/>
      <c r="AW40" s="19"/>
      <c r="AX40" s="19"/>
    </row>
    <row r="41" spans="1:50" ht="15" x14ac:dyDescent="0.2">
      <c r="A41" s="18" t="s">
        <v>2</v>
      </c>
      <c r="B41" s="18" t="s">
        <v>39</v>
      </c>
      <c r="C41" s="18" t="s">
        <v>32</v>
      </c>
      <c r="D41" s="18" t="s">
        <v>32</v>
      </c>
      <c r="E41" s="18">
        <v>0</v>
      </c>
      <c r="F41" s="18">
        <v>1</v>
      </c>
      <c r="G41" s="26">
        <f>IFERROR((Eu_a_a_x-Eu_a_a_y-(Eu_a_h0_x-Eu_a_h0_y))/SQRT(Eu_a_a_x*(1-Eu_a_a_x)/Eu_a_n_x+Eu_a_a_y*(1-Eu_a_a_y)/Eu_a_n_y),NA())</f>
        <v>0</v>
      </c>
      <c r="H41" s="18">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1" s="7">
        <f>E_a_valg[[#This Row],[Venstre teststørrelse]]*SQRT(Eu_a_a_x*(1-Eu_a_a_x)/Eu_a_n_x+Eu_a_a_y*(1-Eu_a_a_y)/Eu_a_n_y)+(Eu_a_h0_x-Eu_a_h0_y)</f>
        <v>0</v>
      </c>
      <c r="J41" s="7">
        <f>E_a_valg[[#This Row],[Midtpunkt teststørrelse]]*SQRT(Eu_a_a_x*(1-Eu_a_a_x)/Eu_a_n_x+Eu_a_a_y*(1-Eu_a_a_y)/Eu_a_n_y)+(Eu_a_h0_x-Eu_a_h0_y)</f>
        <v>0</v>
      </c>
      <c r="K41" s="7">
        <f>E_a_valg[[#This Row],[Højre teststørrelse]]*SQRT(Eu_a_a_x*(1-Eu_a_a_x)/Eu_a_n_x+Eu_a_a_y*(1-Eu_a_a_y)/Eu_a_n_y)+(Eu_a_h0_x-Eu_a_h0_y)</f>
        <v>0</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0%</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18" t="b">
        <f>E_a_valg[[#This Row],[Teststørrelse]]=E_a_valg[[#This Row],[Venstre teststørrelse]]</f>
        <v>1</v>
      </c>
      <c r="P41" s="18" t="b">
        <f>OR(MATCH(E_a_valg[[#This Row],[Hypotese]],HypoteseRetning_liste,0)=2,MATCH(E_a_valg[[#This Row],[Hypotese]],HypoteseRetning_liste,0)=3)</f>
        <v>1</v>
      </c>
      <c r="Q41" s="27">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1" s="18" t="b">
        <f>E_a_valg[[#This Row],[p-værdi]]&gt;1-Eu_a_konfidensniveau</f>
        <v>1</v>
      </c>
      <c r="S41" s="18">
        <f t="shared" si="7"/>
        <v>0.999</v>
      </c>
      <c r="T41"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18">
        <f>MIN(E_a_valg[[#This Row],[Teststørrelse]],E_a_valg[[#This Row],[Teststørrelse omvendt]])</f>
        <v>0</v>
      </c>
      <c r="W41"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1" s="18">
        <f>MAX(E_a_valg[[#This Row],[Teststørrelse]],E_a_valg[[#This Row],[Teststørrelse omvendt]])</f>
        <v>0</v>
      </c>
      <c r="Y41" s="27">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1" s="27">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1" s="27">
        <f>E_a_valg[[#This Row],[Mindre end højre %]]-E_a_valg[[#This Row],[Mindre end venstre %]]</f>
        <v>0</v>
      </c>
      <c r="AB41" s="27">
        <f>1-E_a_valg[[#This Row],[Mindre end venstre %]]</f>
        <v>0.5</v>
      </c>
      <c r="AC41" s="27">
        <f>1-E_a_valg[[#This Row],[Mindre end højre %]]</f>
        <v>0.5</v>
      </c>
      <c r="AD41" s="18"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1" s="18" t="str">
        <f>IF(OR(MATCH(E_a_valg[[#This Row],[Hypotese]],HypoteseRetning_liste,0)=1,MATCH(E_a_valg[[#This Row],[Hypotese]],HypoteseRetning_liste,0)=4),ROUND(E_a_valg[[#This Row],[Midt %]],5)*100&amp;"% mellem "&amp;E_a_valg[[#This Row],[Venstre label]]&amp;" og "&amp;E_a_valg[[#This Row],[Højre label]]," ")</f>
        <v xml:space="preserve"> </v>
      </c>
      <c r="AF41" s="18"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1" s="18">
        <f>IF(AND(NOT(E_a_valg[[#This Row],[Orientering]]),E_a_valg[[#This Row],[Ensidet]]),(E_a_valg[[#This Row],[Højre teststørrelse]]-E_a_valg[[#This Row],[X min]])/(E_a_valg[[#This Row],[X max]]-E_a_valg[[#This Row],[X min]]),(E_a_valg[[#This Row],[Venstre teststørrelse]]-E_a_valg[[#This Row],[X min]])/(E_a_valg[[#This Row],[X max]]-E_a_valg[[#This Row],[X min]]))</f>
        <v>0.5</v>
      </c>
      <c r="AH41" s="18">
        <f>(E_a_valg[[#This Row],[Midtpunkt teststørrelse]]-E_a_valg[[#This Row],[X min]])/(E_a_valg[[#This Row],[X max]]-E_a_valg[[#This Row],[X min]])</f>
        <v>0.5</v>
      </c>
      <c r="AI41" s="18">
        <f>IF(AND(E_a_valg[[#This Row],[Orientering]],E_a_valg[[#This Row],[Ensidet]]),(E_a_valg[[#This Row],[Venstre teststørrelse]]-E_a_valg[[#This Row],[X min]])/(E_a_valg[[#This Row],[X max]]-E_a_valg[[#This Row],[X min]]),(E_a_valg[[#This Row],[Højre teststørrelse]]-E_a_valg[[#This Row],[X min]])/(E_a_valg[[#This Row],[X max]]-E_a_valg[[#This Row],[X min]]))</f>
        <v>0.5</v>
      </c>
      <c r="AJ41" s="18" t="s">
        <v>158</v>
      </c>
      <c r="AK41" s="18">
        <f>_xlfn.AGGREGATE(3,5,E_a_valg[[#This Row],[Parameter]])</f>
        <v>1</v>
      </c>
      <c r="AL41">
        <v>2</v>
      </c>
      <c r="AM41" s="18">
        <v>36</v>
      </c>
      <c r="AN41" s="18"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1" s="18"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1" s="19" t="str">
        <f t="shared" si="8"/>
        <v>Datatypen er nominal, hvor succes er TRUE og øvrige værdier er FALSE</v>
      </c>
      <c r="AQ41" s="19" t="b">
        <f t="shared" ref="AQ41:AQ46" si="9">NOT(OR(ISNA(Eu_a_a_x),ISNA(Eu_a_a_y)))</f>
        <v>1</v>
      </c>
      <c r="AR41" s="19" t="s">
        <v>85</v>
      </c>
      <c r="AS41" s="19" t="b">
        <f>IF(NOT(OR(ISNA(Eu_a_h0_x),ISNA(Eu_a_h0_y))),Eu_a_h0_x&lt;&gt;Eu_a_h0_y)</f>
        <v>0</v>
      </c>
      <c r="AT41" s="19" t="s">
        <v>73</v>
      </c>
      <c r="AU41" s="19" t="b">
        <f t="shared" ref="AU41:AU46" si="10">IFERROR(AND(Eu_a_n_x*Eu_a_a_x*(1-Eu_a_a_x)&gt;9,Eu_a_n_y*Eu_a_a_y*(1-Eu_a_a_y)&gt;9),FALSE)</f>
        <v>0</v>
      </c>
      <c r="AV41" s="19"/>
      <c r="AW41" s="19"/>
      <c r="AX41" s="19"/>
    </row>
    <row r="42" spans="1:50" ht="15" x14ac:dyDescent="0.2">
      <c r="A42" s="18" t="s">
        <v>2</v>
      </c>
      <c r="B42" s="18" t="s">
        <v>39</v>
      </c>
      <c r="C42" s="18" t="s">
        <v>48</v>
      </c>
      <c r="D42" s="18" t="s">
        <v>32</v>
      </c>
      <c r="E42" s="18">
        <v>0</v>
      </c>
      <c r="F42" s="18">
        <v>1</v>
      </c>
      <c r="G42" s="26">
        <f>IFERROR((Eu_a_a_x-Eu_a_a_y)/SQRT((Eu_a_a_x*Eu_a_n_x+Eu_a_a_y*Eu_a_n_y)/(Eu_a_n_x+Eu_a_n_y)*(1-(Eu_a_a_x*Eu_a_n_x+Eu_a_a_y*Eu_a_n_y)/(Eu_a_n_x+Eu_a_n_y))*(1/Eu_a_n_x+1/Eu_a_n_y)),NA())</f>
        <v>0</v>
      </c>
      <c r="H42" s="18">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18">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18" t="b">
        <f>E_a_valg[[#This Row],[Teststørrelse]]=E_a_valg[[#This Row],[Venstre teststørrelse]]</f>
        <v>1</v>
      </c>
      <c r="P42" s="18" t="b">
        <f>OR(MATCH(E_a_valg[[#This Row],[Hypotese]],HypoteseRetning_liste,0)=2,MATCH(E_a_valg[[#This Row],[Hypotese]],HypoteseRetning_liste,0)=3)</f>
        <v>1</v>
      </c>
      <c r="Q42" s="27">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2" s="18" t="b">
        <f>E_a_valg[[#This Row],[p-værdi]]&gt;1-Eu_a_konfidensniveau</f>
        <v>1</v>
      </c>
      <c r="S42" s="18">
        <f t="shared" si="7"/>
        <v>0.999</v>
      </c>
      <c r="T42"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18">
        <f>MIN(E_a_valg[[#This Row],[Teststørrelse]],E_a_valg[[#This Row],[Teststørrelse omvendt]])</f>
        <v>0</v>
      </c>
      <c r="W42"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2" s="18">
        <f>MAX(E_a_valg[[#This Row],[Teststørrelse]],E_a_valg[[#This Row],[Teststørrelse omvendt]])</f>
        <v>0</v>
      </c>
      <c r="Y42" s="27">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27">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27">
        <f>E_a_valg[[#This Row],[Mindre end højre %]]-E_a_valg[[#This Row],[Mindre end venstre %]]</f>
        <v>0</v>
      </c>
      <c r="AB42" s="27">
        <f>1-E_a_valg[[#This Row],[Mindre end venstre %]]</f>
        <v>0.5</v>
      </c>
      <c r="AC42" s="27">
        <f>1-E_a_valg[[#This Row],[Mindre end højre %]]</f>
        <v>0.5</v>
      </c>
      <c r="AD42" s="18"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18" t="str">
        <f>IF(OR(MATCH(E_a_valg[[#This Row],[Hypotese]],HypoteseRetning_liste,0)=1,MATCH(E_a_valg[[#This Row],[Hypotese]],HypoteseRetning_liste,0)=4),ROUND(E_a_valg[[#This Row],[Midt %]],5)*100&amp;"% mellem "&amp;E_a_valg[[#This Row],[Venstre label]]&amp;" og "&amp;E_a_valg[[#This Row],[Højre label]]," ")</f>
        <v xml:space="preserve"> </v>
      </c>
      <c r="AF42" s="18"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18">
        <f>IF(AND(NOT(E_a_valg[[#This Row],[Orientering]]),E_a_valg[[#This Row],[Ensidet]]),(E_a_valg[[#This Row],[Højre teststørrelse]]-E_a_valg[[#This Row],[X min]])/(E_a_valg[[#This Row],[X max]]-E_a_valg[[#This Row],[X min]]),(E_a_valg[[#This Row],[Venstre teststørrelse]]-E_a_valg[[#This Row],[X min]])/(E_a_valg[[#This Row],[X max]]-E_a_valg[[#This Row],[X min]]))</f>
        <v>0.5</v>
      </c>
      <c r="AH42" s="18">
        <f>(E_a_valg[[#This Row],[Midtpunkt teststørrelse]]-E_a_valg[[#This Row],[X min]])/(E_a_valg[[#This Row],[X max]]-E_a_valg[[#This Row],[X min]])</f>
        <v>0.5</v>
      </c>
      <c r="AI42" s="18">
        <f>IF(AND(E_a_valg[[#This Row],[Orientering]],E_a_valg[[#This Row],[Ensidet]]),(E_a_valg[[#This Row],[Venstre teststørrelse]]-E_a_valg[[#This Row],[X min]])/(E_a_valg[[#This Row],[X max]]-E_a_valg[[#This Row],[X min]]),(E_a_valg[[#This Row],[Højre teststørrelse]]-E_a_valg[[#This Row],[X min]])/(E_a_valg[[#This Row],[X max]]-E_a_valg[[#This Row],[X min]]))</f>
        <v>0.5</v>
      </c>
      <c r="AJ42" s="18" t="s">
        <v>158</v>
      </c>
      <c r="AK42" s="18">
        <f>_xlfn.AGGREGATE(3,5,E_a_valg[[#This Row],[Parameter]])</f>
        <v>1</v>
      </c>
      <c r="AL42">
        <v>2</v>
      </c>
      <c r="AM42" s="18">
        <v>37</v>
      </c>
      <c r="AN42" s="18"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større end 0%
kan ikke afvises med 95% konfidens</v>
      </c>
      <c r="AO42" s="18"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2" s="19" t="str">
        <f t="shared" si="8"/>
        <v>Datatypen er nominal, hvor succes er TRUE og øvrige værdier er FALSE</v>
      </c>
      <c r="AQ42" s="19" t="b">
        <f t="shared" si="9"/>
        <v>1</v>
      </c>
      <c r="AR42" s="19" t="s">
        <v>83</v>
      </c>
      <c r="AS42" s="19" t="b">
        <f>IF(NOT(OR(ISNA(Eu_a_h0_x),ISNA(Eu_a_h0_y))),Eu_a_h0_x=Eu_a_h0_y)</f>
        <v>1</v>
      </c>
      <c r="AT42" s="19" t="s">
        <v>73</v>
      </c>
      <c r="AU42" s="19" t="b">
        <f t="shared" si="10"/>
        <v>0</v>
      </c>
      <c r="AV42" s="19"/>
      <c r="AW42" s="19"/>
      <c r="AX42" s="19"/>
    </row>
    <row r="43" spans="1:50" ht="15" x14ac:dyDescent="0.2">
      <c r="A43" s="18" t="s">
        <v>2</v>
      </c>
      <c r="B43" s="18" t="s">
        <v>40</v>
      </c>
      <c r="C43" s="18" t="s">
        <v>32</v>
      </c>
      <c r="D43" s="18" t="s">
        <v>32</v>
      </c>
      <c r="E43" s="18">
        <v>0</v>
      </c>
      <c r="F43" s="18">
        <v>1</v>
      </c>
      <c r="G43" s="26">
        <f>IFERROR((Eu_a_a_x-Eu_a_a_y-(Eu_a_h0_x-Eu_a_h0_y))/SQRT(Eu_a_a_x*(1-Eu_a_a_x)/Eu_a_n_x+Eu_a_a_y*(1-Eu_a_a_y)/Eu_a_n_y),NA())</f>
        <v>0</v>
      </c>
      <c r="H43" s="18">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3" s="7">
        <f>E_a_valg[[#This Row],[Venstre teststørrelse]]*SQRT(Eu_a_a_x*(1-Eu_a_a_x)/Eu_a_n_x+Eu_a_a_y*(1-Eu_a_a_y)/Eu_a_n_y)+(Eu_a_h0_x-Eu_a_h0_y)</f>
        <v>0</v>
      </c>
      <c r="J43" s="7">
        <f>E_a_valg[[#This Row],[Midtpunkt teststørrelse]]*SQRT(Eu_a_a_x*(1-Eu_a_a_x)/Eu_a_n_x+Eu_a_a_y*(1-Eu_a_a_y)/Eu_a_n_y)+(Eu_a_h0_x-Eu_a_h0_y)</f>
        <v>0</v>
      </c>
      <c r="K43" s="7">
        <f>E_a_valg[[#This Row],[Højre teststørrelse]]*SQRT(Eu_a_a_x*(1-Eu_a_a_x)/Eu_a_n_x+Eu_a_a_y*(1-Eu_a_a_y)/Eu_a_n_y)+(Eu_a_h0_x-Eu_a_h0_y)</f>
        <v>0</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0%</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18" t="b">
        <f>E_a_valg[[#This Row],[Teststørrelse]]=E_a_valg[[#This Row],[Venstre teststørrelse]]</f>
        <v>1</v>
      </c>
      <c r="P43" s="18" t="b">
        <f>OR(MATCH(E_a_valg[[#This Row],[Hypotese]],HypoteseRetning_liste,0)=2,MATCH(E_a_valg[[#This Row],[Hypotese]],HypoteseRetning_liste,0)=3)</f>
        <v>1</v>
      </c>
      <c r="Q43" s="27">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3" s="18" t="b">
        <f>E_a_valg[[#This Row],[p-værdi]]&gt;1-Eu_a_konfidensniveau</f>
        <v>1</v>
      </c>
      <c r="S43" s="18">
        <f t="shared" si="7"/>
        <v>0.999</v>
      </c>
      <c r="T43"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18">
        <f>MIN(E_a_valg[[#This Row],[Teststørrelse]],E_a_valg[[#This Row],[Teststørrelse omvendt]])</f>
        <v>0</v>
      </c>
      <c r="W43"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3" s="18">
        <f>MAX(E_a_valg[[#This Row],[Teststørrelse]],E_a_valg[[#This Row],[Teststørrelse omvendt]])</f>
        <v>0</v>
      </c>
      <c r="Y43" s="27">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3" s="27">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3" s="27">
        <f>E_a_valg[[#This Row],[Mindre end højre %]]-E_a_valg[[#This Row],[Mindre end venstre %]]</f>
        <v>0</v>
      </c>
      <c r="AB43" s="27">
        <f>1-E_a_valg[[#This Row],[Mindre end venstre %]]</f>
        <v>0.5</v>
      </c>
      <c r="AC43" s="27">
        <f>1-E_a_valg[[#This Row],[Mindre end højre %]]</f>
        <v>0.5</v>
      </c>
      <c r="AD43" s="18"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3" s="18" t="str">
        <f>IF(OR(MATCH(E_a_valg[[#This Row],[Hypotese]],HypoteseRetning_liste,0)=1,MATCH(E_a_valg[[#This Row],[Hypotese]],HypoteseRetning_liste,0)=4),ROUND(E_a_valg[[#This Row],[Midt %]],5)*100&amp;"% mellem "&amp;E_a_valg[[#This Row],[Venstre label]]&amp;" og "&amp;E_a_valg[[#This Row],[Højre label]]," ")</f>
        <v xml:space="preserve"> </v>
      </c>
      <c r="AF43" s="18"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3" s="18">
        <f>IF(AND(NOT(E_a_valg[[#This Row],[Orientering]]),E_a_valg[[#This Row],[Ensidet]]),(E_a_valg[[#This Row],[Højre teststørrelse]]-E_a_valg[[#This Row],[X min]])/(E_a_valg[[#This Row],[X max]]-E_a_valg[[#This Row],[X min]]),(E_a_valg[[#This Row],[Venstre teststørrelse]]-E_a_valg[[#This Row],[X min]])/(E_a_valg[[#This Row],[X max]]-E_a_valg[[#This Row],[X min]]))</f>
        <v>0.5</v>
      </c>
      <c r="AH43" s="18">
        <f>(E_a_valg[[#This Row],[Midtpunkt teststørrelse]]-E_a_valg[[#This Row],[X min]])/(E_a_valg[[#This Row],[X max]]-E_a_valg[[#This Row],[X min]])</f>
        <v>0.5</v>
      </c>
      <c r="AI43" s="18">
        <f>IF(AND(E_a_valg[[#This Row],[Orientering]],E_a_valg[[#This Row],[Ensidet]]),(E_a_valg[[#This Row],[Venstre teststørrelse]]-E_a_valg[[#This Row],[X min]])/(E_a_valg[[#This Row],[X max]]-E_a_valg[[#This Row],[X min]]),(E_a_valg[[#This Row],[Højre teststørrelse]]-E_a_valg[[#This Row],[X min]])/(E_a_valg[[#This Row],[X max]]-E_a_valg[[#This Row],[X min]]))</f>
        <v>0.5</v>
      </c>
      <c r="AJ43" s="18" t="s">
        <v>159</v>
      </c>
      <c r="AK43" s="18">
        <f>_xlfn.AGGREGATE(3,5,E_a_valg[[#This Row],[Parameter]])</f>
        <v>1</v>
      </c>
      <c r="AL43">
        <v>2</v>
      </c>
      <c r="AM43" s="18">
        <v>38</v>
      </c>
      <c r="AN43" s="18"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3" s="18"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3" s="19" t="str">
        <f t="shared" si="8"/>
        <v>Datatypen er nominal, hvor succes er TRUE og øvrige værdier er FALSE</v>
      </c>
      <c r="AQ43" s="19" t="b">
        <f t="shared" si="9"/>
        <v>1</v>
      </c>
      <c r="AR43" s="19" t="s">
        <v>85</v>
      </c>
      <c r="AS43" s="19" t="b">
        <f>IF(NOT(OR(ISNA(Eu_a_h0_x),ISNA(Eu_a_h0_y))),Eu_a_h0_x&lt;&gt;Eu_a_h0_y)</f>
        <v>0</v>
      </c>
      <c r="AT43" s="19" t="s">
        <v>73</v>
      </c>
      <c r="AU43" s="19" t="b">
        <f t="shared" si="10"/>
        <v>0</v>
      </c>
      <c r="AV43" s="19"/>
      <c r="AW43" s="19"/>
      <c r="AX43" s="19"/>
    </row>
    <row r="44" spans="1:50" ht="15" x14ac:dyDescent="0.2">
      <c r="A44" s="18" t="s">
        <v>2</v>
      </c>
      <c r="B44" s="18" t="s">
        <v>40</v>
      </c>
      <c r="C44" s="18" t="s">
        <v>48</v>
      </c>
      <c r="D44" s="18" t="s">
        <v>32</v>
      </c>
      <c r="E44" s="18">
        <v>0</v>
      </c>
      <c r="F44" s="18">
        <v>1</v>
      </c>
      <c r="G44" s="26">
        <f>IFERROR((Eu_a_a_x-Eu_a_a_y)/SQRT((Eu_a_a_x*Eu_a_n_x+Eu_a_a_y*Eu_a_n_y)/(Eu_a_n_x+Eu_a_n_y)*(1-(Eu_a_a_x*Eu_a_n_x+Eu_a_a_y*Eu_a_n_y)/(Eu_a_n_x+Eu_a_n_y))*(1/Eu_a_n_x+1/Eu_a_n_y)),NA())</f>
        <v>0</v>
      </c>
      <c r="H44" s="18">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18">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18" t="b">
        <f>E_a_valg[[#This Row],[Teststørrelse]]=E_a_valg[[#This Row],[Venstre teststørrelse]]</f>
        <v>1</v>
      </c>
      <c r="P44" s="18" t="b">
        <f>OR(MATCH(E_a_valg[[#This Row],[Hypotese]],HypoteseRetning_liste,0)=2,MATCH(E_a_valg[[#This Row],[Hypotese]],HypoteseRetning_liste,0)=3)</f>
        <v>1</v>
      </c>
      <c r="Q44" s="27">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4" s="18" t="b">
        <f>E_a_valg[[#This Row],[p-værdi]]&gt;1-Eu_a_konfidensniveau</f>
        <v>1</v>
      </c>
      <c r="S44" s="18">
        <f t="shared" si="7"/>
        <v>0.999</v>
      </c>
      <c r="T44"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18">
        <f>MIN(E_a_valg[[#This Row],[Teststørrelse]],E_a_valg[[#This Row],[Teststørrelse omvendt]])</f>
        <v>0</v>
      </c>
      <c r="W44"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4" s="18">
        <f>MAX(E_a_valg[[#This Row],[Teststørrelse]],E_a_valg[[#This Row],[Teststørrelse omvendt]])</f>
        <v>0</v>
      </c>
      <c r="Y44" s="27">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27">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27">
        <f>E_a_valg[[#This Row],[Mindre end højre %]]-E_a_valg[[#This Row],[Mindre end venstre %]]</f>
        <v>0</v>
      </c>
      <c r="AB44" s="27">
        <f>1-E_a_valg[[#This Row],[Mindre end venstre %]]</f>
        <v>0.5</v>
      </c>
      <c r="AC44" s="27">
        <f>1-E_a_valg[[#This Row],[Mindre end højre %]]</f>
        <v>0.5</v>
      </c>
      <c r="AD44" s="18"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18" t="str">
        <f>IF(OR(MATCH(E_a_valg[[#This Row],[Hypotese]],HypoteseRetning_liste,0)=1,MATCH(E_a_valg[[#This Row],[Hypotese]],HypoteseRetning_liste,0)=4),ROUND(E_a_valg[[#This Row],[Midt %]],5)*100&amp;"% mellem "&amp;E_a_valg[[#This Row],[Venstre label]]&amp;" og "&amp;E_a_valg[[#This Row],[Højre label]]," ")</f>
        <v xml:space="preserve"> </v>
      </c>
      <c r="AF44" s="18"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18">
        <f>IF(AND(NOT(E_a_valg[[#This Row],[Orientering]]),E_a_valg[[#This Row],[Ensidet]]),(E_a_valg[[#This Row],[Højre teststørrelse]]-E_a_valg[[#This Row],[X min]])/(E_a_valg[[#This Row],[X max]]-E_a_valg[[#This Row],[X min]]),(E_a_valg[[#This Row],[Venstre teststørrelse]]-E_a_valg[[#This Row],[X min]])/(E_a_valg[[#This Row],[X max]]-E_a_valg[[#This Row],[X min]]))</f>
        <v>0.5</v>
      </c>
      <c r="AH44" s="18">
        <f>(E_a_valg[[#This Row],[Midtpunkt teststørrelse]]-E_a_valg[[#This Row],[X min]])/(E_a_valg[[#This Row],[X max]]-E_a_valg[[#This Row],[X min]])</f>
        <v>0.5</v>
      </c>
      <c r="AI44" s="18">
        <f>IF(AND(E_a_valg[[#This Row],[Orientering]],E_a_valg[[#This Row],[Ensidet]]),(E_a_valg[[#This Row],[Venstre teststørrelse]]-E_a_valg[[#This Row],[X min]])/(E_a_valg[[#This Row],[X max]]-E_a_valg[[#This Row],[X min]]),(E_a_valg[[#This Row],[Højre teststørrelse]]-E_a_valg[[#This Row],[X min]])/(E_a_valg[[#This Row],[X max]]-E_a_valg[[#This Row],[X min]]))</f>
        <v>0.5</v>
      </c>
      <c r="AJ44" s="18" t="s">
        <v>159</v>
      </c>
      <c r="AK44" s="18">
        <f>_xlfn.AGGREGATE(3,5,E_a_valg[[#This Row],[Parameter]])</f>
        <v>1</v>
      </c>
      <c r="AL44">
        <v>2</v>
      </c>
      <c r="AM44" s="18">
        <v>39</v>
      </c>
      <c r="AN44" s="18"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mindre end 0%
kan ikke afvises med 95% konfidens</v>
      </c>
      <c r="AO44" s="18"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4" s="19" t="str">
        <f t="shared" si="8"/>
        <v>Datatypen er nominal, hvor succes er TRUE og øvrige værdier er FALSE</v>
      </c>
      <c r="AQ44" s="19" t="b">
        <f t="shared" si="9"/>
        <v>1</v>
      </c>
      <c r="AR44" s="19" t="s">
        <v>83</v>
      </c>
      <c r="AS44" s="19" t="b">
        <f>IF(NOT(OR(ISNA(Eu_a_h0_x),ISNA(Eu_a_h0_y))),Eu_a_h0_x=Eu_a_h0_y)</f>
        <v>1</v>
      </c>
      <c r="AT44" s="19" t="s">
        <v>73</v>
      </c>
      <c r="AU44" s="19" t="b">
        <f t="shared" si="10"/>
        <v>0</v>
      </c>
      <c r="AV44" s="19"/>
      <c r="AW44" s="19"/>
      <c r="AX44" s="19"/>
    </row>
    <row r="45" spans="1:50" ht="15" x14ac:dyDescent="0.2">
      <c r="A45" s="18" t="s">
        <v>2</v>
      </c>
      <c r="B45" s="18" t="s">
        <v>41</v>
      </c>
      <c r="C45" s="18" t="s">
        <v>32</v>
      </c>
      <c r="D45" s="18" t="s">
        <v>32</v>
      </c>
      <c r="E45" s="18">
        <v>0</v>
      </c>
      <c r="F45" s="18">
        <v>1</v>
      </c>
      <c r="G45" s="26">
        <f>IFERROR((Eu_a_a_x-Eu_a_a_y-(Eu_a_h0_x-Eu_a_h0_y))/SQRT(Eu_a_a_x*(1-Eu_a_a_x)/Eu_a_n_x+Eu_a_a_y*(1-Eu_a_a_y)/Eu_a_n_y),NA())</f>
        <v>0</v>
      </c>
      <c r="H45" s="18">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5" s="7">
        <f>E_a_valg[[#This Row],[Venstre teststørrelse]]*SQRT(Eu_a_a_x*(1-Eu_a_a_x)/Eu_a_n_x+Eu_a_a_y*(1-Eu_a_a_y)/Eu_a_n_y)+(Eu_a_h0_x-Eu_a_h0_y)</f>
        <v>0</v>
      </c>
      <c r="J45" s="7">
        <f>E_a_valg[[#This Row],[Midtpunkt teststørrelse]]*SQRT(Eu_a_a_x*(1-Eu_a_a_x)/Eu_a_n_x+Eu_a_a_y*(1-Eu_a_a_y)/Eu_a_n_y)+(Eu_a_h0_x-Eu_a_h0_y)</f>
        <v>0</v>
      </c>
      <c r="K45" s="7">
        <f>E_a_valg[[#This Row],[Højre teststørrelse]]*SQRT(Eu_a_a_x*(1-Eu_a_a_x)/Eu_a_n_x+Eu_a_a_y*(1-Eu_a_a_y)/Eu_a_n_y)+(Eu_a_h0_x-Eu_a_h0_y)</f>
        <v>0</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0%</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5" s="18" t="b">
        <f>E_a_valg[[#This Row],[Teststørrelse]]=E_a_valg[[#This Row],[Venstre teststørrelse]]</f>
        <v>1</v>
      </c>
      <c r="P45" s="18" t="b">
        <f>OR(MATCH(E_a_valg[[#This Row],[Hypotese]],HypoteseRetning_liste,0)=2,MATCH(E_a_valg[[#This Row],[Hypotese]],HypoteseRetning_liste,0)=3)</f>
        <v>0</v>
      </c>
      <c r="Q45" s="27">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5" s="18" t="b">
        <f>E_a_valg[[#This Row],[p-værdi]]&gt;1-Eu_a_konfidensniveau</f>
        <v>1</v>
      </c>
      <c r="S45" s="18">
        <f t="shared" si="7"/>
        <v>0.999</v>
      </c>
      <c r="T45"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18">
        <f>MIN(E_a_valg[[#This Row],[Teststørrelse]],E_a_valg[[#This Row],[Teststørrelse omvendt]])</f>
        <v>0</v>
      </c>
      <c r="W45"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5" s="18">
        <f>MAX(E_a_valg[[#This Row],[Teststørrelse]],E_a_valg[[#This Row],[Teststørrelse omvendt]])</f>
        <v>0</v>
      </c>
      <c r="Y45" s="27">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5" s="27">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5" s="27">
        <f>E_a_valg[[#This Row],[Mindre end højre %]]-E_a_valg[[#This Row],[Mindre end venstre %]]</f>
        <v>0</v>
      </c>
      <c r="AB45" s="27">
        <f>1-E_a_valg[[#This Row],[Mindre end venstre %]]</f>
        <v>0.5</v>
      </c>
      <c r="AC45" s="27">
        <f>1-E_a_valg[[#This Row],[Mindre end højre %]]</f>
        <v>0.5</v>
      </c>
      <c r="AD45" s="18"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5" s="18" t="str">
        <f>IF(OR(MATCH(E_a_valg[[#This Row],[Hypotese]],HypoteseRetning_liste,0)=1,MATCH(E_a_valg[[#This Row],[Hypotese]],HypoteseRetning_liste,0)=4),ROUND(E_a_valg[[#This Row],[Midt %]],5)*100&amp;"% mellem "&amp;E_a_valg[[#This Row],[Venstre label]]&amp;" og "&amp;E_a_valg[[#This Row],[Højre label]]," ")</f>
        <v>0% mellem 0% og 0%</v>
      </c>
      <c r="AF45" s="18"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5" s="18">
        <f>IF(AND(NOT(E_a_valg[[#This Row],[Orientering]]),E_a_valg[[#This Row],[Ensidet]]),(E_a_valg[[#This Row],[Højre teststørrelse]]-E_a_valg[[#This Row],[X min]])/(E_a_valg[[#This Row],[X max]]-E_a_valg[[#This Row],[X min]]),(E_a_valg[[#This Row],[Venstre teststørrelse]]-E_a_valg[[#This Row],[X min]])/(E_a_valg[[#This Row],[X max]]-E_a_valg[[#This Row],[X min]]))</f>
        <v>0.5</v>
      </c>
      <c r="AH45" s="18">
        <f>(E_a_valg[[#This Row],[Midtpunkt teststørrelse]]-E_a_valg[[#This Row],[X min]])/(E_a_valg[[#This Row],[X max]]-E_a_valg[[#This Row],[X min]])</f>
        <v>0.5</v>
      </c>
      <c r="AI45" s="18">
        <f>IF(AND(E_a_valg[[#This Row],[Orientering]],E_a_valg[[#This Row],[Ensidet]]),(E_a_valg[[#This Row],[Venstre teststørrelse]]-E_a_valg[[#This Row],[X min]])/(E_a_valg[[#This Row],[X max]]-E_a_valg[[#This Row],[X min]]),(E_a_valg[[#This Row],[Højre teststørrelse]]-E_a_valg[[#This Row],[X min]])/(E_a_valg[[#This Row],[X max]]-E_a_valg[[#This Row],[X min]]))</f>
        <v>0.5</v>
      </c>
      <c r="AJ45" s="18" t="s">
        <v>31</v>
      </c>
      <c r="AK45" s="18">
        <f>_xlfn.AGGREGATE(3,5,E_a_valg[[#This Row],[Parameter]])</f>
        <v>1</v>
      </c>
      <c r="AL45">
        <v>2</v>
      </c>
      <c r="AM45" s="18">
        <v>40</v>
      </c>
      <c r="AN45" s="18"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5" s="18"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5" s="19" t="str">
        <f t="shared" si="8"/>
        <v>Datatypen er nominal, hvor succes er TRUE og øvrige værdier er FALSE</v>
      </c>
      <c r="AQ45" s="19" t="b">
        <f t="shared" si="9"/>
        <v>1</v>
      </c>
      <c r="AR45" s="19" t="s">
        <v>85</v>
      </c>
      <c r="AS45" s="19" t="b">
        <f>IF(NOT(OR(ISNA(Eu_a_h0_x),ISNA(Eu_a_h0_y))),Eu_a_h0_x&lt;&gt;Eu_a_h0_y)</f>
        <v>0</v>
      </c>
      <c r="AT45" s="19" t="s">
        <v>73</v>
      </c>
      <c r="AU45" s="19" t="b">
        <f t="shared" si="10"/>
        <v>0</v>
      </c>
      <c r="AV45" s="19"/>
      <c r="AW45" s="19"/>
      <c r="AX45" s="19"/>
    </row>
    <row r="46" spans="1:50" ht="15" x14ac:dyDescent="0.2">
      <c r="A46" s="18" t="s">
        <v>2</v>
      </c>
      <c r="B46" s="18" t="s">
        <v>41</v>
      </c>
      <c r="C46" s="18" t="s">
        <v>48</v>
      </c>
      <c r="D46" s="18" t="s">
        <v>32</v>
      </c>
      <c r="E46" s="18">
        <v>0</v>
      </c>
      <c r="F46" s="18">
        <v>1</v>
      </c>
      <c r="G46" s="26">
        <f>IFERROR((Eu_a_a_x-Eu_a_a_y)/SQRT((Eu_a_a_x*Eu_a_n_x+Eu_a_a_y*Eu_a_n_y)/(Eu_a_n_x+Eu_a_n_y)*(1-(Eu_a_a_x*Eu_a_n_x+Eu_a_a_y*Eu_a_n_y)/(Eu_a_n_x+Eu_a_n_y))*(1/Eu_a_n_x+1/Eu_a_n_y)),NA())</f>
        <v>0</v>
      </c>
      <c r="H46" s="18">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18">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18" t="b">
        <f>E_a_valg[[#This Row],[Teststørrelse]]=E_a_valg[[#This Row],[Venstre teststørrelse]]</f>
        <v>1</v>
      </c>
      <c r="P46" s="18" t="b">
        <f>OR(MATCH(E_a_valg[[#This Row],[Hypotese]],HypoteseRetning_liste,0)=2,MATCH(E_a_valg[[#This Row],[Hypotese]],HypoteseRetning_liste,0)=3)</f>
        <v>0</v>
      </c>
      <c r="Q46" s="27">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6" s="18" t="b">
        <f>E_a_valg[[#This Row],[p-værdi]]&gt;1-Eu_a_konfidensniveau</f>
        <v>1</v>
      </c>
      <c r="S46" s="18">
        <f t="shared" si="7"/>
        <v>0.999</v>
      </c>
      <c r="T46" s="18">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18">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18">
        <f>MIN(E_a_valg[[#This Row],[Teststørrelse]],E_a_valg[[#This Row],[Teststørrelse omvendt]])</f>
        <v>0</v>
      </c>
      <c r="W46" s="18">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6" s="18">
        <f>MAX(E_a_valg[[#This Row],[Teststørrelse]],E_a_valg[[#This Row],[Teststørrelse omvendt]])</f>
        <v>0</v>
      </c>
      <c r="Y46" s="27">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27">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27">
        <f>E_a_valg[[#This Row],[Mindre end højre %]]-E_a_valg[[#This Row],[Mindre end venstre %]]</f>
        <v>0</v>
      </c>
      <c r="AB46" s="27">
        <f>1-E_a_valg[[#This Row],[Mindre end venstre %]]</f>
        <v>0.5</v>
      </c>
      <c r="AC46" s="27">
        <f>1-E_a_valg[[#This Row],[Mindre end højre %]]</f>
        <v>0.5</v>
      </c>
      <c r="AD46" s="18"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18" t="str">
        <f>IF(OR(MATCH(E_a_valg[[#This Row],[Hypotese]],HypoteseRetning_liste,0)=1,MATCH(E_a_valg[[#This Row],[Hypotese]],HypoteseRetning_liste,0)=4),ROUND(E_a_valg[[#This Row],[Midt %]],5)*100&amp;"% mellem "&amp;E_a_valg[[#This Row],[Venstre label]]&amp;" og "&amp;E_a_valg[[#This Row],[Højre label]]," ")</f>
        <v>0% mellem 0% og 0%</v>
      </c>
      <c r="AF46" s="18"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18">
        <f>IF(AND(NOT(E_a_valg[[#This Row],[Orientering]]),E_a_valg[[#This Row],[Ensidet]]),(E_a_valg[[#This Row],[Højre teststørrelse]]-E_a_valg[[#This Row],[X min]])/(E_a_valg[[#This Row],[X max]]-E_a_valg[[#This Row],[X min]]),(E_a_valg[[#This Row],[Venstre teststørrelse]]-E_a_valg[[#This Row],[X min]])/(E_a_valg[[#This Row],[X max]]-E_a_valg[[#This Row],[X min]]))</f>
        <v>0.5</v>
      </c>
      <c r="AH46" s="18">
        <f>(E_a_valg[[#This Row],[Midtpunkt teststørrelse]]-E_a_valg[[#This Row],[X min]])/(E_a_valg[[#This Row],[X max]]-E_a_valg[[#This Row],[X min]])</f>
        <v>0.5</v>
      </c>
      <c r="AI46" s="18">
        <f>IF(AND(E_a_valg[[#This Row],[Orientering]],E_a_valg[[#This Row],[Ensidet]]),(E_a_valg[[#This Row],[Venstre teststørrelse]]-E_a_valg[[#This Row],[X min]])/(E_a_valg[[#This Row],[X max]]-E_a_valg[[#This Row],[X min]]),(E_a_valg[[#This Row],[Højre teststørrelse]]-E_a_valg[[#This Row],[X min]])/(E_a_valg[[#This Row],[X max]]-E_a_valg[[#This Row],[X min]]))</f>
        <v>0.5</v>
      </c>
      <c r="AJ46" s="18" t="s">
        <v>31</v>
      </c>
      <c r="AK46" s="18">
        <f>_xlfn.AGGREGATE(3,5,E_a_valg[[#This Row],[Parameter]])</f>
        <v>1</v>
      </c>
      <c r="AL46">
        <v>2</v>
      </c>
      <c r="AM46" s="18">
        <v>41</v>
      </c>
      <c r="AN46" s="18"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lig med 0%
kan ikke afvises med 95% konfidens</v>
      </c>
      <c r="AO46" s="18"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6" s="19" t="str">
        <f t="shared" si="8"/>
        <v>Datatypen er nominal, hvor succes er TRUE og øvrige værdier er FALSE</v>
      </c>
      <c r="AQ46" s="19" t="b">
        <f t="shared" si="9"/>
        <v>1</v>
      </c>
      <c r="AR46" s="19" t="s">
        <v>83</v>
      </c>
      <c r="AS46" s="19" t="b">
        <f>IF(NOT(OR(ISNA(Eu_a_h0_x),ISNA(Eu_a_h0_y))),Eu_a_h0_x=Eu_a_h0_y)</f>
        <v>1</v>
      </c>
      <c r="AT46" s="19" t="s">
        <v>73</v>
      </c>
      <c r="AU46" s="19" t="b">
        <f t="shared" si="10"/>
        <v>0</v>
      </c>
      <c r="AV46" s="19"/>
      <c r="AW46" s="19"/>
      <c r="AX46" s="19"/>
    </row>
    <row r="48" spans="1:50" x14ac:dyDescent="0.2">
      <c r="A48" t="s">
        <v>42</v>
      </c>
      <c r="B48" t="s">
        <v>49</v>
      </c>
      <c r="C48" t="s">
        <v>108</v>
      </c>
      <c r="D48" t="s">
        <v>53</v>
      </c>
      <c r="E48" t="s">
        <v>147</v>
      </c>
      <c r="F48" t="s">
        <v>148</v>
      </c>
      <c r="G48" t="s">
        <v>29</v>
      </c>
      <c r="H48" t="s">
        <v>163</v>
      </c>
      <c r="I48" t="s">
        <v>185</v>
      </c>
      <c r="J48" t="s">
        <v>186</v>
      </c>
      <c r="K48" t="s">
        <v>187</v>
      </c>
      <c r="L48" t="s">
        <v>164</v>
      </c>
      <c r="M48" t="s">
        <v>161</v>
      </c>
      <c r="N48" t="s">
        <v>173</v>
      </c>
      <c r="O48" t="s">
        <v>188</v>
      </c>
      <c r="P48" t="s">
        <v>30</v>
      </c>
      <c r="Q48" t="s">
        <v>192</v>
      </c>
      <c r="R48" t="s">
        <v>191</v>
      </c>
      <c r="S48" t="s">
        <v>184</v>
      </c>
      <c r="T48" t="s">
        <v>19</v>
      </c>
      <c r="U48" t="s">
        <v>20</v>
      </c>
      <c r="V48" t="s">
        <v>166</v>
      </c>
      <c r="W48" t="s">
        <v>175</v>
      </c>
      <c r="X48" t="s">
        <v>167</v>
      </c>
      <c r="Y48" t="s">
        <v>168</v>
      </c>
      <c r="Z48" t="s">
        <v>170</v>
      </c>
      <c r="AA48" t="s">
        <v>171</v>
      </c>
      <c r="AB48" t="s">
        <v>169</v>
      </c>
      <c r="AC48" t="s">
        <v>172</v>
      </c>
      <c r="AD48" t="s">
        <v>178</v>
      </c>
      <c r="AE48" t="s">
        <v>179</v>
      </c>
      <c r="AF48" t="s">
        <v>180</v>
      </c>
      <c r="AG48" t="s">
        <v>165</v>
      </c>
      <c r="AH48" t="s">
        <v>162</v>
      </c>
      <c r="AI48" t="s">
        <v>174</v>
      </c>
      <c r="AJ48" t="s">
        <v>160</v>
      </c>
      <c r="AK48" t="s">
        <v>50</v>
      </c>
      <c r="AL48" t="s">
        <v>143</v>
      </c>
      <c r="AM48" t="s">
        <v>10</v>
      </c>
      <c r="AN48" t="s">
        <v>57</v>
      </c>
      <c r="AO48" t="s">
        <v>55</v>
      </c>
      <c r="AP48" t="s">
        <v>58</v>
      </c>
      <c r="AQ48" t="s">
        <v>75</v>
      </c>
      <c r="AR48" t="s">
        <v>59</v>
      </c>
      <c r="AS48" t="s">
        <v>76</v>
      </c>
      <c r="AT48" t="s">
        <v>63</v>
      </c>
      <c r="AU48" t="s">
        <v>79</v>
      </c>
      <c r="AV48" t="s">
        <v>68</v>
      </c>
      <c r="AW48" t="s">
        <v>90</v>
      </c>
      <c r="AX48" t="s">
        <v>203</v>
      </c>
    </row>
    <row r="49" spans="1:50" ht="16.5" x14ac:dyDescent="0.2">
      <c r="A49" s="18" t="s">
        <v>3</v>
      </c>
      <c r="B49" s="18" t="s">
        <v>21</v>
      </c>
      <c r="C49" s="18" t="s">
        <v>32</v>
      </c>
      <c r="D49" s="18" t="s">
        <v>32</v>
      </c>
      <c r="E49" s="18">
        <v>0</v>
      </c>
      <c r="F49" s="18">
        <v>1</v>
      </c>
      <c r="G49">
        <f>IF(Eu_i_i_x&gt;0,_xlfn.NORM.INV((1-Eu_i_konfidensniveau)/2,0,1),NA())</f>
        <v>-1.9599639845400536</v>
      </c>
      <c r="H49" s="18">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18" t="b">
        <f>E_i_valg[[#This Row],[Teststørrelse]]=E_i_valg[[#This Row],[Venstre teststørrelse]]</f>
        <v>1</v>
      </c>
      <c r="P49" s="18" t="b">
        <f>OR(MATCH(E_i_valg[[#This Row],[Hypotese]],HypoteseRetning_liste,0)=2,MATCH(E_i_valg[[#This Row],[Hypotese]],HypoteseRetning_liste,0)=3)</f>
        <v>0</v>
      </c>
      <c r="Q49" s="27" t="e">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#N/A</v>
      </c>
      <c r="R49" s="18" t="e">
        <f>E_i_valg[[#This Row],[p-værdi]]&gt;1-Eu_i_konfidensniveau</f>
        <v>#N/A</v>
      </c>
      <c r="S49" s="18">
        <f t="shared" ref="S49:S55" si="11">IF(Eu_i_konfidensniveau&lt;=0.998,0.999,0.99999)</f>
        <v>0.999</v>
      </c>
      <c r="T49" s="18">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18">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18">
        <f>MIN(E_i_valg[[#This Row],[Teststørrelse]],E_i_valg[[#This Row],[Teststørrelse omvendt]])</f>
        <v>-1.9599639845400536</v>
      </c>
      <c r="W49" s="18">
        <f>CHOOSE(MATCH(E_i_valg[[#This Row],[Fordeling]],Fordeling_liste,0),_xlfn.NORM.INV(0.5,E_i_valg[[#This Row],[Parameter 1]],E_i_valg[[#This Row],[Parameter 2]]),_xlfn.T.INV(0.5,E_i_valg[[#This Row],[Parameter 1]]),_xlfn.CHISQ.INV(0.5,E_i_valg[[#This Row],[Parameter 1]]),_xlfn.F.INV(0.5,E_i_valg[[#This Row],[Parameter 1]],E_i_valg[[#This Row],[Parameter 2]]))</f>
        <v>0</v>
      </c>
      <c r="X49" s="18">
        <f>MAX(E_i_valg[[#This Row],[Teststørrelse]],E_i_valg[[#This Row],[Teststørrelse omvendt]])</f>
        <v>1.9599639845400536</v>
      </c>
      <c r="Y49" s="27">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27">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27">
        <f>E_i_valg[[#This Row],[Mindre end højre %]]-E_i_valg[[#This Row],[Mindre end venstre %]]</f>
        <v>0.95</v>
      </c>
      <c r="AB49" s="27">
        <f>1-E_i_valg[[#This Row],[Mindre end venstre %]]</f>
        <v>0.97499999999999998</v>
      </c>
      <c r="AC49" s="27">
        <f>1-E_i_valg[[#This Row],[Mindre end højre %]]</f>
        <v>2.5000000000000022E-2</v>
      </c>
      <c r="AD49" s="18"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18" t="str">
        <f>IF(OR(MATCH(E_i_valg[[#This Row],[Hypotese]],HypoteseRetning_liste,0)=1,MATCH(E_i_valg[[#This Row],[Hypotese]],HypoteseRetning_liste,0)=4),ROUND(E_i_valg[[#This Row],[Midt %]],5)*100&amp;"% mellem "&amp;E_i_valg[[#This Row],[Venstre label]]&amp;" og "&amp;E_i_valg[[#This Row],[Højre label]]," ")</f>
        <v>95% mellem 1.084 og 2.624</v>
      </c>
      <c r="AF49" s="18"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18">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18">
        <f>(E_i_valg[[#This Row],[Midtpunkt teststørrelse]]-E_i_valg[[#This Row],[X min]])/(E_i_valg[[#This Row],[X max]]-E_i_valg[[#This Row],[X min]])</f>
        <v>0.5</v>
      </c>
      <c r="AI49" s="18">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18" t="s">
        <v>21</v>
      </c>
      <c r="AK49" s="18">
        <f>_xlfn.AGGREGATE(3,5,E_i_valg[[#This Row],[Parameter]])</f>
        <v>1</v>
      </c>
      <c r="AL49">
        <v>1</v>
      </c>
      <c r="AM49" s="18">
        <v>42</v>
      </c>
      <c r="AN49" s="18" t="str">
        <f>IF(E_i_valg[[#This Row],[Kontrol af forudsætning 1]],Eu_i_konfidensniveau*100&amp;"% Konfidensinterval for intensitet
af "&amp;Eu_i_t_x,"Kan ikke beregne konfidensinterval for intensitet")</f>
        <v>95% Konfidensinterval for intensitet
af Eksempel 1 (interval)</v>
      </c>
      <c r="AO49" s="18"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19" t="s">
        <v>64</v>
      </c>
      <c r="AQ49" s="19" t="b">
        <f>NOT(ISNA(Eu_i_i_x))</f>
        <v>1</v>
      </c>
      <c r="AR49" s="19"/>
      <c r="AS49" s="19"/>
      <c r="AT49" s="19" t="s">
        <v>66</v>
      </c>
      <c r="AU49" s="19" t="b">
        <f>IFERROR(Eu_i_n_x*Eu_i_i_x&gt;9,FALSE)</f>
        <v>1</v>
      </c>
      <c r="AV49" s="19"/>
      <c r="AW49" s="19"/>
      <c r="AX49" s="19">
        <f>ROUNDUP(_xlfn.NORM.INV(1-(1-(Eu_i_konfidensniveau))/2,0,1)^2*Eu_i_i_x/Eu_i_ønsket_fejlmargin^2,0)</f>
        <v>8</v>
      </c>
    </row>
    <row r="50" spans="1:50" ht="16.5" x14ac:dyDescent="0.2">
      <c r="A50" s="18" t="s">
        <v>3</v>
      </c>
      <c r="B50" s="18" t="s">
        <v>36</v>
      </c>
      <c r="C50" s="18" t="s">
        <v>32</v>
      </c>
      <c r="D50" s="18" t="s">
        <v>32</v>
      </c>
      <c r="E50" s="18">
        <v>0</v>
      </c>
      <c r="F50" s="18">
        <v>1</v>
      </c>
      <c r="G50">
        <f>IFERROR((Eu_i_i_x-Eu_i_h0_x)/SQRT(Eu_i_h0_x/Eu_i_n_x),NA())</f>
        <v>2.9583580848404529</v>
      </c>
      <c r="H50" s="18">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18" t="b">
        <f>E_i_valg[[#This Row],[Teststørrelse]]=E_i_valg[[#This Row],[Venstre teststørrelse]]</f>
        <v>0</v>
      </c>
      <c r="P50" s="18" t="b">
        <f>OR(MATCH(E_i_valg[[#This Row],[Hypotese]],HypoteseRetning_liste,0)=2,MATCH(E_i_valg[[#This Row],[Hypotese]],HypoteseRetning_liste,0)=3)</f>
        <v>1</v>
      </c>
      <c r="Q50" s="27">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0.99845358692151742</v>
      </c>
      <c r="R50" s="18" t="b">
        <f>E_i_valg[[#This Row],[p-værdi]]&gt;1-Eu_i_konfidensniveau</f>
        <v>1</v>
      </c>
      <c r="S50" s="18">
        <f t="shared" si="11"/>
        <v>0.999</v>
      </c>
      <c r="T50" s="18">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18">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18">
        <f>MIN(E_i_valg[[#This Row],[Teststørrelse]],E_i_valg[[#This Row],[Teststørrelse omvendt]])</f>
        <v>-2.9583580848404529</v>
      </c>
      <c r="W50" s="18">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0" s="18">
        <f>MAX(E_i_valg[[#This Row],[Teststørrelse]],E_i_valg[[#This Row],[Teststørrelse omvendt]])</f>
        <v>2.9583580848404529</v>
      </c>
      <c r="Y50" s="27">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27">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27">
        <f>E_i_valg[[#This Row],[Mindre end højre %]]-E_i_valg[[#This Row],[Mindre end venstre %]]</f>
        <v>0.99690717384303484</v>
      </c>
      <c r="AB50" s="27">
        <f>1-E_i_valg[[#This Row],[Mindre end venstre %]]</f>
        <v>0.99845358692151742</v>
      </c>
      <c r="AC50" s="27">
        <f>1-E_i_valg[[#This Row],[Mindre end højre %]]</f>
        <v>1.546413078482578E-3</v>
      </c>
      <c r="AD50" s="18"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18" t="str">
        <f>IF(OR(MATCH(E_i_valg[[#This Row],[Hypotese]],HypoteseRetning_liste,0)=1,MATCH(E_i_valg[[#This Row],[Hypotese]],HypoteseRetning_liste,0)=4),ROUND(E_i_valg[[#This Row],[Midt %]],5)*100&amp;"% mellem "&amp;E_i_valg[[#This Row],[Venstre label]]&amp;" og "&amp;E_i_valg[[#This Row],[Højre label]]," ")</f>
        <v xml:space="preserve"> </v>
      </c>
      <c r="AF50" s="18"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18">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18">
        <f>(E_i_valg[[#This Row],[Midtpunkt teststørrelse]]-E_i_valg[[#This Row],[X min]])/(E_i_valg[[#This Row],[X max]]-E_i_valg[[#This Row],[X min]])</f>
        <v>0.5</v>
      </c>
      <c r="AI50" s="18">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18" t="s">
        <v>158</v>
      </c>
      <c r="AK50" s="18">
        <f>_xlfn.AGGREGATE(3,5,E_i_valg[[#This Row],[Parameter]])</f>
        <v>1</v>
      </c>
      <c r="AL50">
        <v>1</v>
      </c>
      <c r="AM50" s="18">
        <v>43</v>
      </c>
      <c r="AN50" s="18"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18" t="str">
        <f>"Intensitet i stikprøver af størrelsen n = "&amp;Eu_i_n_x&amp;"
fra en population med intensitet = "&amp;IFERROR(ROUND(Eu_i_h0_x,3),"Hypotese ikke angivet")</f>
        <v>Intensitet i stikprøver af størrelsen n = 12
fra en population med intensitet = 1</v>
      </c>
      <c r="AP50" s="19" t="s">
        <v>64</v>
      </c>
      <c r="AQ50" s="19" t="b">
        <f>NOT(ISNA(Eu_i_i_x))</f>
        <v>1</v>
      </c>
      <c r="AR50" s="19" t="s">
        <v>84</v>
      </c>
      <c r="AS50" s="19" t="b">
        <f>NOT(ISNA(Eu_i_h0_x))</f>
        <v>1</v>
      </c>
      <c r="AT50" s="19" t="s">
        <v>66</v>
      </c>
      <c r="AU50" s="19" t="b">
        <f>IFERROR(Eu_i_n_x*Eu_i_i_x&gt;9,FALSE)</f>
        <v>1</v>
      </c>
      <c r="AV50" s="19"/>
      <c r="AW50" s="19"/>
      <c r="AX50" s="19"/>
    </row>
    <row r="51" spans="1:50" ht="16.5" x14ac:dyDescent="0.2">
      <c r="A51" s="18" t="s">
        <v>3</v>
      </c>
      <c r="B51" s="18" t="s">
        <v>37</v>
      </c>
      <c r="C51" s="18" t="s">
        <v>32</v>
      </c>
      <c r="D51" s="18" t="s">
        <v>32</v>
      </c>
      <c r="E51" s="18">
        <v>0</v>
      </c>
      <c r="F51" s="18">
        <v>1</v>
      </c>
      <c r="G51">
        <f>IFERROR((Eu_i_i_x-Eu_i_h0_x)/SQRT(Eu_i_h0_x/Eu_i_n_x),NA())</f>
        <v>2.9583580848404529</v>
      </c>
      <c r="H51" s="18">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18" t="b">
        <f>E_i_valg[[#This Row],[Teststørrelse]]=E_i_valg[[#This Row],[Venstre teststørrelse]]</f>
        <v>0</v>
      </c>
      <c r="P51" s="18" t="b">
        <f>OR(MATCH(E_i_valg[[#This Row],[Hypotese]],HypoteseRetning_liste,0)=2,MATCH(E_i_valg[[#This Row],[Hypotese]],HypoteseRetning_liste,0)=3)</f>
        <v>1</v>
      </c>
      <c r="Q51" s="27">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1.546413078482578E-3</v>
      </c>
      <c r="R51" s="18" t="b">
        <f>E_i_valg[[#This Row],[p-værdi]]&gt;1-Eu_i_konfidensniveau</f>
        <v>0</v>
      </c>
      <c r="S51" s="18">
        <f t="shared" si="11"/>
        <v>0.999</v>
      </c>
      <c r="T51" s="18">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18">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18">
        <f>MIN(E_i_valg[[#This Row],[Teststørrelse]],E_i_valg[[#This Row],[Teststørrelse omvendt]])</f>
        <v>-2.9583580848404529</v>
      </c>
      <c r="W51" s="18">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1" s="18">
        <f>MAX(E_i_valg[[#This Row],[Teststørrelse]],E_i_valg[[#This Row],[Teststørrelse omvendt]])</f>
        <v>2.9583580848404529</v>
      </c>
      <c r="Y51" s="27">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27">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27">
        <f>E_i_valg[[#This Row],[Mindre end højre %]]-E_i_valg[[#This Row],[Mindre end venstre %]]</f>
        <v>0.99690717384303484</v>
      </c>
      <c r="AB51" s="27">
        <f>1-E_i_valg[[#This Row],[Mindre end venstre %]]</f>
        <v>0.99845358692151742</v>
      </c>
      <c r="AC51" s="27">
        <f>1-E_i_valg[[#This Row],[Mindre end højre %]]</f>
        <v>1.546413078482578E-3</v>
      </c>
      <c r="AD51" s="18"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18" t="str">
        <f>IF(OR(MATCH(E_i_valg[[#This Row],[Hypotese]],HypoteseRetning_liste,0)=1,MATCH(E_i_valg[[#This Row],[Hypotese]],HypoteseRetning_liste,0)=4),ROUND(E_i_valg[[#This Row],[Midt %]],5)*100&amp;"% mellem "&amp;E_i_valg[[#This Row],[Venstre label]]&amp;" og "&amp;E_i_valg[[#This Row],[Højre label]]," ")</f>
        <v xml:space="preserve"> </v>
      </c>
      <c r="AF51" s="18"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18">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18">
        <f>(E_i_valg[[#This Row],[Midtpunkt teststørrelse]]-E_i_valg[[#This Row],[X min]])/(E_i_valg[[#This Row],[X max]]-E_i_valg[[#This Row],[X min]])</f>
        <v>0.5</v>
      </c>
      <c r="AI51" s="18">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18" t="s">
        <v>159</v>
      </c>
      <c r="AK51" s="18">
        <f>_xlfn.AGGREGATE(3,5,E_i_valg[[#This Row],[Parameter]])</f>
        <v>1</v>
      </c>
      <c r="AL51">
        <v>1</v>
      </c>
      <c r="AM51" s="18">
        <v>44</v>
      </c>
      <c r="AN51" s="18"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18" t="str">
        <f>"Intensitet i stikprøver af størrelsen n = "&amp;Eu_i_n_x&amp;"
fra en population med intensitet = "&amp;IFERROR(ROUND(Eu_i_h0_x,3),"Hypotese ikke angivet")</f>
        <v>Intensitet i stikprøver af størrelsen n = 12
fra en population med intensitet = 1</v>
      </c>
      <c r="AP51" s="19" t="s">
        <v>64</v>
      </c>
      <c r="AQ51" s="19" t="b">
        <f>NOT(ISNA(Eu_i_i_x))</f>
        <v>1</v>
      </c>
      <c r="AR51" s="19" t="s">
        <v>84</v>
      </c>
      <c r="AS51" s="19" t="b">
        <f>NOT(ISNA(Eu_i_h0_x))</f>
        <v>1</v>
      </c>
      <c r="AT51" s="19" t="s">
        <v>66</v>
      </c>
      <c r="AU51" s="19" t="b">
        <f>IFERROR(Eu_i_n_x*Eu_i_i_x&gt;9,FALSE)</f>
        <v>1</v>
      </c>
      <c r="AV51" s="19"/>
      <c r="AW51" s="19"/>
      <c r="AX51" s="19"/>
    </row>
    <row r="52" spans="1:50" ht="16.5" x14ac:dyDescent="0.2">
      <c r="A52" s="18" t="s">
        <v>3</v>
      </c>
      <c r="B52" s="18" t="s">
        <v>38</v>
      </c>
      <c r="C52" s="18" t="s">
        <v>32</v>
      </c>
      <c r="D52" s="18" t="s">
        <v>32</v>
      </c>
      <c r="E52" s="18">
        <v>0</v>
      </c>
      <c r="F52" s="18">
        <v>1</v>
      </c>
      <c r="G52">
        <f>IFERROR((Eu_i_i_x-Eu_i_h0_x)/SQRT(Eu_i_h0_x/Eu_i_n_x),NA())</f>
        <v>2.9583580848404529</v>
      </c>
      <c r="H52" s="18">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18" t="b">
        <f>E_i_valg[[#This Row],[Teststørrelse]]=E_i_valg[[#This Row],[Venstre teststørrelse]]</f>
        <v>0</v>
      </c>
      <c r="P52" s="18" t="b">
        <f>OR(MATCH(E_i_valg[[#This Row],[Hypotese]],HypoteseRetning_liste,0)=2,MATCH(E_i_valg[[#This Row],[Hypotese]],HypoteseRetning_liste,0)=3)</f>
        <v>0</v>
      </c>
      <c r="Q52" s="27">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3.0928261569651561E-3</v>
      </c>
      <c r="R52" s="18" t="b">
        <f>E_i_valg[[#This Row],[p-værdi]]&gt;1-Eu_i_konfidensniveau</f>
        <v>0</v>
      </c>
      <c r="S52" s="18">
        <f t="shared" si="11"/>
        <v>0.999</v>
      </c>
      <c r="T52" s="18">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18">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18">
        <f>MIN(E_i_valg[[#This Row],[Teststørrelse]],E_i_valg[[#This Row],[Teststørrelse omvendt]])</f>
        <v>-2.9583580848404529</v>
      </c>
      <c r="W52" s="18">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2" s="18">
        <f>MAX(E_i_valg[[#This Row],[Teststørrelse]],E_i_valg[[#This Row],[Teststørrelse omvendt]])</f>
        <v>2.9583580848404529</v>
      </c>
      <c r="Y52" s="27">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27">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27">
        <f>E_i_valg[[#This Row],[Mindre end højre %]]-E_i_valg[[#This Row],[Mindre end venstre %]]</f>
        <v>0.99690717384303484</v>
      </c>
      <c r="AB52" s="27">
        <f>1-E_i_valg[[#This Row],[Mindre end venstre %]]</f>
        <v>0.99845358692151742</v>
      </c>
      <c r="AC52" s="27">
        <f>1-E_i_valg[[#This Row],[Mindre end højre %]]</f>
        <v>1.546413078482578E-3</v>
      </c>
      <c r="AD52" s="18"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18" t="str">
        <f>IF(OR(MATCH(E_i_valg[[#This Row],[Hypotese]],HypoteseRetning_liste,0)=1,MATCH(E_i_valg[[#This Row],[Hypotese]],HypoteseRetning_liste,0)=4),ROUND(E_i_valg[[#This Row],[Midt %]],5)*100&amp;"% mellem "&amp;E_i_valg[[#This Row],[Venstre label]]&amp;" og "&amp;E_i_valg[[#This Row],[Højre label]]," ")</f>
        <v>99.691% mellem 0.146 og 1.854</v>
      </c>
      <c r="AF52" s="18"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18">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18">
        <f>(E_i_valg[[#This Row],[Midtpunkt teststørrelse]]-E_i_valg[[#This Row],[X min]])/(E_i_valg[[#This Row],[X max]]-E_i_valg[[#This Row],[X min]])</f>
        <v>0.5</v>
      </c>
      <c r="AI52" s="18">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18" t="s">
        <v>31</v>
      </c>
      <c r="AK52" s="18">
        <f>_xlfn.AGGREGATE(3,5,E_i_valg[[#This Row],[Parameter]])</f>
        <v>1</v>
      </c>
      <c r="AL52">
        <v>1</v>
      </c>
      <c r="AM52" s="18">
        <v>45</v>
      </c>
      <c r="AN52" s="18"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18" t="str">
        <f>"Intensitet i stikprøver af størrelsen n = "&amp;Eu_i_n_x&amp;"
fra en population med intensitet = "&amp;IFERROR(ROUND(Eu_i_h0_x,3),"Hypotese ikke angivet")</f>
        <v>Intensitet i stikprøver af størrelsen n = 12
fra en population med intensitet = 1</v>
      </c>
      <c r="AP52" s="19" t="s">
        <v>64</v>
      </c>
      <c r="AQ52" s="19" t="b">
        <f>NOT(ISNA(Eu_i_i_x))</f>
        <v>1</v>
      </c>
      <c r="AR52" s="19" t="s">
        <v>84</v>
      </c>
      <c r="AS52" s="19" t="b">
        <f>NOT(ISNA(Eu_i_h0_x))</f>
        <v>1</v>
      </c>
      <c r="AT52" s="19" t="s">
        <v>66</v>
      </c>
      <c r="AU52" s="19" t="b">
        <f>IFERROR(Eu_i_n_x*Eu_i_i_x&gt;9,FALSE)</f>
        <v>1</v>
      </c>
      <c r="AV52" s="19"/>
      <c r="AW52" s="19"/>
      <c r="AX52" s="19"/>
    </row>
    <row r="53" spans="1:50" ht="16.5" x14ac:dyDescent="0.2">
      <c r="A53" s="18" t="s">
        <v>3</v>
      </c>
      <c r="B53" s="18" t="s">
        <v>39</v>
      </c>
      <c r="C53" s="18" t="s">
        <v>32</v>
      </c>
      <c r="D53" s="18" t="s">
        <v>32</v>
      </c>
      <c r="E53" s="18">
        <v>0</v>
      </c>
      <c r="F53" s="18">
        <v>1</v>
      </c>
      <c r="G53">
        <f>IFERROR((Eu_i_i_x-Eu_i_i_y)/SQRT(Eu_i_i_x/Eu_i_n_x+Eu_i_i_y/Eu_i_n_y),NA())</f>
        <v>-2.2839268503653543</v>
      </c>
      <c r="H53" s="18">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18">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18" t="b">
        <f>E_i_valg[[#This Row],[Teststørrelse]]=E_i_valg[[#This Row],[Venstre teststørrelse]]</f>
        <v>1</v>
      </c>
      <c r="P53" s="18" t="b">
        <f>OR(MATCH(E_i_valg[[#This Row],[Hypotese]],HypoteseRetning_liste,0)=2,MATCH(E_i_valg[[#This Row],[Hypotese]],HypoteseRetning_liste,0)=3)</f>
        <v>1</v>
      </c>
      <c r="Q53" s="27">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1.1187915163413267E-2</v>
      </c>
      <c r="R53" s="18" t="b">
        <f>E_i_valg[[#This Row],[p-værdi]]&gt;1-Eu_i_konfidensniveau</f>
        <v>0</v>
      </c>
      <c r="S53" s="18">
        <f t="shared" si="11"/>
        <v>0.999</v>
      </c>
      <c r="T53" s="18">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18">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18">
        <f>MIN(E_i_valg[[#This Row],[Teststørrelse]],E_i_valg[[#This Row],[Teststørrelse omvendt]])</f>
        <v>-2.2839268503653543</v>
      </c>
      <c r="W53" s="18">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3" s="18">
        <f>MAX(E_i_valg[[#This Row],[Teststørrelse]],E_i_valg[[#This Row],[Teststørrelse omvendt]])</f>
        <v>2.2839268503653543</v>
      </c>
      <c r="Y53" s="27">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27">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27">
        <f>E_i_valg[[#This Row],[Mindre end højre %]]-E_i_valg[[#This Row],[Mindre end venstre %]]</f>
        <v>0.97762416967317356</v>
      </c>
      <c r="AB53" s="27">
        <f>1-E_i_valg[[#This Row],[Mindre end venstre %]]</f>
        <v>0.98881208483658678</v>
      </c>
      <c r="AC53" s="27">
        <f>1-E_i_valg[[#This Row],[Mindre end højre %]]</f>
        <v>1.118791516341322E-2</v>
      </c>
      <c r="AD53" s="18"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18" t="str">
        <f>IF(OR(MATCH(E_i_valg[[#This Row],[Hypotese]],HypoteseRetning_liste,0)=1,MATCH(E_i_valg[[#This Row],[Hypotese]],HypoteseRetning_liste,0)=4),ROUND(E_i_valg[[#This Row],[Midt %]],5)*100&amp;"% mellem "&amp;E_i_valg[[#This Row],[Venstre label]]&amp;" og "&amp;E_i_valg[[#This Row],[Højre label]]," ")</f>
        <v xml:space="preserve"> </v>
      </c>
      <c r="AF53" s="18"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18">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18">
        <f>(E_i_valg[[#This Row],[Midtpunkt teststørrelse]]-E_i_valg[[#This Row],[X min]])/(E_i_valg[[#This Row],[X max]]-E_i_valg[[#This Row],[X min]])</f>
        <v>0.5</v>
      </c>
      <c r="AI53" s="18">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18" t="s">
        <v>158</v>
      </c>
      <c r="AK53" s="18">
        <f>_xlfn.AGGREGATE(3,5,E_i_valg[[#This Row],[Parameter]])</f>
        <v>1</v>
      </c>
      <c r="AL53">
        <v>2</v>
      </c>
      <c r="AM53" s="18">
        <v>46</v>
      </c>
      <c r="AN53" s="18"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18"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19" t="s">
        <v>64</v>
      </c>
      <c r="AQ53" s="19" t="b">
        <f>NOT(OR(ISNA(Eu_i_i_x),ISNA(Eu_i_i_y)))</f>
        <v>1</v>
      </c>
      <c r="AR53" s="19"/>
      <c r="AS53" s="19"/>
      <c r="AT53" s="19" t="s">
        <v>74</v>
      </c>
      <c r="AU53" s="19" t="b">
        <f>IFERROR(AND(Eu_i_n_x*Eu_i_i_x&gt;9,Eu_i_n_y*Eu_i_i_y&gt;9),FALSE)</f>
        <v>1</v>
      </c>
      <c r="AV53" s="19"/>
      <c r="AW53" s="19"/>
      <c r="AX53" s="19"/>
    </row>
    <row r="54" spans="1:50" ht="16.5" x14ac:dyDescent="0.2">
      <c r="A54" s="18" t="s">
        <v>3</v>
      </c>
      <c r="B54" s="18" t="s">
        <v>40</v>
      </c>
      <c r="C54" s="18" t="s">
        <v>32</v>
      </c>
      <c r="D54" s="18" t="s">
        <v>32</v>
      </c>
      <c r="E54" s="18">
        <v>0</v>
      </c>
      <c r="F54" s="18">
        <v>1</v>
      </c>
      <c r="G54">
        <f>IFERROR((Eu_i_i_x-Eu_i_i_y)/SQRT(Eu_i_i_x/Eu_i_n_x+Eu_i_i_y/Eu_i_n_y),NA())</f>
        <v>-2.2839268503653543</v>
      </c>
      <c r="H54" s="18">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18">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18" t="b">
        <f>E_i_valg[[#This Row],[Teststørrelse]]=E_i_valg[[#This Row],[Venstre teststørrelse]]</f>
        <v>1</v>
      </c>
      <c r="P54" s="18" t="b">
        <f>OR(MATCH(E_i_valg[[#This Row],[Hypotese]],HypoteseRetning_liste,0)=2,MATCH(E_i_valg[[#This Row],[Hypotese]],HypoteseRetning_liste,0)=3)</f>
        <v>1</v>
      </c>
      <c r="Q54" s="27">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0.98881208483658678</v>
      </c>
      <c r="R54" s="18" t="b">
        <f>E_i_valg[[#This Row],[p-værdi]]&gt;1-Eu_i_konfidensniveau</f>
        <v>1</v>
      </c>
      <c r="S54" s="18">
        <f t="shared" si="11"/>
        <v>0.999</v>
      </c>
      <c r="T54" s="18">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18">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18">
        <f>MIN(E_i_valg[[#This Row],[Teststørrelse]],E_i_valg[[#This Row],[Teststørrelse omvendt]])</f>
        <v>-2.2839268503653543</v>
      </c>
      <c r="W54" s="18">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4" s="18">
        <f>MAX(E_i_valg[[#This Row],[Teststørrelse]],E_i_valg[[#This Row],[Teststørrelse omvendt]])</f>
        <v>2.2839268503653543</v>
      </c>
      <c r="Y54" s="27">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27">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27">
        <f>E_i_valg[[#This Row],[Mindre end højre %]]-E_i_valg[[#This Row],[Mindre end venstre %]]</f>
        <v>0.97762416967317356</v>
      </c>
      <c r="AB54" s="27">
        <f>1-E_i_valg[[#This Row],[Mindre end venstre %]]</f>
        <v>0.98881208483658678</v>
      </c>
      <c r="AC54" s="27">
        <f>1-E_i_valg[[#This Row],[Mindre end højre %]]</f>
        <v>1.118791516341322E-2</v>
      </c>
      <c r="AD54" s="18"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18" t="str">
        <f>IF(OR(MATCH(E_i_valg[[#This Row],[Hypotese]],HypoteseRetning_liste,0)=1,MATCH(E_i_valg[[#This Row],[Hypotese]],HypoteseRetning_liste,0)=4),ROUND(E_i_valg[[#This Row],[Midt %]],5)*100&amp;"% mellem "&amp;E_i_valg[[#This Row],[Venstre label]]&amp;" og "&amp;E_i_valg[[#This Row],[Højre label]]," ")</f>
        <v xml:space="preserve"> </v>
      </c>
      <c r="AF54" s="18"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18">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18">
        <f>(E_i_valg[[#This Row],[Midtpunkt teststørrelse]]-E_i_valg[[#This Row],[X min]])/(E_i_valg[[#This Row],[X max]]-E_i_valg[[#This Row],[X min]])</f>
        <v>0.5</v>
      </c>
      <c r="AI54" s="18">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18" t="s">
        <v>159</v>
      </c>
      <c r="AK54" s="18">
        <f>_xlfn.AGGREGATE(3,5,E_i_valg[[#This Row],[Parameter]])</f>
        <v>1</v>
      </c>
      <c r="AL54">
        <v>2</v>
      </c>
      <c r="AM54" s="18">
        <v>47</v>
      </c>
      <c r="AN54" s="18"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18"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19" t="s">
        <v>64</v>
      </c>
      <c r="AQ54" s="19" t="b">
        <f>NOT(OR(ISNA(Eu_i_i_x),ISNA(Eu_i_i_y)))</f>
        <v>1</v>
      </c>
      <c r="AR54" s="19"/>
      <c r="AS54" s="19"/>
      <c r="AT54" s="19" t="s">
        <v>74</v>
      </c>
      <c r="AU54" s="19" t="b">
        <f>IFERROR(AND(Eu_i_n_x*Eu_i_i_x&gt;9,Eu_i_n_y*Eu_i_i_y&gt;9),FALSE)</f>
        <v>1</v>
      </c>
      <c r="AV54" s="19"/>
      <c r="AW54" s="19"/>
      <c r="AX54" s="19"/>
    </row>
    <row r="55" spans="1:50" ht="16.5" x14ac:dyDescent="0.2">
      <c r="A55" s="18" t="s">
        <v>3</v>
      </c>
      <c r="B55" s="18" t="s">
        <v>41</v>
      </c>
      <c r="C55" s="18" t="s">
        <v>32</v>
      </c>
      <c r="D55" s="18" t="s">
        <v>32</v>
      </c>
      <c r="E55" s="18">
        <v>0</v>
      </c>
      <c r="F55" s="18">
        <v>1</v>
      </c>
      <c r="G55">
        <f>IFERROR((Eu_i_i_x-Eu_i_i_y)/SQRT(Eu_i_i_x/Eu_i_n_x+Eu_i_i_y/Eu_i_n_y),NA())</f>
        <v>-2.2839268503653543</v>
      </c>
      <c r="H55" s="18">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18">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18" t="b">
        <f>E_i_valg[[#This Row],[Teststørrelse]]=E_i_valg[[#This Row],[Venstre teststørrelse]]</f>
        <v>1</v>
      </c>
      <c r="P55" s="18" t="b">
        <f>OR(MATCH(E_i_valg[[#This Row],[Hypotese]],HypoteseRetning_liste,0)=2,MATCH(E_i_valg[[#This Row],[Hypotese]],HypoteseRetning_liste,0)=3)</f>
        <v>0</v>
      </c>
      <c r="Q55" s="27">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2.237583032682644E-2</v>
      </c>
      <c r="R55" s="18" t="b">
        <f>E_i_valg[[#This Row],[p-værdi]]&gt;1-Eu_i_konfidensniveau</f>
        <v>0</v>
      </c>
      <c r="S55" s="18">
        <f t="shared" si="11"/>
        <v>0.999</v>
      </c>
      <c r="T55" s="18">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18">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18">
        <f>MIN(E_i_valg[[#This Row],[Teststørrelse]],E_i_valg[[#This Row],[Teststørrelse omvendt]])</f>
        <v>-2.2839268503653543</v>
      </c>
      <c r="W55" s="18">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5" s="18">
        <f>MAX(E_i_valg[[#This Row],[Teststørrelse]],E_i_valg[[#This Row],[Teststørrelse omvendt]])</f>
        <v>2.2839268503653543</v>
      </c>
      <c r="Y55" s="27">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27">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27">
        <f>E_i_valg[[#This Row],[Mindre end højre %]]-E_i_valg[[#This Row],[Mindre end venstre %]]</f>
        <v>0.97762416967317356</v>
      </c>
      <c r="AB55" s="27">
        <f>1-E_i_valg[[#This Row],[Mindre end venstre %]]</f>
        <v>0.98881208483658678</v>
      </c>
      <c r="AC55" s="27">
        <f>1-E_i_valg[[#This Row],[Mindre end højre %]]</f>
        <v>1.118791516341322E-2</v>
      </c>
      <c r="AD55" s="18"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18" t="str">
        <f>IF(OR(MATCH(E_i_valg[[#This Row],[Hypotese]],HypoteseRetning_liste,0)=1,MATCH(E_i_valg[[#This Row],[Hypotese]],HypoteseRetning_liste,0)=4),ROUND(E_i_valg[[#This Row],[Midt %]],5)*100&amp;"% mellem "&amp;E_i_valg[[#This Row],[Venstre label]]&amp;" og "&amp;E_i_valg[[#This Row],[Højre label]]," ")</f>
        <v>97.762% mellem -1.505 og 1.505</v>
      </c>
      <c r="AF55" s="18"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18">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18">
        <f>(E_i_valg[[#This Row],[Midtpunkt teststørrelse]]-E_i_valg[[#This Row],[X min]])/(E_i_valg[[#This Row],[X max]]-E_i_valg[[#This Row],[X min]])</f>
        <v>0.5</v>
      </c>
      <c r="AI55" s="18">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18" t="s">
        <v>31</v>
      </c>
      <c r="AK55" s="18">
        <f>_xlfn.AGGREGATE(3,5,E_i_valg[[#This Row],[Parameter]])</f>
        <v>1</v>
      </c>
      <c r="AL55">
        <v>2</v>
      </c>
      <c r="AM55" s="18">
        <v>48</v>
      </c>
      <c r="AN55" s="18"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18"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19" t="s">
        <v>64</v>
      </c>
      <c r="AQ55" s="19" t="b">
        <f>NOT(OR(ISNA(Eu_i_i_x),ISNA(Eu_i_i_y)))</f>
        <v>1</v>
      </c>
      <c r="AR55" s="19"/>
      <c r="AS55" s="19"/>
      <c r="AT55" s="19" t="s">
        <v>74</v>
      </c>
      <c r="AU55" s="19" t="b">
        <f>IFERROR(AND(Eu_i_n_x*Eu_i_i_x&gt;9,Eu_i_n_y*Eu_i_i_y&gt;9),FALSE)</f>
        <v>1</v>
      </c>
      <c r="AV55" s="19"/>
      <c r="AW55" s="19"/>
      <c r="AX55" s="19"/>
    </row>
    <row r="57" spans="1:50" x14ac:dyDescent="0.2">
      <c r="A57" s="61" t="s">
        <v>42</v>
      </c>
      <c r="B57" s="61" t="s">
        <v>49</v>
      </c>
      <c r="C57" s="61" t="s">
        <v>108</v>
      </c>
      <c r="D57" s="61" t="s">
        <v>53</v>
      </c>
      <c r="E57" s="61" t="s">
        <v>147</v>
      </c>
      <c r="F57" s="61" t="s">
        <v>148</v>
      </c>
      <c r="G57" s="61" t="s">
        <v>29</v>
      </c>
      <c r="H57" s="61" t="s">
        <v>163</v>
      </c>
      <c r="I57" s="61" t="s">
        <v>185</v>
      </c>
      <c r="J57" s="61" t="s">
        <v>186</v>
      </c>
      <c r="K57" s="61" t="s">
        <v>187</v>
      </c>
      <c r="L57" s="61" t="s">
        <v>164</v>
      </c>
      <c r="M57" s="61" t="s">
        <v>161</v>
      </c>
      <c r="N57" s="61" t="s">
        <v>173</v>
      </c>
      <c r="O57" s="61" t="s">
        <v>188</v>
      </c>
      <c r="P57" s="61" t="s">
        <v>30</v>
      </c>
      <c r="Q57" s="61" t="s">
        <v>192</v>
      </c>
      <c r="R57" s="61" t="s">
        <v>191</v>
      </c>
      <c r="S57" s="61" t="s">
        <v>184</v>
      </c>
      <c r="T57" s="61" t="s">
        <v>19</v>
      </c>
      <c r="U57" s="61" t="s">
        <v>20</v>
      </c>
      <c r="V57" s="61" t="s">
        <v>166</v>
      </c>
      <c r="W57" s="61" t="s">
        <v>175</v>
      </c>
      <c r="X57" s="61" t="s">
        <v>167</v>
      </c>
      <c r="Y57" s="61" t="s">
        <v>168</v>
      </c>
      <c r="Z57" s="61" t="s">
        <v>170</v>
      </c>
      <c r="AA57" s="61" t="s">
        <v>171</v>
      </c>
      <c r="AB57" s="61" t="s">
        <v>169</v>
      </c>
      <c r="AC57" s="61" t="s">
        <v>172</v>
      </c>
      <c r="AD57" s="61" t="s">
        <v>178</v>
      </c>
      <c r="AE57" s="61" t="s">
        <v>179</v>
      </c>
      <c r="AF57" s="61" t="s">
        <v>180</v>
      </c>
      <c r="AG57" s="61" t="s">
        <v>165</v>
      </c>
      <c r="AH57" s="61" t="s">
        <v>162</v>
      </c>
      <c r="AI57" s="61" t="s">
        <v>174</v>
      </c>
      <c r="AJ57" s="61" t="s">
        <v>160</v>
      </c>
      <c r="AK57" s="61" t="s">
        <v>50</v>
      </c>
      <c r="AL57" s="61" t="s">
        <v>143</v>
      </c>
      <c r="AM57" s="61" t="s">
        <v>10</v>
      </c>
      <c r="AN57" s="61" t="s">
        <v>57</v>
      </c>
      <c r="AO57" s="61" t="s">
        <v>55</v>
      </c>
      <c r="AP57" s="61" t="s">
        <v>58</v>
      </c>
      <c r="AQ57" s="61" t="s">
        <v>75</v>
      </c>
      <c r="AR57" s="61" t="s">
        <v>59</v>
      </c>
      <c r="AS57" s="61" t="s">
        <v>76</v>
      </c>
      <c r="AT57" s="61" t="s">
        <v>63</v>
      </c>
      <c r="AU57" s="61" t="s">
        <v>79</v>
      </c>
      <c r="AV57" s="61" t="s">
        <v>68</v>
      </c>
      <c r="AW57" s="61" t="s">
        <v>90</v>
      </c>
      <c r="AX57" s="61" t="s">
        <v>203</v>
      </c>
    </row>
    <row r="58" spans="1:50" x14ac:dyDescent="0.2">
      <c r="A58" s="18" t="s">
        <v>142</v>
      </c>
      <c r="B58" s="18" t="s">
        <v>36</v>
      </c>
      <c r="C58" s="18" t="s">
        <v>34</v>
      </c>
      <c r="D58" s="18" t="s">
        <v>34</v>
      </c>
      <c r="E58" s="18">
        <f>Eu_k_n-Eu_k_antal_koefficienter</f>
        <v>7</v>
      </c>
      <c r="F58" s="18"/>
      <c r="G58" s="18">
        <f>(Eu_k_k-Eu_k_h0)/Eu_k_s</f>
        <v>1.7059050335879198</v>
      </c>
      <c r="H58" s="18">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18" t="b">
        <f>E_k_valg[[#This Row],[Teststørrelse]]=E_k_valg[[#This Row],[Venstre teststørrelse]]</f>
        <v>0</v>
      </c>
      <c r="P58" s="18" t="b">
        <f>OR(MATCH(E_k_valg[[#This Row],[Hypotese]],HypoteseRetning_liste,0)=2,MATCH(E_k_valg[[#This Row],[Hypotese]],HypoteseRetning_liste,0)=3)</f>
        <v>1</v>
      </c>
      <c r="Q58" s="27">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0.93410377293293312</v>
      </c>
      <c r="R58" s="18" t="b">
        <f>E_k_valg[[#This Row],[p-værdi]]&gt;1-Eu_k_konfidensniveau</f>
        <v>1</v>
      </c>
      <c r="S58" s="18">
        <f>IF(Eu_k_konfidensniveau&lt;=0.998,0.999,0.99999)</f>
        <v>0.999</v>
      </c>
      <c r="T58" s="18">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18">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18">
        <f>MIN(E_k_valg[[#This Row],[Teststørrelse]],E_k_valg[[#This Row],[Teststørrelse omvendt]])</f>
        <v>-1.7059050335879198</v>
      </c>
      <c r="W58" s="18">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8" s="18">
        <f>MAX(E_k_valg[[#This Row],[Teststørrelse]],E_k_valg[[#This Row],[Teststørrelse omvendt]])</f>
        <v>1.7059050335879198</v>
      </c>
      <c r="Y58" s="27">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27">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27">
        <f>E_k_valg[[#This Row],[Mindre end højre %]]-E_k_valg[[#This Row],[Mindre end venstre %]]</f>
        <v>0.86820754586586624</v>
      </c>
      <c r="AB58" s="27">
        <f>1-E_k_valg[[#This Row],[Mindre end venstre %]]</f>
        <v>0.93410377293293312</v>
      </c>
      <c r="AC58" s="27">
        <f>1-E_k_valg[[#This Row],[Mindre end højre %]]</f>
        <v>6.5896227067066881E-2</v>
      </c>
      <c r="AD58" s="18"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18" t="str">
        <f>IF(OR(MATCH(E_k_valg[[#This Row],[Hypotese]],HypoteseRetning_liste,0)=1,MATCH(E_k_valg[[#This Row],[Hypotese]],HypoteseRetning_liste,0)=4),ROUND(E_k_valg[[#This Row],[Midt %]],5)*100&amp;"% mellem "&amp;E_k_valg[[#This Row],[Venstre label]]&amp;" og "&amp;E_k_valg[[#This Row],[Højre label]]," ")</f>
        <v xml:space="preserve"> </v>
      </c>
      <c r="AF58" s="18"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18">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18">
        <f>(E_k_valg[[#This Row],[Midtpunkt teststørrelse]]-E_k_valg[[#This Row],[X min]])/(E_k_valg[[#This Row],[X max]]-E_k_valg[[#This Row],[X min]])</f>
        <v>0.5</v>
      </c>
      <c r="AI58" s="18">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18" t="s">
        <v>158</v>
      </c>
      <c r="AK58" s="19">
        <f>_xlfn.AGGREGATE(3,5,E_k_valg[[#This Row],[Parameter]])</f>
        <v>1</v>
      </c>
      <c r="AL58">
        <v>1</v>
      </c>
      <c r="AM58" s="18">
        <v>50</v>
      </c>
      <c r="AN58" s="18"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18" t="str">
        <f>"Koefficient i stikprøver af størrelsen n = "&amp;Eu_k_n&amp;"
fra en population med koefficient = "&amp;IFERROR(ROUND(Eu_k_h0,3),"Hypotese ikke angivet")</f>
        <v>Koefficient i stikprøver af størrelsen n = 12
fra en population med koefficient = 0</v>
      </c>
      <c r="AP58" s="19" t="s">
        <v>9</v>
      </c>
      <c r="AQ58" s="19" t="b">
        <f>NOT(ISNA(K_average))</f>
        <v>1</v>
      </c>
      <c r="AR58" s="19" t="s">
        <v>254</v>
      </c>
      <c r="AS58" s="19" t="s">
        <v>91</v>
      </c>
      <c r="AT58" s="19"/>
      <c r="AU58" s="19"/>
      <c r="AV58" s="19"/>
      <c r="AW58" s="19"/>
      <c r="AX58" s="19"/>
    </row>
    <row r="59" spans="1:50" x14ac:dyDescent="0.2">
      <c r="A59" s="18" t="s">
        <v>142</v>
      </c>
      <c r="B59" s="18" t="s">
        <v>37</v>
      </c>
      <c r="C59" s="18" t="s">
        <v>34</v>
      </c>
      <c r="D59" s="18" t="s">
        <v>34</v>
      </c>
      <c r="E59" s="18">
        <f>Eu_k_n-Eu_k_antal_koefficienter</f>
        <v>7</v>
      </c>
      <c r="F59" s="18"/>
      <c r="G59" s="18">
        <f>(Eu_k_k-Eu_k_h0)/Eu_k_s</f>
        <v>1.7059050335879198</v>
      </c>
      <c r="H59" s="18">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18" t="b">
        <f>E_k_valg[[#This Row],[Teststørrelse]]=E_k_valg[[#This Row],[Venstre teststørrelse]]</f>
        <v>0</v>
      </c>
      <c r="P59" s="18" t="b">
        <f>OR(MATCH(E_k_valg[[#This Row],[Hypotese]],HypoteseRetning_liste,0)=2,MATCH(E_k_valg[[#This Row],[Hypotese]],HypoteseRetning_liste,0)=3)</f>
        <v>1</v>
      </c>
      <c r="Q59" s="27">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6.5896227067066881E-2</v>
      </c>
      <c r="R59" s="18" t="b">
        <f>E_k_valg[[#This Row],[p-værdi]]&gt;1-Eu_k_konfidensniveau</f>
        <v>1</v>
      </c>
      <c r="S59" s="18">
        <f>IF(Eu_k_konfidensniveau&lt;=0.998,0.999,0.99999)</f>
        <v>0.999</v>
      </c>
      <c r="T59" s="18">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18">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18">
        <f>MIN(E_k_valg[[#This Row],[Teststørrelse]],E_k_valg[[#This Row],[Teststørrelse omvendt]])</f>
        <v>-1.7059050335879198</v>
      </c>
      <c r="W59" s="18">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9" s="18">
        <f>MAX(E_k_valg[[#This Row],[Teststørrelse]],E_k_valg[[#This Row],[Teststørrelse omvendt]])</f>
        <v>1.7059050335879198</v>
      </c>
      <c r="Y59" s="27">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27">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27">
        <f>E_k_valg[[#This Row],[Mindre end højre %]]-E_k_valg[[#This Row],[Mindre end venstre %]]</f>
        <v>0.86820754586586624</v>
      </c>
      <c r="AB59" s="27">
        <f>1-E_k_valg[[#This Row],[Mindre end venstre %]]</f>
        <v>0.93410377293293312</v>
      </c>
      <c r="AC59" s="27">
        <f>1-E_k_valg[[#This Row],[Mindre end højre %]]</f>
        <v>6.5896227067066881E-2</v>
      </c>
      <c r="AD59" s="18"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18" t="str">
        <f>IF(OR(MATCH(E_k_valg[[#This Row],[Hypotese]],HypoteseRetning_liste,0)=1,MATCH(E_k_valg[[#This Row],[Hypotese]],HypoteseRetning_liste,0)=4),ROUND(E_k_valg[[#This Row],[Midt %]],5)*100&amp;"% mellem "&amp;E_k_valg[[#This Row],[Venstre label]]&amp;" og "&amp;E_k_valg[[#This Row],[Højre label]]," ")</f>
        <v xml:space="preserve"> </v>
      </c>
      <c r="AF59" s="18"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18">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18">
        <f>(E_k_valg[[#This Row],[Midtpunkt teststørrelse]]-E_k_valg[[#This Row],[X min]])/(E_k_valg[[#This Row],[X max]]-E_k_valg[[#This Row],[X min]])</f>
        <v>0.5</v>
      </c>
      <c r="AI59" s="18">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18" t="s">
        <v>159</v>
      </c>
      <c r="AK59" s="19">
        <f>_xlfn.AGGREGATE(3,5,E_k_valg[[#This Row],[Parameter]])</f>
        <v>1</v>
      </c>
      <c r="AL59">
        <v>1</v>
      </c>
      <c r="AM59" s="18">
        <v>51</v>
      </c>
      <c r="AN59" s="18"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18" t="str">
        <f>"Koefficient i stikprøver af størrelsen n = "&amp;Eu_k_n&amp;"
fra en population med koefficient = "&amp;IFERROR(ROUND(Eu_k_h0,3),"Hypotese ikke angivet")</f>
        <v>Koefficient i stikprøver af størrelsen n = 12
fra en population med koefficient = 0</v>
      </c>
      <c r="AP59" s="19" t="s">
        <v>9</v>
      </c>
      <c r="AQ59" s="19" t="b">
        <f>NOT(ISNA(K_average))</f>
        <v>1</v>
      </c>
      <c r="AR59" s="19" t="s">
        <v>254</v>
      </c>
      <c r="AS59" s="19" t="s">
        <v>91</v>
      </c>
      <c r="AT59" s="19"/>
      <c r="AU59" s="19"/>
      <c r="AV59" s="19"/>
      <c r="AW59" s="19"/>
      <c r="AX59" s="19"/>
    </row>
    <row r="60" spans="1:50" x14ac:dyDescent="0.2">
      <c r="A60" s="18" t="s">
        <v>142</v>
      </c>
      <c r="B60" s="18" t="s">
        <v>38</v>
      </c>
      <c r="C60" s="18" t="s">
        <v>34</v>
      </c>
      <c r="D60" s="18" t="s">
        <v>34</v>
      </c>
      <c r="E60" s="18">
        <f>Eu_k_n-Eu_k_antal_koefficienter</f>
        <v>7</v>
      </c>
      <c r="F60" s="18"/>
      <c r="G60" s="18">
        <f>(Eu_k_k-Eu_k_h0)/Eu_k_s</f>
        <v>1.7059050335879198</v>
      </c>
      <c r="H60" s="18">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18" t="b">
        <f>E_k_valg[[#This Row],[Teststørrelse]]=E_k_valg[[#This Row],[Venstre teststørrelse]]</f>
        <v>0</v>
      </c>
      <c r="P60" s="18" t="b">
        <f>OR(MATCH(E_k_valg[[#This Row],[Hypotese]],HypoteseRetning_liste,0)=2,MATCH(E_k_valg[[#This Row],[Hypotese]],HypoteseRetning_liste,0)=3)</f>
        <v>0</v>
      </c>
      <c r="Q60" s="27">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0.13179245413413376</v>
      </c>
      <c r="R60" s="18" t="b">
        <f>E_k_valg[[#This Row],[p-værdi]]&gt;1-Eu_k_konfidensniveau</f>
        <v>1</v>
      </c>
      <c r="S60" s="18">
        <f>IF(Eu_k_konfidensniveau&lt;=0.998,0.999,0.99999)</f>
        <v>0.999</v>
      </c>
      <c r="T60" s="18">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18">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18">
        <f>MIN(E_k_valg[[#This Row],[Teststørrelse]],E_k_valg[[#This Row],[Teststørrelse omvendt]])</f>
        <v>-1.7059050335879198</v>
      </c>
      <c r="W60" s="18">
        <f>CHOOSE(MATCH(E_k_valg[[#This Row],[Fordeling]],Fordeling_liste,0),_xlfn.NORM.INV(0.5,E_k_valg[[#This Row],[Parameter 1]],E_k_valg[[#This Row],[Parameter 2]]),_xlfn.T.INV(0.5,E_k_valg[[#This Row],[Parameter 1]]),_xlfn.CHISQ.INV(0.5,E_k_valg[[#This Row],[Parameter 1]]),_xlfn.F.INV(0.5,E_k_valg[[#This Row],[Parameter 1]],E_k_valg[[#This Row],[Parameter 2]]))</f>
        <v>0</v>
      </c>
      <c r="X60" s="18">
        <f>MAX(E_k_valg[[#This Row],[Teststørrelse]],E_k_valg[[#This Row],[Teststørrelse omvendt]])</f>
        <v>1.7059050335879198</v>
      </c>
      <c r="Y60" s="27">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27">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27">
        <f>E_k_valg[[#This Row],[Mindre end højre %]]-E_k_valg[[#This Row],[Mindre end venstre %]]</f>
        <v>0.86820754586586624</v>
      </c>
      <c r="AB60" s="27">
        <f>1-E_k_valg[[#This Row],[Mindre end venstre %]]</f>
        <v>0.93410377293293312</v>
      </c>
      <c r="AC60" s="27">
        <f>1-E_k_valg[[#This Row],[Mindre end højre %]]</f>
        <v>6.5896227067066881E-2</v>
      </c>
      <c r="AD60" s="18"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18" t="str">
        <f>IF(OR(MATCH(E_k_valg[[#This Row],[Hypotese]],HypoteseRetning_liste,0)=1,MATCH(E_k_valg[[#This Row],[Hypotese]],HypoteseRetning_liste,0)=4),ROUND(E_k_valg[[#This Row],[Midt %]],5)*100&amp;"% mellem "&amp;E_k_valg[[#This Row],[Venstre label]]&amp;" og "&amp;E_k_valg[[#This Row],[Højre label]]," ")</f>
        <v>86.821% mellem -0.341 og 0.341</v>
      </c>
      <c r="AF60" s="18"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18">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18">
        <f>(E_k_valg[[#This Row],[Midtpunkt teststørrelse]]-E_k_valg[[#This Row],[X min]])/(E_k_valg[[#This Row],[X max]]-E_k_valg[[#This Row],[X min]])</f>
        <v>0.5</v>
      </c>
      <c r="AI60" s="18">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18" t="s">
        <v>31</v>
      </c>
      <c r="AK60" s="19">
        <f>_xlfn.AGGREGATE(3,5,E_k_valg[[#This Row],[Parameter]])</f>
        <v>1</v>
      </c>
      <c r="AL60">
        <v>1</v>
      </c>
      <c r="AM60" s="18">
        <v>52</v>
      </c>
      <c r="AN60" s="18"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18" t="str">
        <f>"Koefficient i stikprøver af størrelsen n = "&amp;Eu_k_n&amp;"
fra en population med koefficient = "&amp;IFERROR(ROUND(Eu_k_h0,3),"Hypotese ikke angivet")</f>
        <v>Koefficient i stikprøver af størrelsen n = 12
fra en population med koefficient = 0</v>
      </c>
      <c r="AP60" s="19" t="s">
        <v>9</v>
      </c>
      <c r="AQ60" s="19" t="b">
        <f>NOT(ISNA(K_average))</f>
        <v>1</v>
      </c>
      <c r="AR60" s="19" t="s">
        <v>254</v>
      </c>
      <c r="AS60" s="19" t="s">
        <v>91</v>
      </c>
      <c r="AT60" s="19"/>
      <c r="AU60" s="19"/>
      <c r="AV60" s="19"/>
      <c r="AW60" s="19"/>
      <c r="AX60" s="19"/>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941B9-A812-43B6-8E71-7AD0BE65C28A}">
  <ds:schemaRefs>
    <ds:schemaRef ds:uri="http://schemas.microsoft.com/sharepoint/v3/contenttype/forms"/>
  </ds:schemaRefs>
</ds:datastoreItem>
</file>

<file path=customXml/itemProps2.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CFBC3DE-D1C0-45C7-BFCE-96CD4F9A3A30}">
  <ds:schemaRefs>
    <ds:schemaRef ds:uri="http://schemas.microsoft.com/DataMashup"/>
  </ds:schemaRefs>
</ds:datastoreItem>
</file>

<file path=customXml/itemProps4.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63</vt:i4>
      </vt:variant>
    </vt:vector>
  </HeadingPairs>
  <TitlesOfParts>
    <vt:vector size="69" baseType="lpstr">
      <vt:lpstr>Velkommen</vt:lpstr>
      <vt:lpstr>Data</vt:lpstr>
      <vt:lpstr>DataBeregning</vt:lpstr>
      <vt:lpstr>Lister</vt:lpstr>
      <vt:lpstr>Estimation</vt:lpstr>
      <vt:lpstr>Estimation Beregninger</vt:lpstr>
      <vt:lpstr>Beregningsmetode_liste</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Eu_a_ønsket_fejlmargin</vt:lpstr>
      <vt:lpstr>Eu_a_t_x</vt:lpstr>
      <vt:lpstr>Eu_a_t_y</vt:lpstr>
      <vt:lpstr>Eu_g_g_x</vt:lpstr>
      <vt:lpstr>Eu_g_g_y</vt:lpstr>
      <vt:lpstr>Eu_g_h0_x</vt:lpstr>
      <vt:lpstr>Eu_g_h0_y</vt:lpstr>
      <vt:lpstr>Eu_g_konfidensniveau</vt:lpstr>
      <vt:lpstr>Eu_g_n_x</vt:lpstr>
      <vt:lpstr>Eu_g_n_y</vt:lpstr>
      <vt:lpstr>Eu_g_ønsket_fejlmargin</vt:lpstr>
      <vt:lpstr>Eu_g_s_population_x</vt:lpstr>
      <vt:lpstr>Eu_g_s_population_y</vt:lpstr>
      <vt:lpstr>Eu_g_s_x</vt:lpstr>
      <vt:lpstr>Eu_g_s_y</vt:lpstr>
      <vt:lpstr>Eu_g_t_x</vt:lpstr>
      <vt:lpstr>Eu_g_t_y</vt:lpstr>
      <vt:lpstr>Eu_i_h0_x</vt:lpstr>
      <vt:lpstr>Eu_i_h0_y</vt:lpstr>
      <vt:lpstr>Eu_i_i_x</vt:lpstr>
      <vt:lpstr>Eu_i_i_y</vt:lpstr>
      <vt:lpstr>Eu_i_konfidensniveau</vt:lpstr>
      <vt:lpstr>Eu_i_n_x</vt:lpstr>
      <vt:lpstr>Eu_i_n_y</vt:lpstr>
      <vt:lpstr>Eu_i_ønsket_fejlmargin</vt:lpstr>
      <vt:lpstr>Eu_i_t_x</vt:lpstr>
      <vt:lpstr>Eu_i_t_y</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Fordeling_liste</vt:lpstr>
      <vt:lpstr>HypoteseRetning_liste</vt:lpstr>
      <vt:lpstr>Hypotesetype_Liste</vt:lpstr>
      <vt:lpstr>Inkluderet_Liste</vt:lpstr>
      <vt:lpstr>SandFalsk_liste</vt:lpstr>
      <vt:lpstr>V_Manual_Data</vt:lpstr>
      <vt:lpstr>V_Manual_Konfidens_og_Hypoteser</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JBKstat.Estimation</dc:title>
  <dc:creator>Jakob Bjerre Knudsen</dc:creator>
  <cp:lastModifiedBy>Jakob</cp:lastModifiedBy>
  <cp:lastPrinted>2019-08-09T07:03:21Z</cp:lastPrinted>
  <dcterms:created xsi:type="dcterms:W3CDTF">2018-12-03T09:30:39Z</dcterms:created>
  <dcterms:modified xsi:type="dcterms:W3CDTF">2021-02-13T12:26:30Z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